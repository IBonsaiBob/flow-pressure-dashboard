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4">
    <font>
      <name val="Calibri"/>
      <family val="2"/>
      <color theme="1"/>
      <sz val="11"/>
      <scheme val="minor"/>
    </font>
    <font>
      <b val="1"/>
      <color rgb="00FFFFFF"/>
      <sz val="10"/>
    </font>
    <font>
      <i val="1"/>
      <color rgb="00595959"/>
      <sz val="9"/>
    </font>
    <font>
      <b val="1"/>
      <color rgb="00FFFFFF"/>
      <sz val="14"/>
    </font>
    <font>
      <b val="1"/>
      <color rgb="00000000"/>
      <sz val="10"/>
    </font>
    <font>
      <b val="1"/>
      <color rgb="00000000"/>
      <sz val="11"/>
    </font>
    <font>
      <b val="1"/>
      <color rgb="001F4E79"/>
      <sz val="11"/>
    </font>
    <font>
      <b val="1"/>
      <color rgb="00000000"/>
      <sz val="12"/>
    </font>
    <font>
      <b val="1"/>
      <color rgb="00C55A11"/>
      <sz val="11"/>
    </font>
    <font>
      <b val="1"/>
      <color rgb="00FFFFFF"/>
      <sz val="9"/>
    </font>
    <font>
      <b val="1"/>
      <color rgb="00FFFFFF"/>
      <sz val="11"/>
    </font>
    <font>
      <color rgb="00000000"/>
      <sz val="10"/>
    </font>
    <font>
      <i val="1"/>
      <color rgb="00595959"/>
      <sz val="10"/>
    </font>
    <font>
      <color rgb="00000000"/>
      <sz val="9"/>
    </font>
  </fonts>
  <fills count="14">
    <fill>
      <patternFill/>
    </fill>
    <fill>
      <patternFill patternType="gray125"/>
    </fill>
    <fill>
      <patternFill patternType="solid">
        <fgColor rgb="001F4E79"/>
      </patternFill>
    </fill>
    <fill>
      <patternFill patternType="solid">
        <fgColor rgb="002E75B6"/>
      </patternFill>
    </fill>
    <fill>
      <patternFill patternType="solid">
        <fgColor rgb="00FCE4D6"/>
      </patternFill>
    </fill>
    <fill>
      <patternFill patternType="solid">
        <fgColor rgb="00E2EFDA"/>
      </patternFill>
    </fill>
    <fill>
      <patternFill patternType="solid">
        <fgColor rgb="00BDD7EE"/>
      </patternFill>
    </fill>
    <fill>
      <patternFill patternType="solid">
        <fgColor rgb="00C55A11"/>
      </patternFill>
    </fill>
    <fill>
      <patternFill patternType="solid">
        <fgColor rgb="00375623"/>
      </patternFill>
    </fill>
    <fill>
      <patternFill patternType="solid">
        <fgColor rgb="00FFF2CC"/>
      </patternFill>
    </fill>
    <fill>
      <patternFill patternType="solid">
        <fgColor rgb="00D6E4BC"/>
      </patternFill>
    </fill>
    <fill>
      <patternFill patternType="solid">
        <fgColor rgb="00F2F2F2"/>
      </patternFill>
    </fill>
    <fill>
      <patternFill patternType="solid">
        <fgColor rgb="007030A0"/>
      </patternFill>
    </fill>
    <fill>
      <patternFill patternType="solid">
        <fgColor rgb="00595959"/>
      </patternFill>
    </fill>
  </fills>
  <borders count="6">
    <border>
      <left/>
      <right/>
      <top/>
      <bottom/>
      <diagonal/>
    </border>
    <border>
      <left style="thin"/>
      <right style="thin"/>
      <top style="thin"/>
      <bottom style="thin"/>
    </border>
    <border>
      <left style="medium"/>
      <right style="medium"/>
      <top style="medium"/>
      <bottom style="medium"/>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37">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0" borderId="0" applyAlignment="1" pivotButton="0" quotePrefix="0" xfId="0">
      <alignment horizontal="left" vertical="center"/>
    </xf>
    <xf numFmtId="167" fontId="5" fillId="4" borderId="2" applyAlignment="1" pivotButton="0" quotePrefix="0" xfId="0">
      <alignment horizontal="center" vertical="center"/>
    </xf>
    <xf numFmtId="167" fontId="5" fillId="5" borderId="2" applyAlignment="1" pivotButton="0" quotePrefix="0" xfId="0">
      <alignment horizontal="center" vertical="center"/>
    </xf>
    <xf numFmtId="0" fontId="6" fillId="0" borderId="0" applyAlignment="1" pivotButton="0" quotePrefix="0" xfId="0">
      <alignment horizontal="left" vertical="center"/>
    </xf>
    <xf numFmtId="0" fontId="7" fillId="6" borderId="2" applyAlignment="1" pivotButton="0" quotePrefix="0" xfId="0">
      <alignment horizontal="center" vertical="center"/>
    </xf>
    <xf numFmtId="0" fontId="8" fillId="0" borderId="0" applyAlignment="1" pivotButton="0" quotePrefix="0" xfId="0">
      <alignment horizontal="left" vertical="center"/>
    </xf>
    <xf numFmtId="0" fontId="7" fillId="4" borderId="2" applyAlignment="1" pivotButton="0" quotePrefix="0" xfId="0">
      <alignment horizontal="center" vertical="center"/>
    </xf>
    <xf numFmtId="0" fontId="9" fillId="3" borderId="0" applyAlignment="1" pivotButton="0" quotePrefix="0" xfId="0">
      <alignment horizontal="center" vertical="center"/>
    </xf>
    <xf numFmtId="0" fontId="0" fillId="0" borderId="1" applyAlignment="1" pivotButton="0" quotePrefix="0" xfId="0">
      <alignment horizontal="center" vertical="center"/>
    </xf>
    <xf numFmtId="0" fontId="0" fillId="0" borderId="5" pivotButton="0" quotePrefix="0" xfId="0"/>
    <xf numFmtId="0" fontId="9" fillId="7" borderId="0" applyAlignment="1" pivotButton="0" quotePrefix="0" xfId="0">
      <alignment horizontal="center" vertical="center"/>
    </xf>
    <xf numFmtId="0" fontId="9" fillId="2" borderId="0" applyAlignment="1" pivotButton="0" quotePrefix="0" xfId="0">
      <alignment horizontal="left" vertical="center" indent="1"/>
    </xf>
    <xf numFmtId="0" fontId="1" fillId="7" borderId="1" applyAlignment="1" pivotButton="0" quotePrefix="0" xfId="0">
      <alignment horizontal="center" vertical="center"/>
    </xf>
    <xf numFmtId="0" fontId="1" fillId="8" borderId="1" applyAlignment="1" pivotButton="0" quotePrefix="0" xfId="0">
      <alignment horizontal="center" vertical="center"/>
    </xf>
    <xf numFmtId="165" fontId="0" fillId="0" borderId="0" applyAlignment="1" pivotButton="0" quotePrefix="0" xfId="0">
      <alignment horizontal="center"/>
    </xf>
    <xf numFmtId="167" fontId="0" fillId="0" borderId="0" applyAlignment="1" pivotButton="0" quotePrefix="0" xfId="0">
      <alignment horizontal="right"/>
    </xf>
    <xf numFmtId="167" fontId="0" fillId="9" borderId="0" applyAlignment="1" pivotButton="0" quotePrefix="0" xfId="0">
      <alignment horizontal="right"/>
    </xf>
    <xf numFmtId="167" fontId="0" fillId="10" borderId="0" applyAlignment="1" pivotButton="0" quotePrefix="0" xfId="0">
      <alignment horizontal="right"/>
    </xf>
    <xf numFmtId="165" fontId="0" fillId="11" borderId="0" applyAlignment="1" pivotButton="0" quotePrefix="0" xfId="0">
      <alignment horizontal="center"/>
    </xf>
    <xf numFmtId="167" fontId="0" fillId="11" borderId="0" applyAlignment="1" pivotButton="0" quotePrefix="0" xfId="0">
      <alignment horizontal="right"/>
    </xf>
    <xf numFmtId="167" fontId="0" fillId="4" borderId="0" applyAlignment="1" pivotButton="0" quotePrefix="0" xfId="0">
      <alignment horizontal="right"/>
    </xf>
    <xf numFmtId="167" fontId="0" fillId="5" borderId="0" applyAlignment="1" pivotButton="0" quotePrefix="0" xfId="0">
      <alignment horizontal="right"/>
    </xf>
    <xf numFmtId="0" fontId="10" fillId="3" borderId="0" applyAlignment="1" pivotButton="0" quotePrefix="0" xfId="0">
      <alignment horizontal="left" vertical="center" indent="1"/>
    </xf>
    <xf numFmtId="0" fontId="11" fillId="0" borderId="0" applyAlignment="1" pivotButton="0" quotePrefix="0" xfId="0">
      <alignment horizontal="left" vertical="center" wrapText="1" indent="2"/>
    </xf>
    <xf numFmtId="0" fontId="10" fillId="7" borderId="0" applyAlignment="1" pivotButton="0" quotePrefix="0" xfId="0">
      <alignment horizontal="left" vertical="center" indent="1"/>
    </xf>
    <xf numFmtId="0" fontId="10" fillId="8" borderId="0" applyAlignment="1" pivotButton="0" quotePrefix="0" xfId="0">
      <alignment horizontal="left" vertical="center" indent="1"/>
    </xf>
    <xf numFmtId="0" fontId="10" fillId="12" borderId="0" applyAlignment="1" pivotButton="0" quotePrefix="0" xfId="0">
      <alignment horizontal="left" vertical="center" indent="1"/>
    </xf>
    <xf numFmtId="0" fontId="12" fillId="0" borderId="0" applyAlignment="1" pivotButton="0" quotePrefix="0" xfId="0">
      <alignment horizontal="left" vertical="center" wrapText="1" indent="2"/>
    </xf>
    <xf numFmtId="0" fontId="13" fillId="11" borderId="0" applyAlignment="1" pivotButton="0" quotePrefix="0" xfId="0">
      <alignment horizontal="left" vertical="center" wrapText="1"/>
    </xf>
    <xf numFmtId="0" fontId="10" fillId="13" borderId="0" applyAlignment="1" pivotButton="0" quotePrefix="0" xfId="0">
      <alignment horizontal="left" vertical="center" indent="1"/>
    </xf>
  </cellXfs>
  <cellStyles count="1">
    <cellStyle name="Normal" xfId="0" builtinId="0" hidden="0"/>
  </cellStyles>
  <dxfs count="2">
    <dxf>
      <font>
        <b val="1"/>
        <color rgb="001F4E79"/>
        <sz val="10"/>
      </font>
      <fill>
        <patternFill patternType="solid">
          <fgColor rgb="00BDD7EE"/>
        </patternFill>
      </fill>
    </dxf>
    <dxf>
      <font>
        <b val="1"/>
        <color rgb="00C55A11"/>
        <sz val="10"/>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t>Flow &amp; Pressure Analysis</a:t>
            </a:r>
          </a:p>
        </c:rich>
      </c:tx>
      <c:overlay val="0"/>
    </c:title>
    <c:autoTitleDeleted val="0"/>
    <c:plotArea>
      <c:layout/>
      <c:lineChart>
        <c:grouping val="standard"/>
        <c:varyColors val="0"/>
        <c:ser>
          <c:idx val="0"/>
          <c:order val="0"/>
          <c:tx>
            <c:strRef>
              <c:f>Dashboard!$C$26</c:f>
            </c:strRef>
          </c:tx>
          <c:spPr>
            <a:ln w="20000">
              <a:solidFill>
                <a:srgbClr val="2E75B6"/>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Dashboard!$C$27:$C$126</c:f>
              <c:numCache>
                <c:formatCode>0.000</c:formatCode>
                <c:ptCount val="28"/>
                <c:pt idx="0">
                  <c:v>3.168205</c:v>
                </c:pt>
                <c:pt idx="1">
                  <c:v>3.190769</c:v>
                </c:pt>
                <c:pt idx="2">
                  <c:v>3.21641</c:v>
                </c:pt>
                <c:pt idx="3">
                  <c:v>3.242051</c:v>
                </c:pt>
                <c:pt idx="4">
                  <c:v>3.265641</c:v>
                </c:pt>
                <c:pt idx="5">
                  <c:v>3.289231</c:v>
                </c:pt>
                <c:pt idx="6">
                  <c:v>3.31282</c:v>
                </c:pt>
                <c:pt idx="7">
                  <c:v>3.33641</c:v>
                </c:pt>
                <c:pt idx="8">
                  <c:v>3.361026</c:v>
                </c:pt>
                <c:pt idx="9">
                  <c:v>3.386667</c:v>
                </c:pt>
                <c:pt idx="10">
                  <c:v>3.408205</c:v>
                </c:pt>
                <c:pt idx="11">
                  <c:v>3.43282</c:v>
                </c:pt>
                <c:pt idx="12">
                  <c:v>3.459487</c:v>
                </c:pt>
                <c:pt idx="13">
                  <c:v>3.483077</c:v>
                </c:pt>
                <c:pt idx="14">
                  <c:v>3.509743</c:v>
                </c:pt>
                <c:pt idx="15">
                  <c:v>3.53641</c:v>
                </c:pt>
                <c:pt idx="16">
                  <c:v>3.557949</c:v>
                </c:pt>
                <c:pt idx="17">
                  <c:v>3.582564</c:v>
                </c:pt>
                <c:pt idx="18">
                  <c:v>3.608205</c:v>
                </c:pt>
                <c:pt idx="19">
                  <c:v>3.630769</c:v>
                </c:pt>
                <c:pt idx="20">
                  <c:v>3.655385</c:v>
                </c:pt>
                <c:pt idx="21">
                  <c:v>3.678974</c:v>
                </c:pt>
                <c:pt idx="22">
                  <c:v>3.700513</c:v>
                </c:pt>
                <c:pt idx="23">
                  <c:v>3.72</c:v>
                </c:pt>
                <c:pt idx="24">
                  <c:v>3.737436</c:v>
                </c:pt>
                <c:pt idx="25">
                  <c:v>3.744615</c:v>
                </c:pt>
                <c:pt idx="26">
                  <c:v>3.749743</c:v>
                </c:pt>
                <c:pt idx="27">
                  <c:v>3.746667</c:v>
                </c:pt>
              </c:numCache>
            </c:numRef>
          </c:val>
        </c:ser>
        <c:marker>
          <c:symbol val="none"/>
        </c:marker>
        <c:smooth val="0"/>
        <c:axId val="1001"/>
        <c:axId val="1002"/>
      </c:lineChart>
      <c:lineChart>
        <c:grouping val="standard"/>
        <c:varyColors val="0"/>
        <c:ser>
          <c:idx val="1"/>
          <c:order val="1"/>
          <c:tx>
            <c:strRef>
              <c:f>Dashboard!$E$26</c:f>
            </c:strRef>
          </c:tx>
          <c:spPr>
            <a:ln w="20000">
              <a:solidFill>
                <a:srgbClr val="C55A11"/>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Dashboard!$E$27:$E$126</c:f>
              <c:numCache>
                <c:formatCode>0.000</c:formatCode>
                <c:ptCount val="28"/>
                <c:pt idx="0">
                  <c:v>3.373159</c:v>
                </c:pt>
                <c:pt idx="1">
                  <c:v>3.395046</c:v>
                </c:pt>
                <c:pt idx="2">
                  <c:v>3.419918</c:v>
                </c:pt>
                <c:pt idx="3">
                  <c:v>3.444789</c:v>
                </c:pt>
                <c:pt idx="4">
                  <c:v>3.467672</c:v>
                </c:pt>
                <c:pt idx="5">
                  <c:v>3.490554</c:v>
                </c:pt>
                <c:pt idx="6">
                  <c:v>3.513435</c:v>
                </c:pt>
                <c:pt idx="7">
                  <c:v>3.536318</c:v>
                </c:pt>
                <c:pt idx="8">
                  <c:v>3.560195</c:v>
                </c:pt>
                <c:pt idx="9">
                  <c:v>3.585067</c:v>
                </c:pt>
                <c:pt idx="10">
                  <c:v>3.605959</c:v>
                </c:pt>
                <c:pt idx="11">
                  <c:v>3.629835</c:v>
                </c:pt>
                <c:pt idx="12">
                  <c:v>3.655702</c:v>
                </c:pt>
                <c:pt idx="13">
                  <c:v>3.678585</c:v>
                </c:pt>
                <c:pt idx="14">
                  <c:v>3.704451</c:v>
                </c:pt>
                <c:pt idx="15">
                  <c:v>3.730318</c:v>
                </c:pt>
                <c:pt idx="16">
                  <c:v>3.751211</c:v>
                </c:pt>
                <c:pt idx="17">
                  <c:v>3.775087</c:v>
                </c:pt>
                <c:pt idx="18">
                  <c:v>3.799959</c:v>
                </c:pt>
                <c:pt idx="19">
                  <c:v>3.821846</c:v>
                </c:pt>
                <c:pt idx="20">
                  <c:v>3.845723</c:v>
                </c:pt>
                <c:pt idx="21">
                  <c:v>3.868605</c:v>
                </c:pt>
                <c:pt idx="22">
                  <c:v>3.889498</c:v>
                </c:pt>
                <c:pt idx="23">
                  <c:v>3.9084</c:v>
                </c:pt>
                <c:pt idx="24">
                  <c:v>3.925313</c:v>
                </c:pt>
                <c:pt idx="25">
                  <c:v>3.932277</c:v>
                </c:pt>
                <c:pt idx="26">
                  <c:v>3.937251</c:v>
                </c:pt>
                <c:pt idx="27">
                  <c:v>3.934267</c:v>
                </c:pt>
              </c:numCache>
            </c:numRef>
          </c:val>
        </c:ser>
        <c:ser>
          <c:idx val="2"/>
          <c:order val="2"/>
          <c:tx>
            <c:strRef>
              <c:f>Dashboard!$G$26</c:f>
            </c:strRef>
          </c:tx>
          <c:spPr>
            <a:ln w="20000">
              <a:solidFill>
                <a:srgbClr val="70AD47"/>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Dashboard!$G$27:$G$126</c:f>
              <c:numCache>
                <c:formatCode>General</c:formatCode>
                <c:ptCount val="0"/>
              </c:numCache>
            </c:numRef>
          </c:val>
        </c:ser>
        <c:ser>
          <c:idx val="3"/>
          <c:order val="3"/>
          <c:tx>
            <c:strRef>
              <c:f>Dashboard!$I$26</c:f>
            </c:strRef>
          </c:tx>
          <c:spPr>
            <a:ln w="20000">
              <a:solidFill>
                <a:srgbClr val="7030A0"/>
              </a:solidFill>
            </a:ln>
          </c:spPr>
          <c:marker>
            <c:symbol val="none"/>
          </c:marker>
          <c:smooth val="0"/>
          <c:cat>
            <c:numRef>
              <c:f>Dashboard!$A$27:$A$126</c:f>
              <c:numCache>
                <c:formatCode>m/d/yy h:mm</c:formatCode>
                <c:ptCount val="28"/>
                <c:pt idx="0">
                  <c:v>46357.00000000</c:v>
                </c:pt>
                <c:pt idx="1">
                  <c:v>46357.01041667</c:v>
                </c:pt>
                <c:pt idx="2">
                  <c:v>46357.02083333</c:v>
                </c:pt>
                <c:pt idx="3">
                  <c:v>46357.03125000</c:v>
                </c:pt>
                <c:pt idx="4">
                  <c:v>46357.04166667</c:v>
                </c:pt>
                <c:pt idx="5">
                  <c:v>46357.05208333</c:v>
                </c:pt>
                <c:pt idx="6">
                  <c:v>46357.06250000</c:v>
                </c:pt>
                <c:pt idx="7">
                  <c:v>46357.07291667</c:v>
                </c:pt>
                <c:pt idx="8">
                  <c:v>46357.08333333</c:v>
                </c:pt>
                <c:pt idx="9">
                  <c:v>46357.09375000</c:v>
                </c:pt>
                <c:pt idx="10">
                  <c:v>46357.10416667</c:v>
                </c:pt>
                <c:pt idx="11">
                  <c:v>46357.11458333</c:v>
                </c:pt>
                <c:pt idx="12">
                  <c:v>46357.12500000</c:v>
                </c:pt>
                <c:pt idx="13">
                  <c:v>46357.13541667</c:v>
                </c:pt>
                <c:pt idx="14">
                  <c:v>46357.14583333</c:v>
                </c:pt>
                <c:pt idx="15">
                  <c:v>46357.15625000</c:v>
                </c:pt>
                <c:pt idx="16">
                  <c:v>46357.16666667</c:v>
                </c:pt>
                <c:pt idx="17">
                  <c:v>46357.17708333</c:v>
                </c:pt>
                <c:pt idx="18">
                  <c:v>46357.18750000</c:v>
                </c:pt>
                <c:pt idx="19">
                  <c:v>46357.19791667</c:v>
                </c:pt>
                <c:pt idx="20">
                  <c:v>46357.20833333</c:v>
                </c:pt>
                <c:pt idx="21">
                  <c:v>46357.21875000</c:v>
                </c:pt>
                <c:pt idx="22">
                  <c:v>46357.22916667</c:v>
                </c:pt>
                <c:pt idx="23">
                  <c:v>46357.23958333</c:v>
                </c:pt>
                <c:pt idx="24">
                  <c:v>46357.25000000</c:v>
                </c:pt>
                <c:pt idx="25">
                  <c:v>46357.26041667</c:v>
                </c:pt>
                <c:pt idx="26">
                  <c:v>46357.27083333</c:v>
                </c:pt>
                <c:pt idx="27">
                  <c:v>46357.28125000</c:v>
                </c:pt>
              </c:numCache>
            </c:numRef>
          </c:cat>
          <c:val>
            <c:numRef>
              <c:f>Dashboard!$I$27:$I$126</c:f>
              <c:numCache>
                <c:formatCode>General</c:formatCode>
                <c:ptCount val="0"/>
              </c:numCache>
            </c:numRef>
          </c:val>
        </c:ser>
        <c:marker>
          <c:symbol val="none"/>
        </c:mark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pPr>
                  <a:defRPr/>
                </a:pPr>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pPr>
                  <a:defRPr/>
                </a:pPr>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oneCellAnchor>
    <xdr:from>
      <xdr:col>6</xdr:col>
      <xdr:colOff>0</xdr:colOff>
      <xdr:row>0</xdr:row>
      <xdr:rowOff>0</xdr:rowOff>
    </xdr:from>
    <xdr:ext cx="7200000" cy="5040000"/>
    <xdr:graphicFrame macro="">
      <xdr:nvGraphicFramePr>
        <xdr:cNvPr id="2" name="Chart 1"/>
        <xdr:cNvGraphicFramePr/>
      </xdr:nvGraphicFramePr>
      <xdr:xfrm>
        <a:off x="0" y="0"/>
        <a:ext cx="0" cy="0"/>
      </xdr:xfrm>
      <a:graphic>
        <a:graphicData uri="http://schemas.openxmlformats.org/drawingml/2006/chart">
          <c:chart r:id="rId1"/>
        </a:graphicData>
      </a:graphic>
    </xdr:graphicFrame>
    <xdr:clientData/>
  </xdr:one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127"/>
  <sheetViews>
    <sheetView workbookViewId="0">
      <selection activeCell="A1" sqref="A1"/>
    </sheetView>
  </sheetViews>
  <sheetFormatPr baseColWidth="8" defaultRowHeight="15"/>
  <cols>
    <col width="22" customWidth="1" min="1" max="1"/>
    <col width="14" customWidth="1" min="2" max="2"/>
    <col width="16" customWidth="1" min="3" max="3"/>
    <col width="22" customWidth="1" min="4" max="4"/>
    <col width="14" customWidth="1" min="5" max="5"/>
    <col width="14" customWidth="1" min="6" max="6"/>
    <col width="16" customWidth="1" min="7" max="7"/>
    <col width="14" customWidth="1" min="8" max="8"/>
    <col width="16" customWidth="1" min="9" max="9"/>
  </cols>
  <sheetData>
    <row r="1" ht="30" customHeight="1">
      <c r="A1" s="6" t="inlineStr">
        <is>
          <t>Flow &amp; Pressure Analysis Dashboard</t>
        </is>
      </c>
    </row>
    <row r="2" ht="26" customHeight="1">
      <c r="A2" s="7" t="inlineStr">
        <is>
          <t>Flow Scaling Factor:</t>
        </is>
      </c>
      <c r="B2" s="8" t="n">
        <v>1</v>
      </c>
      <c r="D2" s="7" t="inlineStr">
        <is>
          <t>Pressure Offset:</t>
        </is>
      </c>
      <c r="E2" s="9" t="n">
        <v>0</v>
      </c>
    </row>
    <row r="3" ht="30" customHeight="1">
      <c r="A3" s="10" t="inlineStr">
        <is>
          <t>Select Flow  ▼  (blank = hide)</t>
        </is>
      </c>
      <c r="B3" s="11" t="inlineStr">
        <is>
          <t>AL012</t>
        </is>
      </c>
      <c r="D3" s="12" t="inlineStr">
        <is>
          <t>Pressure 1  ▼</t>
        </is>
      </c>
      <c r="E3" s="13" t="inlineStr">
        <is>
          <t>AL012</t>
        </is>
      </c>
    </row>
    <row r="4" ht="26" customHeight="1">
      <c r="A4" s="14" t="inlineStr">
        <is>
          <t>All Flows  (current selection highlighted)</t>
        </is>
      </c>
      <c r="D4" s="12" t="inlineStr">
        <is>
          <t>Pressure 2  ▼  (optional)</t>
        </is>
      </c>
      <c r="E4" s="13" t="inlineStr"/>
    </row>
    <row r="5" ht="18" customHeight="1">
      <c r="A5" s="15" t="inlineStr">
        <is>
          <t>AL012</t>
        </is>
      </c>
      <c r="B5" s="16" t="n"/>
      <c r="D5" s="12" t="inlineStr">
        <is>
          <t>Pressure 3  ▼  (optional)</t>
        </is>
      </c>
      <c r="E5" s="13" t="inlineStr"/>
    </row>
    <row r="6" ht="18" customHeight="1">
      <c r="A6" s="15" t="inlineStr">
        <is>
          <t>AL013</t>
        </is>
      </c>
      <c r="B6" s="16" t="n"/>
      <c r="D6" s="17" t="inlineStr">
        <is>
          <t>All Pressures  (highlighted = any of P1/P2/P3)</t>
        </is>
      </c>
    </row>
    <row r="7" ht="18" customHeight="1">
      <c r="A7" s="15" t="inlineStr">
        <is>
          <t>AL014</t>
        </is>
      </c>
      <c r="B7" s="16" t="n"/>
      <c r="D7" s="15" t="inlineStr">
        <is>
          <t>AL012</t>
        </is>
      </c>
      <c r="E7" s="16" t="n"/>
    </row>
    <row r="8" ht="18" customHeight="1">
      <c r="A8" s="15" t="inlineStr">
        <is>
          <t>AL023</t>
        </is>
      </c>
      <c r="B8" s="16" t="n"/>
      <c r="D8" s="15" t="inlineStr">
        <is>
          <t>AL013</t>
        </is>
      </c>
      <c r="E8" s="16" t="n"/>
    </row>
    <row r="9" ht="18" customHeight="1">
      <c r="A9" s="15" t="inlineStr">
        <is>
          <t>AL028</t>
        </is>
      </c>
      <c r="B9" s="16" t="n"/>
      <c r="D9" s="15" t="inlineStr">
        <is>
          <t>AL014</t>
        </is>
      </c>
      <c r="E9" s="16" t="n"/>
    </row>
    <row r="10" ht="18" customHeight="1">
      <c r="A10" s="15" t="inlineStr">
        <is>
          <t>AL029</t>
        </is>
      </c>
      <c r="B10" s="16" t="n"/>
      <c r="D10" s="15" t="inlineStr">
        <is>
          <t>AL023</t>
        </is>
      </c>
      <c r="E10" s="16" t="n"/>
    </row>
    <row r="11" ht="18" customHeight="1">
      <c r="A11" s="15" t="inlineStr">
        <is>
          <t>AL035</t>
        </is>
      </c>
      <c r="B11" s="16" t="n"/>
      <c r="D11" s="15" t="inlineStr">
        <is>
          <t>AL028</t>
        </is>
      </c>
      <c r="E11" s="16" t="n"/>
    </row>
    <row r="12" ht="18" customHeight="1">
      <c r="A12" s="15" t="inlineStr">
        <is>
          <t>AL036</t>
        </is>
      </c>
      <c r="B12" s="16" t="n"/>
      <c r="D12" s="15" t="inlineStr">
        <is>
          <t>AL029</t>
        </is>
      </c>
      <c r="E12" s="16" t="n"/>
    </row>
    <row r="13" ht="18" customHeight="1">
      <c r="A13" s="15" t="inlineStr">
        <is>
          <t>AL038</t>
        </is>
      </c>
      <c r="B13" s="16" t="n"/>
      <c r="D13" s="15" t="inlineStr">
        <is>
          <t>AL035</t>
        </is>
      </c>
      <c r="E13" s="16" t="n"/>
    </row>
    <row r="14" ht="18" customHeight="1">
      <c r="A14" s="15" t="inlineStr">
        <is>
          <t>AL063</t>
        </is>
      </c>
      <c r="B14" s="16" t="n"/>
      <c r="D14" s="15" t="inlineStr">
        <is>
          <t>AL036</t>
        </is>
      </c>
      <c r="E14" s="16" t="n"/>
    </row>
    <row r="15" ht="18" customHeight="1">
      <c r="A15" s="15" t="inlineStr">
        <is>
          <t>AM005</t>
        </is>
      </c>
      <c r="B15" s="16" t="n"/>
      <c r="D15" s="15" t="inlineStr">
        <is>
          <t>AL038</t>
        </is>
      </c>
      <c r="E15" s="16" t="n"/>
    </row>
    <row r="16" ht="18" customHeight="1">
      <c r="A16" s="15" t="inlineStr">
        <is>
          <t>AM014</t>
        </is>
      </c>
      <c r="B16" s="16" t="n"/>
      <c r="D16" s="15" t="inlineStr">
        <is>
          <t>AL063</t>
        </is>
      </c>
      <c r="E16" s="16" t="n"/>
    </row>
    <row r="17" ht="18" customHeight="1">
      <c r="A17" s="15" t="inlineStr">
        <is>
          <t>AM015</t>
        </is>
      </c>
      <c r="B17" s="16" t="n"/>
      <c r="D17" s="15" t="inlineStr">
        <is>
          <t>AM005</t>
        </is>
      </c>
      <c r="E17" s="16" t="n"/>
    </row>
    <row r="18" ht="18" customHeight="1">
      <c r="A18" s="15" t="inlineStr">
        <is>
          <t>AM022</t>
        </is>
      </c>
      <c r="B18" s="16" t="n"/>
      <c r="D18" s="15" t="inlineStr">
        <is>
          <t>AM014</t>
        </is>
      </c>
      <c r="E18" s="16" t="n"/>
    </row>
    <row r="19" ht="18" customHeight="1">
      <c r="A19" s="15" t="inlineStr">
        <is>
          <t>AM024</t>
        </is>
      </c>
      <c r="B19" s="16" t="n"/>
      <c r="D19" s="15" t="inlineStr">
        <is>
          <t>AM015</t>
        </is>
      </c>
      <c r="E19" s="16" t="n"/>
    </row>
    <row r="20" ht="18" customHeight="1">
      <c r="A20" s="15" t="inlineStr">
        <is>
          <t>AM026</t>
        </is>
      </c>
      <c r="B20" s="16" t="n"/>
      <c r="D20" s="15" t="inlineStr">
        <is>
          <t>AM022</t>
        </is>
      </c>
      <c r="E20" s="16" t="n"/>
    </row>
    <row r="21" ht="18" customHeight="1">
      <c r="D21" s="15" t="inlineStr">
        <is>
          <t>AM024</t>
        </is>
      </c>
      <c r="E21" s="16" t="n"/>
    </row>
    <row r="22" ht="18" customHeight="1">
      <c r="D22" s="15" t="inlineStr">
        <is>
          <t>AM026</t>
        </is>
      </c>
      <c r="E22" s="16" t="n"/>
    </row>
    <row r="23" ht="42" customHeight="1">
      <c r="A23" s="5" t="inlineStr">
        <is>
          <t>ℹ  Use Pressure 1 / 2 / 3 dropdowns (E3:E5) to overlay up to 3 pressure series on the chart.  Leave E4 or E5 blank to show fewer series.  Leave B3 blank to hide the flow line and show pressure only.  After pasting your own data, right-click each selector cell → Data Validation → update the Source to match your column headers.  Values of -999 are treated as no-data and excluded.</t>
        </is>
      </c>
    </row>
    <row r="25" ht="20" customHeight="1">
      <c r="A25" s="18" t="inlineStr">
        <is>
          <t>FORMULA TABLE  —  updates automatically when you change the selections or adjustments above</t>
        </is>
      </c>
    </row>
    <row r="26" ht="22" customHeight="1">
      <c r="A26" s="1" t="inlineStr">
        <is>
          <t>Date</t>
        </is>
      </c>
      <c r="B26" s="2" t="inlineStr">
        <is>
          <t>Flow (Raw)</t>
        </is>
      </c>
      <c r="C26" s="19" t="inlineStr">
        <is>
          <t>Flow Adjusted</t>
        </is>
      </c>
      <c r="D26" s="2" t="inlineStr">
        <is>
          <t>Pressure 1 (Raw)</t>
        </is>
      </c>
      <c r="E26" s="20" t="inlineStr">
        <is>
          <t>Pressure 1 Adj.</t>
        </is>
      </c>
      <c r="F26" s="2" t="inlineStr">
        <is>
          <t>Pressure 2 (Raw)</t>
        </is>
      </c>
      <c r="G26" s="20" t="inlineStr">
        <is>
          <t>Pressure 2 Adj.</t>
        </is>
      </c>
      <c r="H26" s="2" t="inlineStr">
        <is>
          <t>Pressure 3 (Raw)</t>
        </is>
      </c>
      <c r="I26" s="20" t="inlineStr">
        <is>
          <t>Pressure 3 Adj.</t>
        </is>
      </c>
    </row>
    <row r="27" ht="15" customHeight="1">
      <c r="A27" s="21">
        <f>IFERROR(IF(INDEX('Raw Flow Data'!$A:$A,ROW()-25)="","",INDEX('Raw Flow Data'!$A:$A,ROW()-25)),"")</f>
        <v/>
      </c>
      <c r="B27" s="22">
        <f>IFERROR(IF($B$3="","",INDEX('Raw Flow Data'!$A:$ZZ,ROW()-25,MATCH($B$3,'Raw Flow Data'!$1:$1,0))),"")</f>
        <v/>
      </c>
      <c r="C27" s="23">
        <f>IF(OR(B27="",B27=-999),"",B27*$B$2)</f>
        <v/>
      </c>
      <c r="D27" s="22">
        <f>IFERROR(IF($E$3="","",INDEX('Raw Pressure Data'!$A:$ZZ,ROW()-25,MATCH($E$3,'Raw Pressure Data'!$1:$1,0))),"")</f>
        <v/>
      </c>
      <c r="E27" s="24">
        <f>IF(OR(D27="",D27=-999),"",D27+$E$2)</f>
        <v/>
      </c>
      <c r="F27" s="22">
        <f>IFERROR(IF($E$4="","",INDEX('Raw Pressure Data'!$A:$ZZ,ROW()-25,MATCH($E$4,'Raw Pressure Data'!$1:$1,0))),"")</f>
        <v/>
      </c>
      <c r="G27" s="24">
        <f>IF(OR(F27="",F27=-999),"",F27+$E$2)</f>
        <v/>
      </c>
      <c r="H27" s="22">
        <f>IFERROR(IF($E$5="","",INDEX('Raw Pressure Data'!$A:$ZZ,ROW()-25,MATCH($E$5,'Raw Pressure Data'!$1:$1,0))),"")</f>
        <v/>
      </c>
      <c r="I27" s="24">
        <f>IF(OR(H27="",H27=-999),"",H27+$E$2)</f>
        <v/>
      </c>
    </row>
    <row r="28" ht="15" customHeight="1">
      <c r="A28" s="25">
        <f>IFERROR(IF(INDEX('Raw Flow Data'!$A:$A,ROW()-25)="","",INDEX('Raw Flow Data'!$A:$A,ROW()-25)),"")</f>
        <v/>
      </c>
      <c r="B28" s="26">
        <f>IFERROR(IF($B$3="","",INDEX('Raw Flow Data'!$A:$ZZ,ROW()-25,MATCH($B$3,'Raw Flow Data'!$1:$1,0))),"")</f>
        <v/>
      </c>
      <c r="C28" s="27">
        <f>IF(OR(B28="",B28=-999),"",B28*$B$2)</f>
        <v/>
      </c>
      <c r="D28" s="26">
        <f>IFERROR(IF($E$3="","",INDEX('Raw Pressure Data'!$A:$ZZ,ROW()-25,MATCH($E$3,'Raw Pressure Data'!$1:$1,0))),"")</f>
        <v/>
      </c>
      <c r="E28" s="28">
        <f>IF(OR(D28="",D28=-999),"",D28+$E$2)</f>
        <v/>
      </c>
      <c r="F28" s="26">
        <f>IFERROR(IF($E$4="","",INDEX('Raw Pressure Data'!$A:$ZZ,ROW()-25,MATCH($E$4,'Raw Pressure Data'!$1:$1,0))),"")</f>
        <v/>
      </c>
      <c r="G28" s="28">
        <f>IF(OR(F28="",F28=-999),"",F28+$E$2)</f>
        <v/>
      </c>
      <c r="H28" s="26">
        <f>IFERROR(IF($E$5="","",INDEX('Raw Pressure Data'!$A:$ZZ,ROW()-25,MATCH($E$5,'Raw Pressure Data'!$1:$1,0))),"")</f>
        <v/>
      </c>
      <c r="I28" s="28">
        <f>IF(OR(H28="",H28=-999),"",H28+$E$2)</f>
        <v/>
      </c>
    </row>
    <row r="29" ht="15" customHeight="1">
      <c r="A29" s="21">
        <f>IFERROR(IF(INDEX('Raw Flow Data'!$A:$A,ROW()-25)="","",INDEX('Raw Flow Data'!$A:$A,ROW()-25)),"")</f>
        <v/>
      </c>
      <c r="B29" s="22">
        <f>IFERROR(IF($B$3="","",INDEX('Raw Flow Data'!$A:$ZZ,ROW()-25,MATCH($B$3,'Raw Flow Data'!$1:$1,0))),"")</f>
        <v/>
      </c>
      <c r="C29" s="23">
        <f>IF(OR(B29="",B29=-999),"",B29*$B$2)</f>
        <v/>
      </c>
      <c r="D29" s="22">
        <f>IFERROR(IF($E$3="","",INDEX('Raw Pressure Data'!$A:$ZZ,ROW()-25,MATCH($E$3,'Raw Pressure Data'!$1:$1,0))),"")</f>
        <v/>
      </c>
      <c r="E29" s="24">
        <f>IF(OR(D29="",D29=-999),"",D29+$E$2)</f>
        <v/>
      </c>
      <c r="F29" s="22">
        <f>IFERROR(IF($E$4="","",INDEX('Raw Pressure Data'!$A:$ZZ,ROW()-25,MATCH($E$4,'Raw Pressure Data'!$1:$1,0))),"")</f>
        <v/>
      </c>
      <c r="G29" s="24">
        <f>IF(OR(F29="",F29=-999),"",F29+$E$2)</f>
        <v/>
      </c>
      <c r="H29" s="22">
        <f>IFERROR(IF($E$5="","",INDEX('Raw Pressure Data'!$A:$ZZ,ROW()-25,MATCH($E$5,'Raw Pressure Data'!$1:$1,0))),"")</f>
        <v/>
      </c>
      <c r="I29" s="24">
        <f>IF(OR(H29="",H29=-999),"",H29+$E$2)</f>
        <v/>
      </c>
    </row>
    <row r="30" ht="15" customHeight="1">
      <c r="A30" s="25">
        <f>IFERROR(IF(INDEX('Raw Flow Data'!$A:$A,ROW()-25)="","",INDEX('Raw Flow Data'!$A:$A,ROW()-25)),"")</f>
        <v/>
      </c>
      <c r="B30" s="26">
        <f>IFERROR(IF($B$3="","",INDEX('Raw Flow Data'!$A:$ZZ,ROW()-25,MATCH($B$3,'Raw Flow Data'!$1:$1,0))),"")</f>
        <v/>
      </c>
      <c r="C30" s="27">
        <f>IF(OR(B30="",B30=-999),"",B30*$B$2)</f>
        <v/>
      </c>
      <c r="D30" s="26">
        <f>IFERROR(IF($E$3="","",INDEX('Raw Pressure Data'!$A:$ZZ,ROW()-25,MATCH($E$3,'Raw Pressure Data'!$1:$1,0))),"")</f>
        <v/>
      </c>
      <c r="E30" s="28">
        <f>IF(OR(D30="",D30=-999),"",D30+$E$2)</f>
        <v/>
      </c>
      <c r="F30" s="26">
        <f>IFERROR(IF($E$4="","",INDEX('Raw Pressure Data'!$A:$ZZ,ROW()-25,MATCH($E$4,'Raw Pressure Data'!$1:$1,0))),"")</f>
        <v/>
      </c>
      <c r="G30" s="28">
        <f>IF(OR(F30="",F30=-999),"",F30+$E$2)</f>
        <v/>
      </c>
      <c r="H30" s="26">
        <f>IFERROR(IF($E$5="","",INDEX('Raw Pressure Data'!$A:$ZZ,ROW()-25,MATCH($E$5,'Raw Pressure Data'!$1:$1,0))),"")</f>
        <v/>
      </c>
      <c r="I30" s="28">
        <f>IF(OR(H30="",H30=-999),"",H30+$E$2)</f>
        <v/>
      </c>
    </row>
    <row r="31" ht="15" customHeight="1">
      <c r="A31" s="21">
        <f>IFERROR(IF(INDEX('Raw Flow Data'!$A:$A,ROW()-25)="","",INDEX('Raw Flow Data'!$A:$A,ROW()-25)),"")</f>
        <v/>
      </c>
      <c r="B31" s="22">
        <f>IFERROR(IF($B$3="","",INDEX('Raw Flow Data'!$A:$ZZ,ROW()-25,MATCH($B$3,'Raw Flow Data'!$1:$1,0))),"")</f>
        <v/>
      </c>
      <c r="C31" s="23">
        <f>IF(OR(B31="",B31=-999),"",B31*$B$2)</f>
        <v/>
      </c>
      <c r="D31" s="22">
        <f>IFERROR(IF($E$3="","",INDEX('Raw Pressure Data'!$A:$ZZ,ROW()-25,MATCH($E$3,'Raw Pressure Data'!$1:$1,0))),"")</f>
        <v/>
      </c>
      <c r="E31" s="24">
        <f>IF(OR(D31="",D31=-999),"",D31+$E$2)</f>
        <v/>
      </c>
      <c r="F31" s="22">
        <f>IFERROR(IF($E$4="","",INDEX('Raw Pressure Data'!$A:$ZZ,ROW()-25,MATCH($E$4,'Raw Pressure Data'!$1:$1,0))),"")</f>
        <v/>
      </c>
      <c r="G31" s="24">
        <f>IF(OR(F31="",F31=-999),"",F31+$E$2)</f>
        <v/>
      </c>
      <c r="H31" s="22">
        <f>IFERROR(IF($E$5="","",INDEX('Raw Pressure Data'!$A:$ZZ,ROW()-25,MATCH($E$5,'Raw Pressure Data'!$1:$1,0))),"")</f>
        <v/>
      </c>
      <c r="I31" s="24">
        <f>IF(OR(H31="",H31=-999),"",H31+$E$2)</f>
        <v/>
      </c>
    </row>
    <row r="32" ht="15" customHeight="1">
      <c r="A32" s="25">
        <f>IFERROR(IF(INDEX('Raw Flow Data'!$A:$A,ROW()-25)="","",INDEX('Raw Flow Data'!$A:$A,ROW()-25)),"")</f>
        <v/>
      </c>
      <c r="B32" s="26">
        <f>IFERROR(IF($B$3="","",INDEX('Raw Flow Data'!$A:$ZZ,ROW()-25,MATCH($B$3,'Raw Flow Data'!$1:$1,0))),"")</f>
        <v/>
      </c>
      <c r="C32" s="27">
        <f>IF(OR(B32="",B32=-999),"",B32*$B$2)</f>
        <v/>
      </c>
      <c r="D32" s="26">
        <f>IFERROR(IF($E$3="","",INDEX('Raw Pressure Data'!$A:$ZZ,ROW()-25,MATCH($E$3,'Raw Pressure Data'!$1:$1,0))),"")</f>
        <v/>
      </c>
      <c r="E32" s="28">
        <f>IF(OR(D32="",D32=-999),"",D32+$E$2)</f>
        <v/>
      </c>
      <c r="F32" s="26">
        <f>IFERROR(IF($E$4="","",INDEX('Raw Pressure Data'!$A:$ZZ,ROW()-25,MATCH($E$4,'Raw Pressure Data'!$1:$1,0))),"")</f>
        <v/>
      </c>
      <c r="G32" s="28">
        <f>IF(OR(F32="",F32=-999),"",F32+$E$2)</f>
        <v/>
      </c>
      <c r="H32" s="26">
        <f>IFERROR(IF($E$5="","",INDEX('Raw Pressure Data'!$A:$ZZ,ROW()-25,MATCH($E$5,'Raw Pressure Data'!$1:$1,0))),"")</f>
        <v/>
      </c>
      <c r="I32" s="28">
        <f>IF(OR(H32="",H32=-999),"",H32+$E$2)</f>
        <v/>
      </c>
    </row>
    <row r="33" ht="15" customHeight="1">
      <c r="A33" s="21">
        <f>IFERROR(IF(INDEX('Raw Flow Data'!$A:$A,ROW()-25)="","",INDEX('Raw Flow Data'!$A:$A,ROW()-25)),"")</f>
        <v/>
      </c>
      <c r="B33" s="22">
        <f>IFERROR(IF($B$3="","",INDEX('Raw Flow Data'!$A:$ZZ,ROW()-25,MATCH($B$3,'Raw Flow Data'!$1:$1,0))),"")</f>
        <v/>
      </c>
      <c r="C33" s="23">
        <f>IF(OR(B33="",B33=-999),"",B33*$B$2)</f>
        <v/>
      </c>
      <c r="D33" s="22">
        <f>IFERROR(IF($E$3="","",INDEX('Raw Pressure Data'!$A:$ZZ,ROW()-25,MATCH($E$3,'Raw Pressure Data'!$1:$1,0))),"")</f>
        <v/>
      </c>
      <c r="E33" s="24">
        <f>IF(OR(D33="",D33=-999),"",D33+$E$2)</f>
        <v/>
      </c>
      <c r="F33" s="22">
        <f>IFERROR(IF($E$4="","",INDEX('Raw Pressure Data'!$A:$ZZ,ROW()-25,MATCH($E$4,'Raw Pressure Data'!$1:$1,0))),"")</f>
        <v/>
      </c>
      <c r="G33" s="24">
        <f>IF(OR(F33="",F33=-999),"",F33+$E$2)</f>
        <v/>
      </c>
      <c r="H33" s="22">
        <f>IFERROR(IF($E$5="","",INDEX('Raw Pressure Data'!$A:$ZZ,ROW()-25,MATCH($E$5,'Raw Pressure Data'!$1:$1,0))),"")</f>
        <v/>
      </c>
      <c r="I33" s="24">
        <f>IF(OR(H33="",H33=-999),"",H33+$E$2)</f>
        <v/>
      </c>
    </row>
    <row r="34" ht="15" customHeight="1">
      <c r="A34" s="25">
        <f>IFERROR(IF(INDEX('Raw Flow Data'!$A:$A,ROW()-25)="","",INDEX('Raw Flow Data'!$A:$A,ROW()-25)),"")</f>
        <v/>
      </c>
      <c r="B34" s="26">
        <f>IFERROR(IF($B$3="","",INDEX('Raw Flow Data'!$A:$ZZ,ROW()-25,MATCH($B$3,'Raw Flow Data'!$1:$1,0))),"")</f>
        <v/>
      </c>
      <c r="C34" s="27">
        <f>IF(OR(B34="",B34=-999),"",B34*$B$2)</f>
        <v/>
      </c>
      <c r="D34" s="26">
        <f>IFERROR(IF($E$3="","",INDEX('Raw Pressure Data'!$A:$ZZ,ROW()-25,MATCH($E$3,'Raw Pressure Data'!$1:$1,0))),"")</f>
        <v/>
      </c>
      <c r="E34" s="28">
        <f>IF(OR(D34="",D34=-999),"",D34+$E$2)</f>
        <v/>
      </c>
      <c r="F34" s="26">
        <f>IFERROR(IF($E$4="","",INDEX('Raw Pressure Data'!$A:$ZZ,ROW()-25,MATCH($E$4,'Raw Pressure Data'!$1:$1,0))),"")</f>
        <v/>
      </c>
      <c r="G34" s="28">
        <f>IF(OR(F34="",F34=-999),"",F34+$E$2)</f>
        <v/>
      </c>
      <c r="H34" s="26">
        <f>IFERROR(IF($E$5="","",INDEX('Raw Pressure Data'!$A:$ZZ,ROW()-25,MATCH($E$5,'Raw Pressure Data'!$1:$1,0))),"")</f>
        <v/>
      </c>
      <c r="I34" s="28">
        <f>IF(OR(H34="",H34=-999),"",H34+$E$2)</f>
        <v/>
      </c>
    </row>
    <row r="35" ht="15" customHeight="1">
      <c r="A35" s="21">
        <f>IFERROR(IF(INDEX('Raw Flow Data'!$A:$A,ROW()-25)="","",INDEX('Raw Flow Data'!$A:$A,ROW()-25)),"")</f>
        <v/>
      </c>
      <c r="B35" s="22">
        <f>IFERROR(IF($B$3="","",INDEX('Raw Flow Data'!$A:$ZZ,ROW()-25,MATCH($B$3,'Raw Flow Data'!$1:$1,0))),"")</f>
        <v/>
      </c>
      <c r="C35" s="23">
        <f>IF(OR(B35="",B35=-999),"",B35*$B$2)</f>
        <v/>
      </c>
      <c r="D35" s="22">
        <f>IFERROR(IF($E$3="","",INDEX('Raw Pressure Data'!$A:$ZZ,ROW()-25,MATCH($E$3,'Raw Pressure Data'!$1:$1,0))),"")</f>
        <v/>
      </c>
      <c r="E35" s="24">
        <f>IF(OR(D35="",D35=-999),"",D35+$E$2)</f>
        <v/>
      </c>
      <c r="F35" s="22">
        <f>IFERROR(IF($E$4="","",INDEX('Raw Pressure Data'!$A:$ZZ,ROW()-25,MATCH($E$4,'Raw Pressure Data'!$1:$1,0))),"")</f>
        <v/>
      </c>
      <c r="G35" s="24">
        <f>IF(OR(F35="",F35=-999),"",F35+$E$2)</f>
        <v/>
      </c>
      <c r="H35" s="22">
        <f>IFERROR(IF($E$5="","",INDEX('Raw Pressure Data'!$A:$ZZ,ROW()-25,MATCH($E$5,'Raw Pressure Data'!$1:$1,0))),"")</f>
        <v/>
      </c>
      <c r="I35" s="24">
        <f>IF(OR(H35="",H35=-999),"",H35+$E$2)</f>
        <v/>
      </c>
    </row>
    <row r="36" ht="15" customHeight="1">
      <c r="A36" s="25">
        <f>IFERROR(IF(INDEX('Raw Flow Data'!$A:$A,ROW()-25)="","",INDEX('Raw Flow Data'!$A:$A,ROW()-25)),"")</f>
        <v/>
      </c>
      <c r="B36" s="26">
        <f>IFERROR(IF($B$3="","",INDEX('Raw Flow Data'!$A:$ZZ,ROW()-25,MATCH($B$3,'Raw Flow Data'!$1:$1,0))),"")</f>
        <v/>
      </c>
      <c r="C36" s="27">
        <f>IF(OR(B36="",B36=-999),"",B36*$B$2)</f>
        <v/>
      </c>
      <c r="D36" s="26">
        <f>IFERROR(IF($E$3="","",INDEX('Raw Pressure Data'!$A:$ZZ,ROW()-25,MATCH($E$3,'Raw Pressure Data'!$1:$1,0))),"")</f>
        <v/>
      </c>
      <c r="E36" s="28">
        <f>IF(OR(D36="",D36=-999),"",D36+$E$2)</f>
        <v/>
      </c>
      <c r="F36" s="26">
        <f>IFERROR(IF($E$4="","",INDEX('Raw Pressure Data'!$A:$ZZ,ROW()-25,MATCH($E$4,'Raw Pressure Data'!$1:$1,0))),"")</f>
        <v/>
      </c>
      <c r="G36" s="28">
        <f>IF(OR(F36="",F36=-999),"",F36+$E$2)</f>
        <v/>
      </c>
      <c r="H36" s="26">
        <f>IFERROR(IF($E$5="","",INDEX('Raw Pressure Data'!$A:$ZZ,ROW()-25,MATCH($E$5,'Raw Pressure Data'!$1:$1,0))),"")</f>
        <v/>
      </c>
      <c r="I36" s="28">
        <f>IF(OR(H36="",H36=-999),"",H36+$E$2)</f>
        <v/>
      </c>
    </row>
    <row r="37" ht="15" customHeight="1">
      <c r="A37" s="21">
        <f>IFERROR(IF(INDEX('Raw Flow Data'!$A:$A,ROW()-25)="","",INDEX('Raw Flow Data'!$A:$A,ROW()-25)),"")</f>
        <v/>
      </c>
      <c r="B37" s="22">
        <f>IFERROR(IF($B$3="","",INDEX('Raw Flow Data'!$A:$ZZ,ROW()-25,MATCH($B$3,'Raw Flow Data'!$1:$1,0))),"")</f>
        <v/>
      </c>
      <c r="C37" s="23">
        <f>IF(OR(B37="",B37=-999),"",B37*$B$2)</f>
        <v/>
      </c>
      <c r="D37" s="22">
        <f>IFERROR(IF($E$3="","",INDEX('Raw Pressure Data'!$A:$ZZ,ROW()-25,MATCH($E$3,'Raw Pressure Data'!$1:$1,0))),"")</f>
        <v/>
      </c>
      <c r="E37" s="24">
        <f>IF(OR(D37="",D37=-999),"",D37+$E$2)</f>
        <v/>
      </c>
      <c r="F37" s="22">
        <f>IFERROR(IF($E$4="","",INDEX('Raw Pressure Data'!$A:$ZZ,ROW()-25,MATCH($E$4,'Raw Pressure Data'!$1:$1,0))),"")</f>
        <v/>
      </c>
      <c r="G37" s="24">
        <f>IF(OR(F37="",F37=-999),"",F37+$E$2)</f>
        <v/>
      </c>
      <c r="H37" s="22">
        <f>IFERROR(IF($E$5="","",INDEX('Raw Pressure Data'!$A:$ZZ,ROW()-25,MATCH($E$5,'Raw Pressure Data'!$1:$1,0))),"")</f>
        <v/>
      </c>
      <c r="I37" s="24">
        <f>IF(OR(H37="",H37=-999),"",H37+$E$2)</f>
        <v/>
      </c>
    </row>
    <row r="38" ht="15" customHeight="1">
      <c r="A38" s="25">
        <f>IFERROR(IF(INDEX('Raw Flow Data'!$A:$A,ROW()-25)="","",INDEX('Raw Flow Data'!$A:$A,ROW()-25)),"")</f>
        <v/>
      </c>
      <c r="B38" s="26">
        <f>IFERROR(IF($B$3="","",INDEX('Raw Flow Data'!$A:$ZZ,ROW()-25,MATCH($B$3,'Raw Flow Data'!$1:$1,0))),"")</f>
        <v/>
      </c>
      <c r="C38" s="27">
        <f>IF(OR(B38="",B38=-999),"",B38*$B$2)</f>
        <v/>
      </c>
      <c r="D38" s="26">
        <f>IFERROR(IF($E$3="","",INDEX('Raw Pressure Data'!$A:$ZZ,ROW()-25,MATCH($E$3,'Raw Pressure Data'!$1:$1,0))),"")</f>
        <v/>
      </c>
      <c r="E38" s="28">
        <f>IF(OR(D38="",D38=-999),"",D38+$E$2)</f>
        <v/>
      </c>
      <c r="F38" s="26">
        <f>IFERROR(IF($E$4="","",INDEX('Raw Pressure Data'!$A:$ZZ,ROW()-25,MATCH($E$4,'Raw Pressure Data'!$1:$1,0))),"")</f>
        <v/>
      </c>
      <c r="G38" s="28">
        <f>IF(OR(F38="",F38=-999),"",F38+$E$2)</f>
        <v/>
      </c>
      <c r="H38" s="26">
        <f>IFERROR(IF($E$5="","",INDEX('Raw Pressure Data'!$A:$ZZ,ROW()-25,MATCH($E$5,'Raw Pressure Data'!$1:$1,0))),"")</f>
        <v/>
      </c>
      <c r="I38" s="28">
        <f>IF(OR(H38="",H38=-999),"",H38+$E$2)</f>
        <v/>
      </c>
    </row>
    <row r="39" ht="15" customHeight="1">
      <c r="A39" s="21">
        <f>IFERROR(IF(INDEX('Raw Flow Data'!$A:$A,ROW()-25)="","",INDEX('Raw Flow Data'!$A:$A,ROW()-25)),"")</f>
        <v/>
      </c>
      <c r="B39" s="22">
        <f>IFERROR(IF($B$3="","",INDEX('Raw Flow Data'!$A:$ZZ,ROW()-25,MATCH($B$3,'Raw Flow Data'!$1:$1,0))),"")</f>
        <v/>
      </c>
      <c r="C39" s="23">
        <f>IF(OR(B39="",B39=-999),"",B39*$B$2)</f>
        <v/>
      </c>
      <c r="D39" s="22">
        <f>IFERROR(IF($E$3="","",INDEX('Raw Pressure Data'!$A:$ZZ,ROW()-25,MATCH($E$3,'Raw Pressure Data'!$1:$1,0))),"")</f>
        <v/>
      </c>
      <c r="E39" s="24">
        <f>IF(OR(D39="",D39=-999),"",D39+$E$2)</f>
        <v/>
      </c>
      <c r="F39" s="22">
        <f>IFERROR(IF($E$4="","",INDEX('Raw Pressure Data'!$A:$ZZ,ROW()-25,MATCH($E$4,'Raw Pressure Data'!$1:$1,0))),"")</f>
        <v/>
      </c>
      <c r="G39" s="24">
        <f>IF(OR(F39="",F39=-999),"",F39+$E$2)</f>
        <v/>
      </c>
      <c r="H39" s="22">
        <f>IFERROR(IF($E$5="","",INDEX('Raw Pressure Data'!$A:$ZZ,ROW()-25,MATCH($E$5,'Raw Pressure Data'!$1:$1,0))),"")</f>
        <v/>
      </c>
      <c r="I39" s="24">
        <f>IF(OR(H39="",H39=-999),"",H39+$E$2)</f>
        <v/>
      </c>
    </row>
    <row r="40" ht="15" customHeight="1">
      <c r="A40" s="25">
        <f>IFERROR(IF(INDEX('Raw Flow Data'!$A:$A,ROW()-25)="","",INDEX('Raw Flow Data'!$A:$A,ROW()-25)),"")</f>
        <v/>
      </c>
      <c r="B40" s="26">
        <f>IFERROR(IF($B$3="","",INDEX('Raw Flow Data'!$A:$ZZ,ROW()-25,MATCH($B$3,'Raw Flow Data'!$1:$1,0))),"")</f>
        <v/>
      </c>
      <c r="C40" s="27">
        <f>IF(OR(B40="",B40=-999),"",B40*$B$2)</f>
        <v/>
      </c>
      <c r="D40" s="26">
        <f>IFERROR(IF($E$3="","",INDEX('Raw Pressure Data'!$A:$ZZ,ROW()-25,MATCH($E$3,'Raw Pressure Data'!$1:$1,0))),"")</f>
        <v/>
      </c>
      <c r="E40" s="28">
        <f>IF(OR(D40="",D40=-999),"",D40+$E$2)</f>
        <v/>
      </c>
      <c r="F40" s="26">
        <f>IFERROR(IF($E$4="","",INDEX('Raw Pressure Data'!$A:$ZZ,ROW()-25,MATCH($E$4,'Raw Pressure Data'!$1:$1,0))),"")</f>
        <v/>
      </c>
      <c r="G40" s="28">
        <f>IF(OR(F40="",F40=-999),"",F40+$E$2)</f>
        <v/>
      </c>
      <c r="H40" s="26">
        <f>IFERROR(IF($E$5="","",INDEX('Raw Pressure Data'!$A:$ZZ,ROW()-25,MATCH($E$5,'Raw Pressure Data'!$1:$1,0))),"")</f>
        <v/>
      </c>
      <c r="I40" s="28">
        <f>IF(OR(H40="",H40=-999),"",H40+$E$2)</f>
        <v/>
      </c>
    </row>
    <row r="41" ht="15" customHeight="1">
      <c r="A41" s="21">
        <f>IFERROR(IF(INDEX('Raw Flow Data'!$A:$A,ROW()-25)="","",INDEX('Raw Flow Data'!$A:$A,ROW()-25)),"")</f>
        <v/>
      </c>
      <c r="B41" s="22">
        <f>IFERROR(IF($B$3="","",INDEX('Raw Flow Data'!$A:$ZZ,ROW()-25,MATCH($B$3,'Raw Flow Data'!$1:$1,0))),"")</f>
        <v/>
      </c>
      <c r="C41" s="23">
        <f>IF(OR(B41="",B41=-999),"",B41*$B$2)</f>
        <v/>
      </c>
      <c r="D41" s="22">
        <f>IFERROR(IF($E$3="","",INDEX('Raw Pressure Data'!$A:$ZZ,ROW()-25,MATCH($E$3,'Raw Pressure Data'!$1:$1,0))),"")</f>
        <v/>
      </c>
      <c r="E41" s="24">
        <f>IF(OR(D41="",D41=-999),"",D41+$E$2)</f>
        <v/>
      </c>
      <c r="F41" s="22">
        <f>IFERROR(IF($E$4="","",INDEX('Raw Pressure Data'!$A:$ZZ,ROW()-25,MATCH($E$4,'Raw Pressure Data'!$1:$1,0))),"")</f>
        <v/>
      </c>
      <c r="G41" s="24">
        <f>IF(OR(F41="",F41=-999),"",F41+$E$2)</f>
        <v/>
      </c>
      <c r="H41" s="22">
        <f>IFERROR(IF($E$5="","",INDEX('Raw Pressure Data'!$A:$ZZ,ROW()-25,MATCH($E$5,'Raw Pressure Data'!$1:$1,0))),"")</f>
        <v/>
      </c>
      <c r="I41" s="24">
        <f>IF(OR(H41="",H41=-999),"",H41+$E$2)</f>
        <v/>
      </c>
    </row>
    <row r="42" ht="15" customHeight="1">
      <c r="A42" s="25">
        <f>IFERROR(IF(INDEX('Raw Flow Data'!$A:$A,ROW()-25)="","",INDEX('Raw Flow Data'!$A:$A,ROW()-25)),"")</f>
        <v/>
      </c>
      <c r="B42" s="26">
        <f>IFERROR(IF($B$3="","",INDEX('Raw Flow Data'!$A:$ZZ,ROW()-25,MATCH($B$3,'Raw Flow Data'!$1:$1,0))),"")</f>
        <v/>
      </c>
      <c r="C42" s="27">
        <f>IF(OR(B42="",B42=-999),"",B42*$B$2)</f>
        <v/>
      </c>
      <c r="D42" s="26">
        <f>IFERROR(IF($E$3="","",INDEX('Raw Pressure Data'!$A:$ZZ,ROW()-25,MATCH($E$3,'Raw Pressure Data'!$1:$1,0))),"")</f>
        <v/>
      </c>
      <c r="E42" s="28">
        <f>IF(OR(D42="",D42=-999),"",D42+$E$2)</f>
        <v/>
      </c>
      <c r="F42" s="26">
        <f>IFERROR(IF($E$4="","",INDEX('Raw Pressure Data'!$A:$ZZ,ROW()-25,MATCH($E$4,'Raw Pressure Data'!$1:$1,0))),"")</f>
        <v/>
      </c>
      <c r="G42" s="28">
        <f>IF(OR(F42="",F42=-999),"",F42+$E$2)</f>
        <v/>
      </c>
      <c r="H42" s="26">
        <f>IFERROR(IF($E$5="","",INDEX('Raw Pressure Data'!$A:$ZZ,ROW()-25,MATCH($E$5,'Raw Pressure Data'!$1:$1,0))),"")</f>
        <v/>
      </c>
      <c r="I42" s="28">
        <f>IF(OR(H42="",H42=-999),"",H42+$E$2)</f>
        <v/>
      </c>
    </row>
    <row r="43" ht="15" customHeight="1">
      <c r="A43" s="21">
        <f>IFERROR(IF(INDEX('Raw Flow Data'!$A:$A,ROW()-25)="","",INDEX('Raw Flow Data'!$A:$A,ROW()-25)),"")</f>
        <v/>
      </c>
      <c r="B43" s="22">
        <f>IFERROR(IF($B$3="","",INDEX('Raw Flow Data'!$A:$ZZ,ROW()-25,MATCH($B$3,'Raw Flow Data'!$1:$1,0))),"")</f>
        <v/>
      </c>
      <c r="C43" s="23">
        <f>IF(OR(B43="",B43=-999),"",B43*$B$2)</f>
        <v/>
      </c>
      <c r="D43" s="22">
        <f>IFERROR(IF($E$3="","",INDEX('Raw Pressure Data'!$A:$ZZ,ROW()-25,MATCH($E$3,'Raw Pressure Data'!$1:$1,0))),"")</f>
        <v/>
      </c>
      <c r="E43" s="24">
        <f>IF(OR(D43="",D43=-999),"",D43+$E$2)</f>
        <v/>
      </c>
      <c r="F43" s="22">
        <f>IFERROR(IF($E$4="","",INDEX('Raw Pressure Data'!$A:$ZZ,ROW()-25,MATCH($E$4,'Raw Pressure Data'!$1:$1,0))),"")</f>
        <v/>
      </c>
      <c r="G43" s="24">
        <f>IF(OR(F43="",F43=-999),"",F43+$E$2)</f>
        <v/>
      </c>
      <c r="H43" s="22">
        <f>IFERROR(IF($E$5="","",INDEX('Raw Pressure Data'!$A:$ZZ,ROW()-25,MATCH($E$5,'Raw Pressure Data'!$1:$1,0))),"")</f>
        <v/>
      </c>
      <c r="I43" s="24">
        <f>IF(OR(H43="",H43=-999),"",H43+$E$2)</f>
        <v/>
      </c>
    </row>
    <row r="44" ht="15" customHeight="1">
      <c r="A44" s="25">
        <f>IFERROR(IF(INDEX('Raw Flow Data'!$A:$A,ROW()-25)="","",INDEX('Raw Flow Data'!$A:$A,ROW()-25)),"")</f>
        <v/>
      </c>
      <c r="B44" s="26">
        <f>IFERROR(IF($B$3="","",INDEX('Raw Flow Data'!$A:$ZZ,ROW()-25,MATCH($B$3,'Raw Flow Data'!$1:$1,0))),"")</f>
        <v/>
      </c>
      <c r="C44" s="27">
        <f>IF(OR(B44="",B44=-999),"",B44*$B$2)</f>
        <v/>
      </c>
      <c r="D44" s="26">
        <f>IFERROR(IF($E$3="","",INDEX('Raw Pressure Data'!$A:$ZZ,ROW()-25,MATCH($E$3,'Raw Pressure Data'!$1:$1,0))),"")</f>
        <v/>
      </c>
      <c r="E44" s="28">
        <f>IF(OR(D44="",D44=-999),"",D44+$E$2)</f>
        <v/>
      </c>
      <c r="F44" s="26">
        <f>IFERROR(IF($E$4="","",INDEX('Raw Pressure Data'!$A:$ZZ,ROW()-25,MATCH($E$4,'Raw Pressure Data'!$1:$1,0))),"")</f>
        <v/>
      </c>
      <c r="G44" s="28">
        <f>IF(OR(F44="",F44=-999),"",F44+$E$2)</f>
        <v/>
      </c>
      <c r="H44" s="26">
        <f>IFERROR(IF($E$5="","",INDEX('Raw Pressure Data'!$A:$ZZ,ROW()-25,MATCH($E$5,'Raw Pressure Data'!$1:$1,0))),"")</f>
        <v/>
      </c>
      <c r="I44" s="28">
        <f>IF(OR(H44="",H44=-999),"",H44+$E$2)</f>
        <v/>
      </c>
    </row>
    <row r="45" ht="15" customHeight="1">
      <c r="A45" s="21">
        <f>IFERROR(IF(INDEX('Raw Flow Data'!$A:$A,ROW()-25)="","",INDEX('Raw Flow Data'!$A:$A,ROW()-25)),"")</f>
        <v/>
      </c>
      <c r="B45" s="22">
        <f>IFERROR(IF($B$3="","",INDEX('Raw Flow Data'!$A:$ZZ,ROW()-25,MATCH($B$3,'Raw Flow Data'!$1:$1,0))),"")</f>
        <v/>
      </c>
      <c r="C45" s="23">
        <f>IF(OR(B45="",B45=-999),"",B45*$B$2)</f>
        <v/>
      </c>
      <c r="D45" s="22">
        <f>IFERROR(IF($E$3="","",INDEX('Raw Pressure Data'!$A:$ZZ,ROW()-25,MATCH($E$3,'Raw Pressure Data'!$1:$1,0))),"")</f>
        <v/>
      </c>
      <c r="E45" s="24">
        <f>IF(OR(D45="",D45=-999),"",D45+$E$2)</f>
        <v/>
      </c>
      <c r="F45" s="22">
        <f>IFERROR(IF($E$4="","",INDEX('Raw Pressure Data'!$A:$ZZ,ROW()-25,MATCH($E$4,'Raw Pressure Data'!$1:$1,0))),"")</f>
        <v/>
      </c>
      <c r="G45" s="24">
        <f>IF(OR(F45="",F45=-999),"",F45+$E$2)</f>
        <v/>
      </c>
      <c r="H45" s="22">
        <f>IFERROR(IF($E$5="","",INDEX('Raw Pressure Data'!$A:$ZZ,ROW()-25,MATCH($E$5,'Raw Pressure Data'!$1:$1,0))),"")</f>
        <v/>
      </c>
      <c r="I45" s="24">
        <f>IF(OR(H45="",H45=-999),"",H45+$E$2)</f>
        <v/>
      </c>
    </row>
    <row r="46" ht="15" customHeight="1">
      <c r="A46" s="25">
        <f>IFERROR(IF(INDEX('Raw Flow Data'!$A:$A,ROW()-25)="","",INDEX('Raw Flow Data'!$A:$A,ROW()-25)),"")</f>
        <v/>
      </c>
      <c r="B46" s="26">
        <f>IFERROR(IF($B$3="","",INDEX('Raw Flow Data'!$A:$ZZ,ROW()-25,MATCH($B$3,'Raw Flow Data'!$1:$1,0))),"")</f>
        <v/>
      </c>
      <c r="C46" s="27">
        <f>IF(OR(B46="",B46=-999),"",B46*$B$2)</f>
        <v/>
      </c>
      <c r="D46" s="26">
        <f>IFERROR(IF($E$3="","",INDEX('Raw Pressure Data'!$A:$ZZ,ROW()-25,MATCH($E$3,'Raw Pressure Data'!$1:$1,0))),"")</f>
        <v/>
      </c>
      <c r="E46" s="28">
        <f>IF(OR(D46="",D46=-999),"",D46+$E$2)</f>
        <v/>
      </c>
      <c r="F46" s="26">
        <f>IFERROR(IF($E$4="","",INDEX('Raw Pressure Data'!$A:$ZZ,ROW()-25,MATCH($E$4,'Raw Pressure Data'!$1:$1,0))),"")</f>
        <v/>
      </c>
      <c r="G46" s="28">
        <f>IF(OR(F46="",F46=-999),"",F46+$E$2)</f>
        <v/>
      </c>
      <c r="H46" s="26">
        <f>IFERROR(IF($E$5="","",INDEX('Raw Pressure Data'!$A:$ZZ,ROW()-25,MATCH($E$5,'Raw Pressure Data'!$1:$1,0))),"")</f>
        <v/>
      </c>
      <c r="I46" s="28">
        <f>IF(OR(H46="",H46=-999),"",H46+$E$2)</f>
        <v/>
      </c>
    </row>
    <row r="47" ht="15" customHeight="1">
      <c r="A47" s="21">
        <f>IFERROR(IF(INDEX('Raw Flow Data'!$A:$A,ROW()-25)="","",INDEX('Raw Flow Data'!$A:$A,ROW()-25)),"")</f>
        <v/>
      </c>
      <c r="B47" s="22">
        <f>IFERROR(IF($B$3="","",INDEX('Raw Flow Data'!$A:$ZZ,ROW()-25,MATCH($B$3,'Raw Flow Data'!$1:$1,0))),"")</f>
        <v/>
      </c>
      <c r="C47" s="23">
        <f>IF(OR(B47="",B47=-999),"",B47*$B$2)</f>
        <v/>
      </c>
      <c r="D47" s="22">
        <f>IFERROR(IF($E$3="","",INDEX('Raw Pressure Data'!$A:$ZZ,ROW()-25,MATCH($E$3,'Raw Pressure Data'!$1:$1,0))),"")</f>
        <v/>
      </c>
      <c r="E47" s="24">
        <f>IF(OR(D47="",D47=-999),"",D47+$E$2)</f>
        <v/>
      </c>
      <c r="F47" s="22">
        <f>IFERROR(IF($E$4="","",INDEX('Raw Pressure Data'!$A:$ZZ,ROW()-25,MATCH($E$4,'Raw Pressure Data'!$1:$1,0))),"")</f>
        <v/>
      </c>
      <c r="G47" s="24">
        <f>IF(OR(F47="",F47=-999),"",F47+$E$2)</f>
        <v/>
      </c>
      <c r="H47" s="22">
        <f>IFERROR(IF($E$5="","",INDEX('Raw Pressure Data'!$A:$ZZ,ROW()-25,MATCH($E$5,'Raw Pressure Data'!$1:$1,0))),"")</f>
        <v/>
      </c>
      <c r="I47" s="24">
        <f>IF(OR(H47="",H47=-999),"",H47+$E$2)</f>
        <v/>
      </c>
    </row>
    <row r="48" ht="15" customHeight="1">
      <c r="A48" s="25">
        <f>IFERROR(IF(INDEX('Raw Flow Data'!$A:$A,ROW()-25)="","",INDEX('Raw Flow Data'!$A:$A,ROW()-25)),"")</f>
        <v/>
      </c>
      <c r="B48" s="26">
        <f>IFERROR(IF($B$3="","",INDEX('Raw Flow Data'!$A:$ZZ,ROW()-25,MATCH($B$3,'Raw Flow Data'!$1:$1,0))),"")</f>
        <v/>
      </c>
      <c r="C48" s="27">
        <f>IF(OR(B48="",B48=-999),"",B48*$B$2)</f>
        <v/>
      </c>
      <c r="D48" s="26">
        <f>IFERROR(IF($E$3="","",INDEX('Raw Pressure Data'!$A:$ZZ,ROW()-25,MATCH($E$3,'Raw Pressure Data'!$1:$1,0))),"")</f>
        <v/>
      </c>
      <c r="E48" s="28">
        <f>IF(OR(D48="",D48=-999),"",D48+$E$2)</f>
        <v/>
      </c>
      <c r="F48" s="26">
        <f>IFERROR(IF($E$4="","",INDEX('Raw Pressure Data'!$A:$ZZ,ROW()-25,MATCH($E$4,'Raw Pressure Data'!$1:$1,0))),"")</f>
        <v/>
      </c>
      <c r="G48" s="28">
        <f>IF(OR(F48="",F48=-999),"",F48+$E$2)</f>
        <v/>
      </c>
      <c r="H48" s="26">
        <f>IFERROR(IF($E$5="","",INDEX('Raw Pressure Data'!$A:$ZZ,ROW()-25,MATCH($E$5,'Raw Pressure Data'!$1:$1,0))),"")</f>
        <v/>
      </c>
      <c r="I48" s="28">
        <f>IF(OR(H48="",H48=-999),"",H48+$E$2)</f>
        <v/>
      </c>
    </row>
    <row r="49" ht="15" customHeight="1">
      <c r="A49" s="21">
        <f>IFERROR(IF(INDEX('Raw Flow Data'!$A:$A,ROW()-25)="","",INDEX('Raw Flow Data'!$A:$A,ROW()-25)),"")</f>
        <v/>
      </c>
      <c r="B49" s="22">
        <f>IFERROR(IF($B$3="","",INDEX('Raw Flow Data'!$A:$ZZ,ROW()-25,MATCH($B$3,'Raw Flow Data'!$1:$1,0))),"")</f>
        <v/>
      </c>
      <c r="C49" s="23">
        <f>IF(OR(B49="",B49=-999),"",B49*$B$2)</f>
        <v/>
      </c>
      <c r="D49" s="22">
        <f>IFERROR(IF($E$3="","",INDEX('Raw Pressure Data'!$A:$ZZ,ROW()-25,MATCH($E$3,'Raw Pressure Data'!$1:$1,0))),"")</f>
        <v/>
      </c>
      <c r="E49" s="24">
        <f>IF(OR(D49="",D49=-999),"",D49+$E$2)</f>
        <v/>
      </c>
      <c r="F49" s="22">
        <f>IFERROR(IF($E$4="","",INDEX('Raw Pressure Data'!$A:$ZZ,ROW()-25,MATCH($E$4,'Raw Pressure Data'!$1:$1,0))),"")</f>
        <v/>
      </c>
      <c r="G49" s="24">
        <f>IF(OR(F49="",F49=-999),"",F49+$E$2)</f>
        <v/>
      </c>
      <c r="H49" s="22">
        <f>IFERROR(IF($E$5="","",INDEX('Raw Pressure Data'!$A:$ZZ,ROW()-25,MATCH($E$5,'Raw Pressure Data'!$1:$1,0))),"")</f>
        <v/>
      </c>
      <c r="I49" s="24">
        <f>IF(OR(H49="",H49=-999),"",H49+$E$2)</f>
        <v/>
      </c>
    </row>
    <row r="50" ht="15" customHeight="1">
      <c r="A50" s="25">
        <f>IFERROR(IF(INDEX('Raw Flow Data'!$A:$A,ROW()-25)="","",INDEX('Raw Flow Data'!$A:$A,ROW()-25)),"")</f>
        <v/>
      </c>
      <c r="B50" s="26">
        <f>IFERROR(IF($B$3="","",INDEX('Raw Flow Data'!$A:$ZZ,ROW()-25,MATCH($B$3,'Raw Flow Data'!$1:$1,0))),"")</f>
        <v/>
      </c>
      <c r="C50" s="27">
        <f>IF(OR(B50="",B50=-999),"",B50*$B$2)</f>
        <v/>
      </c>
      <c r="D50" s="26">
        <f>IFERROR(IF($E$3="","",INDEX('Raw Pressure Data'!$A:$ZZ,ROW()-25,MATCH($E$3,'Raw Pressure Data'!$1:$1,0))),"")</f>
        <v/>
      </c>
      <c r="E50" s="28">
        <f>IF(OR(D50="",D50=-999),"",D50+$E$2)</f>
        <v/>
      </c>
      <c r="F50" s="26">
        <f>IFERROR(IF($E$4="","",INDEX('Raw Pressure Data'!$A:$ZZ,ROW()-25,MATCH($E$4,'Raw Pressure Data'!$1:$1,0))),"")</f>
        <v/>
      </c>
      <c r="G50" s="28">
        <f>IF(OR(F50="",F50=-999),"",F50+$E$2)</f>
        <v/>
      </c>
      <c r="H50" s="26">
        <f>IFERROR(IF($E$5="","",INDEX('Raw Pressure Data'!$A:$ZZ,ROW()-25,MATCH($E$5,'Raw Pressure Data'!$1:$1,0))),"")</f>
        <v/>
      </c>
      <c r="I50" s="28">
        <f>IF(OR(H50="",H50=-999),"",H50+$E$2)</f>
        <v/>
      </c>
    </row>
    <row r="51" ht="15" customHeight="1">
      <c r="A51" s="21">
        <f>IFERROR(IF(INDEX('Raw Flow Data'!$A:$A,ROW()-25)="","",INDEX('Raw Flow Data'!$A:$A,ROW()-25)),"")</f>
        <v/>
      </c>
      <c r="B51" s="22">
        <f>IFERROR(IF($B$3="","",INDEX('Raw Flow Data'!$A:$ZZ,ROW()-25,MATCH($B$3,'Raw Flow Data'!$1:$1,0))),"")</f>
        <v/>
      </c>
      <c r="C51" s="23">
        <f>IF(OR(B51="",B51=-999),"",B51*$B$2)</f>
        <v/>
      </c>
      <c r="D51" s="22">
        <f>IFERROR(IF($E$3="","",INDEX('Raw Pressure Data'!$A:$ZZ,ROW()-25,MATCH($E$3,'Raw Pressure Data'!$1:$1,0))),"")</f>
        <v/>
      </c>
      <c r="E51" s="24">
        <f>IF(OR(D51="",D51=-999),"",D51+$E$2)</f>
        <v/>
      </c>
      <c r="F51" s="22">
        <f>IFERROR(IF($E$4="","",INDEX('Raw Pressure Data'!$A:$ZZ,ROW()-25,MATCH($E$4,'Raw Pressure Data'!$1:$1,0))),"")</f>
        <v/>
      </c>
      <c r="G51" s="24">
        <f>IF(OR(F51="",F51=-999),"",F51+$E$2)</f>
        <v/>
      </c>
      <c r="H51" s="22">
        <f>IFERROR(IF($E$5="","",INDEX('Raw Pressure Data'!$A:$ZZ,ROW()-25,MATCH($E$5,'Raw Pressure Data'!$1:$1,0))),"")</f>
        <v/>
      </c>
      <c r="I51" s="24">
        <f>IF(OR(H51="",H51=-999),"",H51+$E$2)</f>
        <v/>
      </c>
    </row>
    <row r="52" ht="15" customHeight="1">
      <c r="A52" s="25">
        <f>IFERROR(IF(INDEX('Raw Flow Data'!$A:$A,ROW()-25)="","",INDEX('Raw Flow Data'!$A:$A,ROW()-25)),"")</f>
        <v/>
      </c>
      <c r="B52" s="26">
        <f>IFERROR(IF($B$3="","",INDEX('Raw Flow Data'!$A:$ZZ,ROW()-25,MATCH($B$3,'Raw Flow Data'!$1:$1,0))),"")</f>
        <v/>
      </c>
      <c r="C52" s="27">
        <f>IF(OR(B52="",B52=-999),"",B52*$B$2)</f>
        <v/>
      </c>
      <c r="D52" s="26">
        <f>IFERROR(IF($E$3="","",INDEX('Raw Pressure Data'!$A:$ZZ,ROW()-25,MATCH($E$3,'Raw Pressure Data'!$1:$1,0))),"")</f>
        <v/>
      </c>
      <c r="E52" s="28">
        <f>IF(OR(D52="",D52=-999),"",D52+$E$2)</f>
        <v/>
      </c>
      <c r="F52" s="26">
        <f>IFERROR(IF($E$4="","",INDEX('Raw Pressure Data'!$A:$ZZ,ROW()-25,MATCH($E$4,'Raw Pressure Data'!$1:$1,0))),"")</f>
        <v/>
      </c>
      <c r="G52" s="28">
        <f>IF(OR(F52="",F52=-999),"",F52+$E$2)</f>
        <v/>
      </c>
      <c r="H52" s="26">
        <f>IFERROR(IF($E$5="","",INDEX('Raw Pressure Data'!$A:$ZZ,ROW()-25,MATCH($E$5,'Raw Pressure Data'!$1:$1,0))),"")</f>
        <v/>
      </c>
      <c r="I52" s="28">
        <f>IF(OR(H52="",H52=-999),"",H52+$E$2)</f>
        <v/>
      </c>
    </row>
    <row r="53" ht="15" customHeight="1">
      <c r="A53" s="21">
        <f>IFERROR(IF(INDEX('Raw Flow Data'!$A:$A,ROW()-25)="","",INDEX('Raw Flow Data'!$A:$A,ROW()-25)),"")</f>
        <v/>
      </c>
      <c r="B53" s="22">
        <f>IFERROR(IF($B$3="","",INDEX('Raw Flow Data'!$A:$ZZ,ROW()-25,MATCH($B$3,'Raw Flow Data'!$1:$1,0))),"")</f>
        <v/>
      </c>
      <c r="C53" s="23">
        <f>IF(OR(B53="",B53=-999),"",B53*$B$2)</f>
        <v/>
      </c>
      <c r="D53" s="22">
        <f>IFERROR(IF($E$3="","",INDEX('Raw Pressure Data'!$A:$ZZ,ROW()-25,MATCH($E$3,'Raw Pressure Data'!$1:$1,0))),"")</f>
        <v/>
      </c>
      <c r="E53" s="24">
        <f>IF(OR(D53="",D53=-999),"",D53+$E$2)</f>
        <v/>
      </c>
      <c r="F53" s="22">
        <f>IFERROR(IF($E$4="","",INDEX('Raw Pressure Data'!$A:$ZZ,ROW()-25,MATCH($E$4,'Raw Pressure Data'!$1:$1,0))),"")</f>
        <v/>
      </c>
      <c r="G53" s="24">
        <f>IF(OR(F53="",F53=-999),"",F53+$E$2)</f>
        <v/>
      </c>
      <c r="H53" s="22">
        <f>IFERROR(IF($E$5="","",INDEX('Raw Pressure Data'!$A:$ZZ,ROW()-25,MATCH($E$5,'Raw Pressure Data'!$1:$1,0))),"")</f>
        <v/>
      </c>
      <c r="I53" s="24">
        <f>IF(OR(H53="",H53=-999),"",H53+$E$2)</f>
        <v/>
      </c>
    </row>
    <row r="54" ht="15" customHeight="1">
      <c r="A54" s="25">
        <f>IFERROR(IF(INDEX('Raw Flow Data'!$A:$A,ROW()-25)="","",INDEX('Raw Flow Data'!$A:$A,ROW()-25)),"")</f>
        <v/>
      </c>
      <c r="B54" s="26">
        <f>IFERROR(IF($B$3="","",INDEX('Raw Flow Data'!$A:$ZZ,ROW()-25,MATCH($B$3,'Raw Flow Data'!$1:$1,0))),"")</f>
        <v/>
      </c>
      <c r="C54" s="27">
        <f>IF(OR(B54="",B54=-999),"",B54*$B$2)</f>
        <v/>
      </c>
      <c r="D54" s="26">
        <f>IFERROR(IF($E$3="","",INDEX('Raw Pressure Data'!$A:$ZZ,ROW()-25,MATCH($E$3,'Raw Pressure Data'!$1:$1,0))),"")</f>
        <v/>
      </c>
      <c r="E54" s="28">
        <f>IF(OR(D54="",D54=-999),"",D54+$E$2)</f>
        <v/>
      </c>
      <c r="F54" s="26">
        <f>IFERROR(IF($E$4="","",INDEX('Raw Pressure Data'!$A:$ZZ,ROW()-25,MATCH($E$4,'Raw Pressure Data'!$1:$1,0))),"")</f>
        <v/>
      </c>
      <c r="G54" s="28">
        <f>IF(OR(F54="",F54=-999),"",F54+$E$2)</f>
        <v/>
      </c>
      <c r="H54" s="26">
        <f>IFERROR(IF($E$5="","",INDEX('Raw Pressure Data'!$A:$ZZ,ROW()-25,MATCH($E$5,'Raw Pressure Data'!$1:$1,0))),"")</f>
        <v/>
      </c>
      <c r="I54" s="28">
        <f>IF(OR(H54="",H54=-999),"",H54+$E$2)</f>
        <v/>
      </c>
    </row>
    <row r="55" ht="15" customHeight="1">
      <c r="A55" s="21">
        <f>IFERROR(IF(INDEX('Raw Flow Data'!$A:$A,ROW()-25)="","",INDEX('Raw Flow Data'!$A:$A,ROW()-25)),"")</f>
        <v/>
      </c>
      <c r="B55" s="22">
        <f>IFERROR(IF($B$3="","",INDEX('Raw Flow Data'!$A:$ZZ,ROW()-25,MATCH($B$3,'Raw Flow Data'!$1:$1,0))),"")</f>
        <v/>
      </c>
      <c r="C55" s="23">
        <f>IF(OR(B55="",B55=-999),"",B55*$B$2)</f>
        <v/>
      </c>
      <c r="D55" s="22">
        <f>IFERROR(IF($E$3="","",INDEX('Raw Pressure Data'!$A:$ZZ,ROW()-25,MATCH($E$3,'Raw Pressure Data'!$1:$1,0))),"")</f>
        <v/>
      </c>
      <c r="E55" s="24">
        <f>IF(OR(D55="",D55=-999),"",D55+$E$2)</f>
        <v/>
      </c>
      <c r="F55" s="22">
        <f>IFERROR(IF($E$4="","",INDEX('Raw Pressure Data'!$A:$ZZ,ROW()-25,MATCH($E$4,'Raw Pressure Data'!$1:$1,0))),"")</f>
        <v/>
      </c>
      <c r="G55" s="24">
        <f>IF(OR(F55="",F55=-999),"",F55+$E$2)</f>
        <v/>
      </c>
      <c r="H55" s="22">
        <f>IFERROR(IF($E$5="","",INDEX('Raw Pressure Data'!$A:$ZZ,ROW()-25,MATCH($E$5,'Raw Pressure Data'!$1:$1,0))),"")</f>
        <v/>
      </c>
      <c r="I55" s="24">
        <f>IF(OR(H55="",H55=-999),"",H55+$E$2)</f>
        <v/>
      </c>
    </row>
    <row r="56" ht="15" customHeight="1">
      <c r="A56" s="25">
        <f>IFERROR(IF(INDEX('Raw Flow Data'!$A:$A,ROW()-25)="","",INDEX('Raw Flow Data'!$A:$A,ROW()-25)),"")</f>
        <v/>
      </c>
      <c r="B56" s="26">
        <f>IFERROR(IF($B$3="","",INDEX('Raw Flow Data'!$A:$ZZ,ROW()-25,MATCH($B$3,'Raw Flow Data'!$1:$1,0))),"")</f>
        <v/>
      </c>
      <c r="C56" s="27">
        <f>IF(OR(B56="",B56=-999),"",B56*$B$2)</f>
        <v/>
      </c>
      <c r="D56" s="26">
        <f>IFERROR(IF($E$3="","",INDEX('Raw Pressure Data'!$A:$ZZ,ROW()-25,MATCH($E$3,'Raw Pressure Data'!$1:$1,0))),"")</f>
        <v/>
      </c>
      <c r="E56" s="28">
        <f>IF(OR(D56="",D56=-999),"",D56+$E$2)</f>
        <v/>
      </c>
      <c r="F56" s="26">
        <f>IFERROR(IF($E$4="","",INDEX('Raw Pressure Data'!$A:$ZZ,ROW()-25,MATCH($E$4,'Raw Pressure Data'!$1:$1,0))),"")</f>
        <v/>
      </c>
      <c r="G56" s="28">
        <f>IF(OR(F56="",F56=-999),"",F56+$E$2)</f>
        <v/>
      </c>
      <c r="H56" s="26">
        <f>IFERROR(IF($E$5="","",INDEX('Raw Pressure Data'!$A:$ZZ,ROW()-25,MATCH($E$5,'Raw Pressure Data'!$1:$1,0))),"")</f>
        <v/>
      </c>
      <c r="I56" s="28">
        <f>IF(OR(H56="",H56=-999),"",H56+$E$2)</f>
        <v/>
      </c>
    </row>
    <row r="57" ht="15" customHeight="1">
      <c r="A57" s="21">
        <f>IFERROR(IF(INDEX('Raw Flow Data'!$A:$A,ROW()-25)="","",INDEX('Raw Flow Data'!$A:$A,ROW()-25)),"")</f>
        <v/>
      </c>
      <c r="B57" s="22">
        <f>IFERROR(IF($B$3="","",INDEX('Raw Flow Data'!$A:$ZZ,ROW()-25,MATCH($B$3,'Raw Flow Data'!$1:$1,0))),"")</f>
        <v/>
      </c>
      <c r="C57" s="23">
        <f>IF(OR(B57="",B57=-999),"",B57*$B$2)</f>
        <v/>
      </c>
      <c r="D57" s="22">
        <f>IFERROR(IF($E$3="","",INDEX('Raw Pressure Data'!$A:$ZZ,ROW()-25,MATCH($E$3,'Raw Pressure Data'!$1:$1,0))),"")</f>
        <v/>
      </c>
      <c r="E57" s="24">
        <f>IF(OR(D57="",D57=-999),"",D57+$E$2)</f>
        <v/>
      </c>
      <c r="F57" s="22">
        <f>IFERROR(IF($E$4="","",INDEX('Raw Pressure Data'!$A:$ZZ,ROW()-25,MATCH($E$4,'Raw Pressure Data'!$1:$1,0))),"")</f>
        <v/>
      </c>
      <c r="G57" s="24">
        <f>IF(OR(F57="",F57=-999),"",F57+$E$2)</f>
        <v/>
      </c>
      <c r="H57" s="22">
        <f>IFERROR(IF($E$5="","",INDEX('Raw Pressure Data'!$A:$ZZ,ROW()-25,MATCH($E$5,'Raw Pressure Data'!$1:$1,0))),"")</f>
        <v/>
      </c>
      <c r="I57" s="24">
        <f>IF(OR(H57="",H57=-999),"",H57+$E$2)</f>
        <v/>
      </c>
    </row>
    <row r="58" ht="15" customHeight="1">
      <c r="A58" s="25">
        <f>IFERROR(IF(INDEX('Raw Flow Data'!$A:$A,ROW()-25)="","",INDEX('Raw Flow Data'!$A:$A,ROW()-25)),"")</f>
        <v/>
      </c>
      <c r="B58" s="26">
        <f>IFERROR(IF($B$3="","",INDEX('Raw Flow Data'!$A:$ZZ,ROW()-25,MATCH($B$3,'Raw Flow Data'!$1:$1,0))),"")</f>
        <v/>
      </c>
      <c r="C58" s="27">
        <f>IF(OR(B58="",B58=-999),"",B58*$B$2)</f>
        <v/>
      </c>
      <c r="D58" s="26">
        <f>IFERROR(IF($E$3="","",INDEX('Raw Pressure Data'!$A:$ZZ,ROW()-25,MATCH($E$3,'Raw Pressure Data'!$1:$1,0))),"")</f>
        <v/>
      </c>
      <c r="E58" s="28">
        <f>IF(OR(D58="",D58=-999),"",D58+$E$2)</f>
        <v/>
      </c>
      <c r="F58" s="26">
        <f>IFERROR(IF($E$4="","",INDEX('Raw Pressure Data'!$A:$ZZ,ROW()-25,MATCH($E$4,'Raw Pressure Data'!$1:$1,0))),"")</f>
        <v/>
      </c>
      <c r="G58" s="28">
        <f>IF(OR(F58="",F58=-999),"",F58+$E$2)</f>
        <v/>
      </c>
      <c r="H58" s="26">
        <f>IFERROR(IF($E$5="","",INDEX('Raw Pressure Data'!$A:$ZZ,ROW()-25,MATCH($E$5,'Raw Pressure Data'!$1:$1,0))),"")</f>
        <v/>
      </c>
      <c r="I58" s="28">
        <f>IF(OR(H58="",H58=-999),"",H58+$E$2)</f>
        <v/>
      </c>
    </row>
    <row r="59" ht="15" customHeight="1">
      <c r="A59" s="21">
        <f>IFERROR(IF(INDEX('Raw Flow Data'!$A:$A,ROW()-25)="","",INDEX('Raw Flow Data'!$A:$A,ROW()-25)),"")</f>
        <v/>
      </c>
      <c r="B59" s="22">
        <f>IFERROR(IF($B$3="","",INDEX('Raw Flow Data'!$A:$ZZ,ROW()-25,MATCH($B$3,'Raw Flow Data'!$1:$1,0))),"")</f>
        <v/>
      </c>
      <c r="C59" s="23">
        <f>IF(OR(B59="",B59=-999),"",B59*$B$2)</f>
        <v/>
      </c>
      <c r="D59" s="22">
        <f>IFERROR(IF($E$3="","",INDEX('Raw Pressure Data'!$A:$ZZ,ROW()-25,MATCH($E$3,'Raw Pressure Data'!$1:$1,0))),"")</f>
        <v/>
      </c>
      <c r="E59" s="24">
        <f>IF(OR(D59="",D59=-999),"",D59+$E$2)</f>
        <v/>
      </c>
      <c r="F59" s="22">
        <f>IFERROR(IF($E$4="","",INDEX('Raw Pressure Data'!$A:$ZZ,ROW()-25,MATCH($E$4,'Raw Pressure Data'!$1:$1,0))),"")</f>
        <v/>
      </c>
      <c r="G59" s="24">
        <f>IF(OR(F59="",F59=-999),"",F59+$E$2)</f>
        <v/>
      </c>
      <c r="H59" s="22">
        <f>IFERROR(IF($E$5="","",INDEX('Raw Pressure Data'!$A:$ZZ,ROW()-25,MATCH($E$5,'Raw Pressure Data'!$1:$1,0))),"")</f>
        <v/>
      </c>
      <c r="I59" s="24">
        <f>IF(OR(H59="",H59=-999),"",H59+$E$2)</f>
        <v/>
      </c>
    </row>
    <row r="60" ht="15" customHeight="1">
      <c r="A60" s="25">
        <f>IFERROR(IF(INDEX('Raw Flow Data'!$A:$A,ROW()-25)="","",INDEX('Raw Flow Data'!$A:$A,ROW()-25)),"")</f>
        <v/>
      </c>
      <c r="B60" s="26">
        <f>IFERROR(IF($B$3="","",INDEX('Raw Flow Data'!$A:$ZZ,ROW()-25,MATCH($B$3,'Raw Flow Data'!$1:$1,0))),"")</f>
        <v/>
      </c>
      <c r="C60" s="27">
        <f>IF(OR(B60="",B60=-999),"",B60*$B$2)</f>
        <v/>
      </c>
      <c r="D60" s="26">
        <f>IFERROR(IF($E$3="","",INDEX('Raw Pressure Data'!$A:$ZZ,ROW()-25,MATCH($E$3,'Raw Pressure Data'!$1:$1,0))),"")</f>
        <v/>
      </c>
      <c r="E60" s="28">
        <f>IF(OR(D60="",D60=-999),"",D60+$E$2)</f>
        <v/>
      </c>
      <c r="F60" s="26">
        <f>IFERROR(IF($E$4="","",INDEX('Raw Pressure Data'!$A:$ZZ,ROW()-25,MATCH($E$4,'Raw Pressure Data'!$1:$1,0))),"")</f>
        <v/>
      </c>
      <c r="G60" s="28">
        <f>IF(OR(F60="",F60=-999),"",F60+$E$2)</f>
        <v/>
      </c>
      <c r="H60" s="26">
        <f>IFERROR(IF($E$5="","",INDEX('Raw Pressure Data'!$A:$ZZ,ROW()-25,MATCH($E$5,'Raw Pressure Data'!$1:$1,0))),"")</f>
        <v/>
      </c>
      <c r="I60" s="28">
        <f>IF(OR(H60="",H60=-999),"",H60+$E$2)</f>
        <v/>
      </c>
    </row>
    <row r="61" ht="15" customHeight="1">
      <c r="A61" s="21">
        <f>IFERROR(IF(INDEX('Raw Flow Data'!$A:$A,ROW()-25)="","",INDEX('Raw Flow Data'!$A:$A,ROW()-25)),"")</f>
        <v/>
      </c>
      <c r="B61" s="22">
        <f>IFERROR(IF($B$3="","",INDEX('Raw Flow Data'!$A:$ZZ,ROW()-25,MATCH($B$3,'Raw Flow Data'!$1:$1,0))),"")</f>
        <v/>
      </c>
      <c r="C61" s="23">
        <f>IF(OR(B61="",B61=-999),"",B61*$B$2)</f>
        <v/>
      </c>
      <c r="D61" s="22">
        <f>IFERROR(IF($E$3="","",INDEX('Raw Pressure Data'!$A:$ZZ,ROW()-25,MATCH($E$3,'Raw Pressure Data'!$1:$1,0))),"")</f>
        <v/>
      </c>
      <c r="E61" s="24">
        <f>IF(OR(D61="",D61=-999),"",D61+$E$2)</f>
        <v/>
      </c>
      <c r="F61" s="22">
        <f>IFERROR(IF($E$4="","",INDEX('Raw Pressure Data'!$A:$ZZ,ROW()-25,MATCH($E$4,'Raw Pressure Data'!$1:$1,0))),"")</f>
        <v/>
      </c>
      <c r="G61" s="24">
        <f>IF(OR(F61="",F61=-999),"",F61+$E$2)</f>
        <v/>
      </c>
      <c r="H61" s="22">
        <f>IFERROR(IF($E$5="","",INDEX('Raw Pressure Data'!$A:$ZZ,ROW()-25,MATCH($E$5,'Raw Pressure Data'!$1:$1,0))),"")</f>
        <v/>
      </c>
      <c r="I61" s="24">
        <f>IF(OR(H61="",H61=-999),"",H61+$E$2)</f>
        <v/>
      </c>
    </row>
    <row r="62" ht="15" customHeight="1">
      <c r="A62" s="25">
        <f>IFERROR(IF(INDEX('Raw Flow Data'!$A:$A,ROW()-25)="","",INDEX('Raw Flow Data'!$A:$A,ROW()-25)),"")</f>
        <v/>
      </c>
      <c r="B62" s="26">
        <f>IFERROR(IF($B$3="","",INDEX('Raw Flow Data'!$A:$ZZ,ROW()-25,MATCH($B$3,'Raw Flow Data'!$1:$1,0))),"")</f>
        <v/>
      </c>
      <c r="C62" s="27">
        <f>IF(OR(B62="",B62=-999),"",B62*$B$2)</f>
        <v/>
      </c>
      <c r="D62" s="26">
        <f>IFERROR(IF($E$3="","",INDEX('Raw Pressure Data'!$A:$ZZ,ROW()-25,MATCH($E$3,'Raw Pressure Data'!$1:$1,0))),"")</f>
        <v/>
      </c>
      <c r="E62" s="28">
        <f>IF(OR(D62="",D62=-999),"",D62+$E$2)</f>
        <v/>
      </c>
      <c r="F62" s="26">
        <f>IFERROR(IF($E$4="","",INDEX('Raw Pressure Data'!$A:$ZZ,ROW()-25,MATCH($E$4,'Raw Pressure Data'!$1:$1,0))),"")</f>
        <v/>
      </c>
      <c r="G62" s="28">
        <f>IF(OR(F62="",F62=-999),"",F62+$E$2)</f>
        <v/>
      </c>
      <c r="H62" s="26">
        <f>IFERROR(IF($E$5="","",INDEX('Raw Pressure Data'!$A:$ZZ,ROW()-25,MATCH($E$5,'Raw Pressure Data'!$1:$1,0))),"")</f>
        <v/>
      </c>
      <c r="I62" s="28">
        <f>IF(OR(H62="",H62=-999),"",H62+$E$2)</f>
        <v/>
      </c>
    </row>
    <row r="63" ht="15" customHeight="1">
      <c r="A63" s="21">
        <f>IFERROR(IF(INDEX('Raw Flow Data'!$A:$A,ROW()-25)="","",INDEX('Raw Flow Data'!$A:$A,ROW()-25)),"")</f>
        <v/>
      </c>
      <c r="B63" s="22">
        <f>IFERROR(IF($B$3="","",INDEX('Raw Flow Data'!$A:$ZZ,ROW()-25,MATCH($B$3,'Raw Flow Data'!$1:$1,0))),"")</f>
        <v/>
      </c>
      <c r="C63" s="23">
        <f>IF(OR(B63="",B63=-999),"",B63*$B$2)</f>
        <v/>
      </c>
      <c r="D63" s="22">
        <f>IFERROR(IF($E$3="","",INDEX('Raw Pressure Data'!$A:$ZZ,ROW()-25,MATCH($E$3,'Raw Pressure Data'!$1:$1,0))),"")</f>
        <v/>
      </c>
      <c r="E63" s="24">
        <f>IF(OR(D63="",D63=-999),"",D63+$E$2)</f>
        <v/>
      </c>
      <c r="F63" s="22">
        <f>IFERROR(IF($E$4="","",INDEX('Raw Pressure Data'!$A:$ZZ,ROW()-25,MATCH($E$4,'Raw Pressure Data'!$1:$1,0))),"")</f>
        <v/>
      </c>
      <c r="G63" s="24">
        <f>IF(OR(F63="",F63=-999),"",F63+$E$2)</f>
        <v/>
      </c>
      <c r="H63" s="22">
        <f>IFERROR(IF($E$5="","",INDEX('Raw Pressure Data'!$A:$ZZ,ROW()-25,MATCH($E$5,'Raw Pressure Data'!$1:$1,0))),"")</f>
        <v/>
      </c>
      <c r="I63" s="24">
        <f>IF(OR(H63="",H63=-999),"",H63+$E$2)</f>
        <v/>
      </c>
    </row>
    <row r="64" ht="15" customHeight="1">
      <c r="A64" s="25">
        <f>IFERROR(IF(INDEX('Raw Flow Data'!$A:$A,ROW()-25)="","",INDEX('Raw Flow Data'!$A:$A,ROW()-25)),"")</f>
        <v/>
      </c>
      <c r="B64" s="26">
        <f>IFERROR(IF($B$3="","",INDEX('Raw Flow Data'!$A:$ZZ,ROW()-25,MATCH($B$3,'Raw Flow Data'!$1:$1,0))),"")</f>
        <v/>
      </c>
      <c r="C64" s="27">
        <f>IF(OR(B64="",B64=-999),"",B64*$B$2)</f>
        <v/>
      </c>
      <c r="D64" s="26">
        <f>IFERROR(IF($E$3="","",INDEX('Raw Pressure Data'!$A:$ZZ,ROW()-25,MATCH($E$3,'Raw Pressure Data'!$1:$1,0))),"")</f>
        <v/>
      </c>
      <c r="E64" s="28">
        <f>IF(OR(D64="",D64=-999),"",D64+$E$2)</f>
        <v/>
      </c>
      <c r="F64" s="26">
        <f>IFERROR(IF($E$4="","",INDEX('Raw Pressure Data'!$A:$ZZ,ROW()-25,MATCH($E$4,'Raw Pressure Data'!$1:$1,0))),"")</f>
        <v/>
      </c>
      <c r="G64" s="28">
        <f>IF(OR(F64="",F64=-999),"",F64+$E$2)</f>
        <v/>
      </c>
      <c r="H64" s="26">
        <f>IFERROR(IF($E$5="","",INDEX('Raw Pressure Data'!$A:$ZZ,ROW()-25,MATCH($E$5,'Raw Pressure Data'!$1:$1,0))),"")</f>
        <v/>
      </c>
      <c r="I64" s="28">
        <f>IF(OR(H64="",H64=-999),"",H64+$E$2)</f>
        <v/>
      </c>
    </row>
    <row r="65" ht="15" customHeight="1">
      <c r="A65" s="21">
        <f>IFERROR(IF(INDEX('Raw Flow Data'!$A:$A,ROW()-25)="","",INDEX('Raw Flow Data'!$A:$A,ROW()-25)),"")</f>
        <v/>
      </c>
      <c r="B65" s="22">
        <f>IFERROR(IF($B$3="","",INDEX('Raw Flow Data'!$A:$ZZ,ROW()-25,MATCH($B$3,'Raw Flow Data'!$1:$1,0))),"")</f>
        <v/>
      </c>
      <c r="C65" s="23">
        <f>IF(OR(B65="",B65=-999),"",B65*$B$2)</f>
        <v/>
      </c>
      <c r="D65" s="22">
        <f>IFERROR(IF($E$3="","",INDEX('Raw Pressure Data'!$A:$ZZ,ROW()-25,MATCH($E$3,'Raw Pressure Data'!$1:$1,0))),"")</f>
        <v/>
      </c>
      <c r="E65" s="24">
        <f>IF(OR(D65="",D65=-999),"",D65+$E$2)</f>
        <v/>
      </c>
      <c r="F65" s="22">
        <f>IFERROR(IF($E$4="","",INDEX('Raw Pressure Data'!$A:$ZZ,ROW()-25,MATCH($E$4,'Raw Pressure Data'!$1:$1,0))),"")</f>
        <v/>
      </c>
      <c r="G65" s="24">
        <f>IF(OR(F65="",F65=-999),"",F65+$E$2)</f>
        <v/>
      </c>
      <c r="H65" s="22">
        <f>IFERROR(IF($E$5="","",INDEX('Raw Pressure Data'!$A:$ZZ,ROW()-25,MATCH($E$5,'Raw Pressure Data'!$1:$1,0))),"")</f>
        <v/>
      </c>
      <c r="I65" s="24">
        <f>IF(OR(H65="",H65=-999),"",H65+$E$2)</f>
        <v/>
      </c>
    </row>
    <row r="66" ht="15" customHeight="1">
      <c r="A66" s="25">
        <f>IFERROR(IF(INDEX('Raw Flow Data'!$A:$A,ROW()-25)="","",INDEX('Raw Flow Data'!$A:$A,ROW()-25)),"")</f>
        <v/>
      </c>
      <c r="B66" s="26">
        <f>IFERROR(IF($B$3="","",INDEX('Raw Flow Data'!$A:$ZZ,ROW()-25,MATCH($B$3,'Raw Flow Data'!$1:$1,0))),"")</f>
        <v/>
      </c>
      <c r="C66" s="27">
        <f>IF(OR(B66="",B66=-999),"",B66*$B$2)</f>
        <v/>
      </c>
      <c r="D66" s="26">
        <f>IFERROR(IF($E$3="","",INDEX('Raw Pressure Data'!$A:$ZZ,ROW()-25,MATCH($E$3,'Raw Pressure Data'!$1:$1,0))),"")</f>
        <v/>
      </c>
      <c r="E66" s="28">
        <f>IF(OR(D66="",D66=-999),"",D66+$E$2)</f>
        <v/>
      </c>
      <c r="F66" s="26">
        <f>IFERROR(IF($E$4="","",INDEX('Raw Pressure Data'!$A:$ZZ,ROW()-25,MATCH($E$4,'Raw Pressure Data'!$1:$1,0))),"")</f>
        <v/>
      </c>
      <c r="G66" s="28">
        <f>IF(OR(F66="",F66=-999),"",F66+$E$2)</f>
        <v/>
      </c>
      <c r="H66" s="26">
        <f>IFERROR(IF($E$5="","",INDEX('Raw Pressure Data'!$A:$ZZ,ROW()-25,MATCH($E$5,'Raw Pressure Data'!$1:$1,0))),"")</f>
        <v/>
      </c>
      <c r="I66" s="28">
        <f>IF(OR(H66="",H66=-999),"",H66+$E$2)</f>
        <v/>
      </c>
    </row>
    <row r="67" ht="15" customHeight="1">
      <c r="A67" s="21">
        <f>IFERROR(IF(INDEX('Raw Flow Data'!$A:$A,ROW()-25)="","",INDEX('Raw Flow Data'!$A:$A,ROW()-25)),"")</f>
        <v/>
      </c>
      <c r="B67" s="22">
        <f>IFERROR(IF($B$3="","",INDEX('Raw Flow Data'!$A:$ZZ,ROW()-25,MATCH($B$3,'Raw Flow Data'!$1:$1,0))),"")</f>
        <v/>
      </c>
      <c r="C67" s="23">
        <f>IF(OR(B67="",B67=-999),"",B67*$B$2)</f>
        <v/>
      </c>
      <c r="D67" s="22">
        <f>IFERROR(IF($E$3="","",INDEX('Raw Pressure Data'!$A:$ZZ,ROW()-25,MATCH($E$3,'Raw Pressure Data'!$1:$1,0))),"")</f>
        <v/>
      </c>
      <c r="E67" s="24">
        <f>IF(OR(D67="",D67=-999),"",D67+$E$2)</f>
        <v/>
      </c>
      <c r="F67" s="22">
        <f>IFERROR(IF($E$4="","",INDEX('Raw Pressure Data'!$A:$ZZ,ROW()-25,MATCH($E$4,'Raw Pressure Data'!$1:$1,0))),"")</f>
        <v/>
      </c>
      <c r="G67" s="24">
        <f>IF(OR(F67="",F67=-999),"",F67+$E$2)</f>
        <v/>
      </c>
      <c r="H67" s="22">
        <f>IFERROR(IF($E$5="","",INDEX('Raw Pressure Data'!$A:$ZZ,ROW()-25,MATCH($E$5,'Raw Pressure Data'!$1:$1,0))),"")</f>
        <v/>
      </c>
      <c r="I67" s="24">
        <f>IF(OR(H67="",H67=-999),"",H67+$E$2)</f>
        <v/>
      </c>
    </row>
    <row r="68" ht="15" customHeight="1">
      <c r="A68" s="25">
        <f>IFERROR(IF(INDEX('Raw Flow Data'!$A:$A,ROW()-25)="","",INDEX('Raw Flow Data'!$A:$A,ROW()-25)),"")</f>
        <v/>
      </c>
      <c r="B68" s="26">
        <f>IFERROR(IF($B$3="","",INDEX('Raw Flow Data'!$A:$ZZ,ROW()-25,MATCH($B$3,'Raw Flow Data'!$1:$1,0))),"")</f>
        <v/>
      </c>
      <c r="C68" s="27">
        <f>IF(OR(B68="",B68=-999),"",B68*$B$2)</f>
        <v/>
      </c>
      <c r="D68" s="26">
        <f>IFERROR(IF($E$3="","",INDEX('Raw Pressure Data'!$A:$ZZ,ROW()-25,MATCH($E$3,'Raw Pressure Data'!$1:$1,0))),"")</f>
        <v/>
      </c>
      <c r="E68" s="28">
        <f>IF(OR(D68="",D68=-999),"",D68+$E$2)</f>
        <v/>
      </c>
      <c r="F68" s="26">
        <f>IFERROR(IF($E$4="","",INDEX('Raw Pressure Data'!$A:$ZZ,ROW()-25,MATCH($E$4,'Raw Pressure Data'!$1:$1,0))),"")</f>
        <v/>
      </c>
      <c r="G68" s="28">
        <f>IF(OR(F68="",F68=-999),"",F68+$E$2)</f>
        <v/>
      </c>
      <c r="H68" s="26">
        <f>IFERROR(IF($E$5="","",INDEX('Raw Pressure Data'!$A:$ZZ,ROW()-25,MATCH($E$5,'Raw Pressure Data'!$1:$1,0))),"")</f>
        <v/>
      </c>
      <c r="I68" s="28">
        <f>IF(OR(H68="",H68=-999),"",H68+$E$2)</f>
        <v/>
      </c>
    </row>
    <row r="69" ht="15" customHeight="1">
      <c r="A69" s="21">
        <f>IFERROR(IF(INDEX('Raw Flow Data'!$A:$A,ROW()-25)="","",INDEX('Raw Flow Data'!$A:$A,ROW()-25)),"")</f>
        <v/>
      </c>
      <c r="B69" s="22">
        <f>IFERROR(IF($B$3="","",INDEX('Raw Flow Data'!$A:$ZZ,ROW()-25,MATCH($B$3,'Raw Flow Data'!$1:$1,0))),"")</f>
        <v/>
      </c>
      <c r="C69" s="23">
        <f>IF(OR(B69="",B69=-999),"",B69*$B$2)</f>
        <v/>
      </c>
      <c r="D69" s="22">
        <f>IFERROR(IF($E$3="","",INDEX('Raw Pressure Data'!$A:$ZZ,ROW()-25,MATCH($E$3,'Raw Pressure Data'!$1:$1,0))),"")</f>
        <v/>
      </c>
      <c r="E69" s="24">
        <f>IF(OR(D69="",D69=-999),"",D69+$E$2)</f>
        <v/>
      </c>
      <c r="F69" s="22">
        <f>IFERROR(IF($E$4="","",INDEX('Raw Pressure Data'!$A:$ZZ,ROW()-25,MATCH($E$4,'Raw Pressure Data'!$1:$1,0))),"")</f>
        <v/>
      </c>
      <c r="G69" s="24">
        <f>IF(OR(F69="",F69=-999),"",F69+$E$2)</f>
        <v/>
      </c>
      <c r="H69" s="22">
        <f>IFERROR(IF($E$5="","",INDEX('Raw Pressure Data'!$A:$ZZ,ROW()-25,MATCH($E$5,'Raw Pressure Data'!$1:$1,0))),"")</f>
        <v/>
      </c>
      <c r="I69" s="24">
        <f>IF(OR(H69="",H69=-999),"",H69+$E$2)</f>
        <v/>
      </c>
    </row>
    <row r="70" ht="15" customHeight="1">
      <c r="A70" s="25">
        <f>IFERROR(IF(INDEX('Raw Flow Data'!$A:$A,ROW()-25)="","",INDEX('Raw Flow Data'!$A:$A,ROW()-25)),"")</f>
        <v/>
      </c>
      <c r="B70" s="26">
        <f>IFERROR(IF($B$3="","",INDEX('Raw Flow Data'!$A:$ZZ,ROW()-25,MATCH($B$3,'Raw Flow Data'!$1:$1,0))),"")</f>
        <v/>
      </c>
      <c r="C70" s="27">
        <f>IF(OR(B70="",B70=-999),"",B70*$B$2)</f>
        <v/>
      </c>
      <c r="D70" s="26">
        <f>IFERROR(IF($E$3="","",INDEX('Raw Pressure Data'!$A:$ZZ,ROW()-25,MATCH($E$3,'Raw Pressure Data'!$1:$1,0))),"")</f>
        <v/>
      </c>
      <c r="E70" s="28">
        <f>IF(OR(D70="",D70=-999),"",D70+$E$2)</f>
        <v/>
      </c>
      <c r="F70" s="26">
        <f>IFERROR(IF($E$4="","",INDEX('Raw Pressure Data'!$A:$ZZ,ROW()-25,MATCH($E$4,'Raw Pressure Data'!$1:$1,0))),"")</f>
        <v/>
      </c>
      <c r="G70" s="28">
        <f>IF(OR(F70="",F70=-999),"",F70+$E$2)</f>
        <v/>
      </c>
      <c r="H70" s="26">
        <f>IFERROR(IF($E$5="","",INDEX('Raw Pressure Data'!$A:$ZZ,ROW()-25,MATCH($E$5,'Raw Pressure Data'!$1:$1,0))),"")</f>
        <v/>
      </c>
      <c r="I70" s="28">
        <f>IF(OR(H70="",H70=-999),"",H70+$E$2)</f>
        <v/>
      </c>
    </row>
    <row r="71" ht="15" customHeight="1">
      <c r="A71" s="21">
        <f>IFERROR(IF(INDEX('Raw Flow Data'!$A:$A,ROW()-25)="","",INDEX('Raw Flow Data'!$A:$A,ROW()-25)),"")</f>
        <v/>
      </c>
      <c r="B71" s="22">
        <f>IFERROR(IF($B$3="","",INDEX('Raw Flow Data'!$A:$ZZ,ROW()-25,MATCH($B$3,'Raw Flow Data'!$1:$1,0))),"")</f>
        <v/>
      </c>
      <c r="C71" s="23">
        <f>IF(OR(B71="",B71=-999),"",B71*$B$2)</f>
        <v/>
      </c>
      <c r="D71" s="22">
        <f>IFERROR(IF($E$3="","",INDEX('Raw Pressure Data'!$A:$ZZ,ROW()-25,MATCH($E$3,'Raw Pressure Data'!$1:$1,0))),"")</f>
        <v/>
      </c>
      <c r="E71" s="24">
        <f>IF(OR(D71="",D71=-999),"",D71+$E$2)</f>
        <v/>
      </c>
      <c r="F71" s="22">
        <f>IFERROR(IF($E$4="","",INDEX('Raw Pressure Data'!$A:$ZZ,ROW()-25,MATCH($E$4,'Raw Pressure Data'!$1:$1,0))),"")</f>
        <v/>
      </c>
      <c r="G71" s="24">
        <f>IF(OR(F71="",F71=-999),"",F71+$E$2)</f>
        <v/>
      </c>
      <c r="H71" s="22">
        <f>IFERROR(IF($E$5="","",INDEX('Raw Pressure Data'!$A:$ZZ,ROW()-25,MATCH($E$5,'Raw Pressure Data'!$1:$1,0))),"")</f>
        <v/>
      </c>
      <c r="I71" s="24">
        <f>IF(OR(H71="",H71=-999),"",H71+$E$2)</f>
        <v/>
      </c>
    </row>
    <row r="72" ht="15" customHeight="1">
      <c r="A72" s="25">
        <f>IFERROR(IF(INDEX('Raw Flow Data'!$A:$A,ROW()-25)="","",INDEX('Raw Flow Data'!$A:$A,ROW()-25)),"")</f>
        <v/>
      </c>
      <c r="B72" s="26">
        <f>IFERROR(IF($B$3="","",INDEX('Raw Flow Data'!$A:$ZZ,ROW()-25,MATCH($B$3,'Raw Flow Data'!$1:$1,0))),"")</f>
        <v/>
      </c>
      <c r="C72" s="27">
        <f>IF(OR(B72="",B72=-999),"",B72*$B$2)</f>
        <v/>
      </c>
      <c r="D72" s="26">
        <f>IFERROR(IF($E$3="","",INDEX('Raw Pressure Data'!$A:$ZZ,ROW()-25,MATCH($E$3,'Raw Pressure Data'!$1:$1,0))),"")</f>
        <v/>
      </c>
      <c r="E72" s="28">
        <f>IF(OR(D72="",D72=-999),"",D72+$E$2)</f>
        <v/>
      </c>
      <c r="F72" s="26">
        <f>IFERROR(IF($E$4="","",INDEX('Raw Pressure Data'!$A:$ZZ,ROW()-25,MATCH($E$4,'Raw Pressure Data'!$1:$1,0))),"")</f>
        <v/>
      </c>
      <c r="G72" s="28">
        <f>IF(OR(F72="",F72=-999),"",F72+$E$2)</f>
        <v/>
      </c>
      <c r="H72" s="26">
        <f>IFERROR(IF($E$5="","",INDEX('Raw Pressure Data'!$A:$ZZ,ROW()-25,MATCH($E$5,'Raw Pressure Data'!$1:$1,0))),"")</f>
        <v/>
      </c>
      <c r="I72" s="28">
        <f>IF(OR(H72="",H72=-999),"",H72+$E$2)</f>
        <v/>
      </c>
    </row>
    <row r="73" ht="15" customHeight="1">
      <c r="A73" s="21">
        <f>IFERROR(IF(INDEX('Raw Flow Data'!$A:$A,ROW()-25)="","",INDEX('Raw Flow Data'!$A:$A,ROW()-25)),"")</f>
        <v/>
      </c>
      <c r="B73" s="22">
        <f>IFERROR(IF($B$3="","",INDEX('Raw Flow Data'!$A:$ZZ,ROW()-25,MATCH($B$3,'Raw Flow Data'!$1:$1,0))),"")</f>
        <v/>
      </c>
      <c r="C73" s="23">
        <f>IF(OR(B73="",B73=-999),"",B73*$B$2)</f>
        <v/>
      </c>
      <c r="D73" s="22">
        <f>IFERROR(IF($E$3="","",INDEX('Raw Pressure Data'!$A:$ZZ,ROW()-25,MATCH($E$3,'Raw Pressure Data'!$1:$1,0))),"")</f>
        <v/>
      </c>
      <c r="E73" s="24">
        <f>IF(OR(D73="",D73=-999),"",D73+$E$2)</f>
        <v/>
      </c>
      <c r="F73" s="22">
        <f>IFERROR(IF($E$4="","",INDEX('Raw Pressure Data'!$A:$ZZ,ROW()-25,MATCH($E$4,'Raw Pressure Data'!$1:$1,0))),"")</f>
        <v/>
      </c>
      <c r="G73" s="24">
        <f>IF(OR(F73="",F73=-999),"",F73+$E$2)</f>
        <v/>
      </c>
      <c r="H73" s="22">
        <f>IFERROR(IF($E$5="","",INDEX('Raw Pressure Data'!$A:$ZZ,ROW()-25,MATCH($E$5,'Raw Pressure Data'!$1:$1,0))),"")</f>
        <v/>
      </c>
      <c r="I73" s="24">
        <f>IF(OR(H73="",H73=-999),"",H73+$E$2)</f>
        <v/>
      </c>
    </row>
    <row r="74" ht="15" customHeight="1">
      <c r="A74" s="25">
        <f>IFERROR(IF(INDEX('Raw Flow Data'!$A:$A,ROW()-25)="","",INDEX('Raw Flow Data'!$A:$A,ROW()-25)),"")</f>
        <v/>
      </c>
      <c r="B74" s="26">
        <f>IFERROR(IF($B$3="","",INDEX('Raw Flow Data'!$A:$ZZ,ROW()-25,MATCH($B$3,'Raw Flow Data'!$1:$1,0))),"")</f>
        <v/>
      </c>
      <c r="C74" s="27">
        <f>IF(OR(B74="",B74=-999),"",B74*$B$2)</f>
        <v/>
      </c>
      <c r="D74" s="26">
        <f>IFERROR(IF($E$3="","",INDEX('Raw Pressure Data'!$A:$ZZ,ROW()-25,MATCH($E$3,'Raw Pressure Data'!$1:$1,0))),"")</f>
        <v/>
      </c>
      <c r="E74" s="28">
        <f>IF(OR(D74="",D74=-999),"",D74+$E$2)</f>
        <v/>
      </c>
      <c r="F74" s="26">
        <f>IFERROR(IF($E$4="","",INDEX('Raw Pressure Data'!$A:$ZZ,ROW()-25,MATCH($E$4,'Raw Pressure Data'!$1:$1,0))),"")</f>
        <v/>
      </c>
      <c r="G74" s="28">
        <f>IF(OR(F74="",F74=-999),"",F74+$E$2)</f>
        <v/>
      </c>
      <c r="H74" s="26">
        <f>IFERROR(IF($E$5="","",INDEX('Raw Pressure Data'!$A:$ZZ,ROW()-25,MATCH($E$5,'Raw Pressure Data'!$1:$1,0))),"")</f>
        <v/>
      </c>
      <c r="I74" s="28">
        <f>IF(OR(H74="",H74=-999),"",H74+$E$2)</f>
        <v/>
      </c>
    </row>
    <row r="75" ht="15" customHeight="1">
      <c r="A75" s="21">
        <f>IFERROR(IF(INDEX('Raw Flow Data'!$A:$A,ROW()-25)="","",INDEX('Raw Flow Data'!$A:$A,ROW()-25)),"")</f>
        <v/>
      </c>
      <c r="B75" s="22">
        <f>IFERROR(IF($B$3="","",INDEX('Raw Flow Data'!$A:$ZZ,ROW()-25,MATCH($B$3,'Raw Flow Data'!$1:$1,0))),"")</f>
        <v/>
      </c>
      <c r="C75" s="23">
        <f>IF(OR(B75="",B75=-999),"",B75*$B$2)</f>
        <v/>
      </c>
      <c r="D75" s="22">
        <f>IFERROR(IF($E$3="","",INDEX('Raw Pressure Data'!$A:$ZZ,ROW()-25,MATCH($E$3,'Raw Pressure Data'!$1:$1,0))),"")</f>
        <v/>
      </c>
      <c r="E75" s="24">
        <f>IF(OR(D75="",D75=-999),"",D75+$E$2)</f>
        <v/>
      </c>
      <c r="F75" s="22">
        <f>IFERROR(IF($E$4="","",INDEX('Raw Pressure Data'!$A:$ZZ,ROW()-25,MATCH($E$4,'Raw Pressure Data'!$1:$1,0))),"")</f>
        <v/>
      </c>
      <c r="G75" s="24">
        <f>IF(OR(F75="",F75=-999),"",F75+$E$2)</f>
        <v/>
      </c>
      <c r="H75" s="22">
        <f>IFERROR(IF($E$5="","",INDEX('Raw Pressure Data'!$A:$ZZ,ROW()-25,MATCH($E$5,'Raw Pressure Data'!$1:$1,0))),"")</f>
        <v/>
      </c>
      <c r="I75" s="24">
        <f>IF(OR(H75="",H75=-999),"",H75+$E$2)</f>
        <v/>
      </c>
    </row>
    <row r="76" ht="15" customHeight="1">
      <c r="A76" s="25">
        <f>IFERROR(IF(INDEX('Raw Flow Data'!$A:$A,ROW()-25)="","",INDEX('Raw Flow Data'!$A:$A,ROW()-25)),"")</f>
        <v/>
      </c>
      <c r="B76" s="26">
        <f>IFERROR(IF($B$3="","",INDEX('Raw Flow Data'!$A:$ZZ,ROW()-25,MATCH($B$3,'Raw Flow Data'!$1:$1,0))),"")</f>
        <v/>
      </c>
      <c r="C76" s="27">
        <f>IF(OR(B76="",B76=-999),"",B76*$B$2)</f>
        <v/>
      </c>
      <c r="D76" s="26">
        <f>IFERROR(IF($E$3="","",INDEX('Raw Pressure Data'!$A:$ZZ,ROW()-25,MATCH($E$3,'Raw Pressure Data'!$1:$1,0))),"")</f>
        <v/>
      </c>
      <c r="E76" s="28">
        <f>IF(OR(D76="",D76=-999),"",D76+$E$2)</f>
        <v/>
      </c>
      <c r="F76" s="26">
        <f>IFERROR(IF($E$4="","",INDEX('Raw Pressure Data'!$A:$ZZ,ROW()-25,MATCH($E$4,'Raw Pressure Data'!$1:$1,0))),"")</f>
        <v/>
      </c>
      <c r="G76" s="28">
        <f>IF(OR(F76="",F76=-999),"",F76+$E$2)</f>
        <v/>
      </c>
      <c r="H76" s="26">
        <f>IFERROR(IF($E$5="","",INDEX('Raw Pressure Data'!$A:$ZZ,ROW()-25,MATCH($E$5,'Raw Pressure Data'!$1:$1,0))),"")</f>
        <v/>
      </c>
      <c r="I76" s="28">
        <f>IF(OR(H76="",H76=-999),"",H76+$E$2)</f>
        <v/>
      </c>
    </row>
    <row r="77" ht="15" customHeight="1">
      <c r="A77" s="21">
        <f>IFERROR(IF(INDEX('Raw Flow Data'!$A:$A,ROW()-25)="","",INDEX('Raw Flow Data'!$A:$A,ROW()-25)),"")</f>
        <v/>
      </c>
      <c r="B77" s="22">
        <f>IFERROR(IF($B$3="","",INDEX('Raw Flow Data'!$A:$ZZ,ROW()-25,MATCH($B$3,'Raw Flow Data'!$1:$1,0))),"")</f>
        <v/>
      </c>
      <c r="C77" s="23">
        <f>IF(OR(B77="",B77=-999),"",B77*$B$2)</f>
        <v/>
      </c>
      <c r="D77" s="22">
        <f>IFERROR(IF($E$3="","",INDEX('Raw Pressure Data'!$A:$ZZ,ROW()-25,MATCH($E$3,'Raw Pressure Data'!$1:$1,0))),"")</f>
        <v/>
      </c>
      <c r="E77" s="24">
        <f>IF(OR(D77="",D77=-999),"",D77+$E$2)</f>
        <v/>
      </c>
      <c r="F77" s="22">
        <f>IFERROR(IF($E$4="","",INDEX('Raw Pressure Data'!$A:$ZZ,ROW()-25,MATCH($E$4,'Raw Pressure Data'!$1:$1,0))),"")</f>
        <v/>
      </c>
      <c r="G77" s="24">
        <f>IF(OR(F77="",F77=-999),"",F77+$E$2)</f>
        <v/>
      </c>
      <c r="H77" s="22">
        <f>IFERROR(IF($E$5="","",INDEX('Raw Pressure Data'!$A:$ZZ,ROW()-25,MATCH($E$5,'Raw Pressure Data'!$1:$1,0))),"")</f>
        <v/>
      </c>
      <c r="I77" s="24">
        <f>IF(OR(H77="",H77=-999),"",H77+$E$2)</f>
        <v/>
      </c>
    </row>
    <row r="78" ht="15" customHeight="1">
      <c r="A78" s="25">
        <f>IFERROR(IF(INDEX('Raw Flow Data'!$A:$A,ROW()-25)="","",INDEX('Raw Flow Data'!$A:$A,ROW()-25)),"")</f>
        <v/>
      </c>
      <c r="B78" s="26">
        <f>IFERROR(IF($B$3="","",INDEX('Raw Flow Data'!$A:$ZZ,ROW()-25,MATCH($B$3,'Raw Flow Data'!$1:$1,0))),"")</f>
        <v/>
      </c>
      <c r="C78" s="27">
        <f>IF(OR(B78="",B78=-999),"",B78*$B$2)</f>
        <v/>
      </c>
      <c r="D78" s="26">
        <f>IFERROR(IF($E$3="","",INDEX('Raw Pressure Data'!$A:$ZZ,ROW()-25,MATCH($E$3,'Raw Pressure Data'!$1:$1,0))),"")</f>
        <v/>
      </c>
      <c r="E78" s="28">
        <f>IF(OR(D78="",D78=-999),"",D78+$E$2)</f>
        <v/>
      </c>
      <c r="F78" s="26">
        <f>IFERROR(IF($E$4="","",INDEX('Raw Pressure Data'!$A:$ZZ,ROW()-25,MATCH($E$4,'Raw Pressure Data'!$1:$1,0))),"")</f>
        <v/>
      </c>
      <c r="G78" s="28">
        <f>IF(OR(F78="",F78=-999),"",F78+$E$2)</f>
        <v/>
      </c>
      <c r="H78" s="26">
        <f>IFERROR(IF($E$5="","",INDEX('Raw Pressure Data'!$A:$ZZ,ROW()-25,MATCH($E$5,'Raw Pressure Data'!$1:$1,0))),"")</f>
        <v/>
      </c>
      <c r="I78" s="28">
        <f>IF(OR(H78="",H78=-999),"",H78+$E$2)</f>
        <v/>
      </c>
    </row>
    <row r="79" ht="15" customHeight="1">
      <c r="A79" s="21">
        <f>IFERROR(IF(INDEX('Raw Flow Data'!$A:$A,ROW()-25)="","",INDEX('Raw Flow Data'!$A:$A,ROW()-25)),"")</f>
        <v/>
      </c>
      <c r="B79" s="22">
        <f>IFERROR(IF($B$3="","",INDEX('Raw Flow Data'!$A:$ZZ,ROW()-25,MATCH($B$3,'Raw Flow Data'!$1:$1,0))),"")</f>
        <v/>
      </c>
      <c r="C79" s="23">
        <f>IF(OR(B79="",B79=-999),"",B79*$B$2)</f>
        <v/>
      </c>
      <c r="D79" s="22">
        <f>IFERROR(IF($E$3="","",INDEX('Raw Pressure Data'!$A:$ZZ,ROW()-25,MATCH($E$3,'Raw Pressure Data'!$1:$1,0))),"")</f>
        <v/>
      </c>
      <c r="E79" s="24">
        <f>IF(OR(D79="",D79=-999),"",D79+$E$2)</f>
        <v/>
      </c>
      <c r="F79" s="22">
        <f>IFERROR(IF($E$4="","",INDEX('Raw Pressure Data'!$A:$ZZ,ROW()-25,MATCH($E$4,'Raw Pressure Data'!$1:$1,0))),"")</f>
        <v/>
      </c>
      <c r="G79" s="24">
        <f>IF(OR(F79="",F79=-999),"",F79+$E$2)</f>
        <v/>
      </c>
      <c r="H79" s="22">
        <f>IFERROR(IF($E$5="","",INDEX('Raw Pressure Data'!$A:$ZZ,ROW()-25,MATCH($E$5,'Raw Pressure Data'!$1:$1,0))),"")</f>
        <v/>
      </c>
      <c r="I79" s="24">
        <f>IF(OR(H79="",H79=-999),"",H79+$E$2)</f>
        <v/>
      </c>
    </row>
    <row r="80" ht="15" customHeight="1">
      <c r="A80" s="25">
        <f>IFERROR(IF(INDEX('Raw Flow Data'!$A:$A,ROW()-25)="","",INDEX('Raw Flow Data'!$A:$A,ROW()-25)),"")</f>
        <v/>
      </c>
      <c r="B80" s="26">
        <f>IFERROR(IF($B$3="","",INDEX('Raw Flow Data'!$A:$ZZ,ROW()-25,MATCH($B$3,'Raw Flow Data'!$1:$1,0))),"")</f>
        <v/>
      </c>
      <c r="C80" s="27">
        <f>IF(OR(B80="",B80=-999),"",B80*$B$2)</f>
        <v/>
      </c>
      <c r="D80" s="26">
        <f>IFERROR(IF($E$3="","",INDEX('Raw Pressure Data'!$A:$ZZ,ROW()-25,MATCH($E$3,'Raw Pressure Data'!$1:$1,0))),"")</f>
        <v/>
      </c>
      <c r="E80" s="28">
        <f>IF(OR(D80="",D80=-999),"",D80+$E$2)</f>
        <v/>
      </c>
      <c r="F80" s="26">
        <f>IFERROR(IF($E$4="","",INDEX('Raw Pressure Data'!$A:$ZZ,ROW()-25,MATCH($E$4,'Raw Pressure Data'!$1:$1,0))),"")</f>
        <v/>
      </c>
      <c r="G80" s="28">
        <f>IF(OR(F80="",F80=-999),"",F80+$E$2)</f>
        <v/>
      </c>
      <c r="H80" s="26">
        <f>IFERROR(IF($E$5="","",INDEX('Raw Pressure Data'!$A:$ZZ,ROW()-25,MATCH($E$5,'Raw Pressure Data'!$1:$1,0))),"")</f>
        <v/>
      </c>
      <c r="I80" s="28">
        <f>IF(OR(H80="",H80=-999),"",H80+$E$2)</f>
        <v/>
      </c>
    </row>
    <row r="81" ht="15" customHeight="1">
      <c r="A81" s="21">
        <f>IFERROR(IF(INDEX('Raw Flow Data'!$A:$A,ROW()-25)="","",INDEX('Raw Flow Data'!$A:$A,ROW()-25)),"")</f>
        <v/>
      </c>
      <c r="B81" s="22">
        <f>IFERROR(IF($B$3="","",INDEX('Raw Flow Data'!$A:$ZZ,ROW()-25,MATCH($B$3,'Raw Flow Data'!$1:$1,0))),"")</f>
        <v/>
      </c>
      <c r="C81" s="23">
        <f>IF(OR(B81="",B81=-999),"",B81*$B$2)</f>
        <v/>
      </c>
      <c r="D81" s="22">
        <f>IFERROR(IF($E$3="","",INDEX('Raw Pressure Data'!$A:$ZZ,ROW()-25,MATCH($E$3,'Raw Pressure Data'!$1:$1,0))),"")</f>
        <v/>
      </c>
      <c r="E81" s="24">
        <f>IF(OR(D81="",D81=-999),"",D81+$E$2)</f>
        <v/>
      </c>
      <c r="F81" s="22">
        <f>IFERROR(IF($E$4="","",INDEX('Raw Pressure Data'!$A:$ZZ,ROW()-25,MATCH($E$4,'Raw Pressure Data'!$1:$1,0))),"")</f>
        <v/>
      </c>
      <c r="G81" s="24">
        <f>IF(OR(F81="",F81=-999),"",F81+$E$2)</f>
        <v/>
      </c>
      <c r="H81" s="22">
        <f>IFERROR(IF($E$5="","",INDEX('Raw Pressure Data'!$A:$ZZ,ROW()-25,MATCH($E$5,'Raw Pressure Data'!$1:$1,0))),"")</f>
        <v/>
      </c>
      <c r="I81" s="24">
        <f>IF(OR(H81="",H81=-999),"",H81+$E$2)</f>
        <v/>
      </c>
    </row>
    <row r="82" ht="15" customHeight="1">
      <c r="A82" s="25">
        <f>IFERROR(IF(INDEX('Raw Flow Data'!$A:$A,ROW()-25)="","",INDEX('Raw Flow Data'!$A:$A,ROW()-25)),"")</f>
        <v/>
      </c>
      <c r="B82" s="26">
        <f>IFERROR(IF($B$3="","",INDEX('Raw Flow Data'!$A:$ZZ,ROW()-25,MATCH($B$3,'Raw Flow Data'!$1:$1,0))),"")</f>
        <v/>
      </c>
      <c r="C82" s="27">
        <f>IF(OR(B82="",B82=-999),"",B82*$B$2)</f>
        <v/>
      </c>
      <c r="D82" s="26">
        <f>IFERROR(IF($E$3="","",INDEX('Raw Pressure Data'!$A:$ZZ,ROW()-25,MATCH($E$3,'Raw Pressure Data'!$1:$1,0))),"")</f>
        <v/>
      </c>
      <c r="E82" s="28">
        <f>IF(OR(D82="",D82=-999),"",D82+$E$2)</f>
        <v/>
      </c>
      <c r="F82" s="26">
        <f>IFERROR(IF($E$4="","",INDEX('Raw Pressure Data'!$A:$ZZ,ROW()-25,MATCH($E$4,'Raw Pressure Data'!$1:$1,0))),"")</f>
        <v/>
      </c>
      <c r="G82" s="28">
        <f>IF(OR(F82="",F82=-999),"",F82+$E$2)</f>
        <v/>
      </c>
      <c r="H82" s="26">
        <f>IFERROR(IF($E$5="","",INDEX('Raw Pressure Data'!$A:$ZZ,ROW()-25,MATCH($E$5,'Raw Pressure Data'!$1:$1,0))),"")</f>
        <v/>
      </c>
      <c r="I82" s="28">
        <f>IF(OR(H82="",H82=-999),"",H82+$E$2)</f>
        <v/>
      </c>
    </row>
    <row r="83" ht="15" customHeight="1">
      <c r="A83" s="21">
        <f>IFERROR(IF(INDEX('Raw Flow Data'!$A:$A,ROW()-25)="","",INDEX('Raw Flow Data'!$A:$A,ROW()-25)),"")</f>
        <v/>
      </c>
      <c r="B83" s="22">
        <f>IFERROR(IF($B$3="","",INDEX('Raw Flow Data'!$A:$ZZ,ROW()-25,MATCH($B$3,'Raw Flow Data'!$1:$1,0))),"")</f>
        <v/>
      </c>
      <c r="C83" s="23">
        <f>IF(OR(B83="",B83=-999),"",B83*$B$2)</f>
        <v/>
      </c>
      <c r="D83" s="22">
        <f>IFERROR(IF($E$3="","",INDEX('Raw Pressure Data'!$A:$ZZ,ROW()-25,MATCH($E$3,'Raw Pressure Data'!$1:$1,0))),"")</f>
        <v/>
      </c>
      <c r="E83" s="24">
        <f>IF(OR(D83="",D83=-999),"",D83+$E$2)</f>
        <v/>
      </c>
      <c r="F83" s="22">
        <f>IFERROR(IF($E$4="","",INDEX('Raw Pressure Data'!$A:$ZZ,ROW()-25,MATCH($E$4,'Raw Pressure Data'!$1:$1,0))),"")</f>
        <v/>
      </c>
      <c r="G83" s="24">
        <f>IF(OR(F83="",F83=-999),"",F83+$E$2)</f>
        <v/>
      </c>
      <c r="H83" s="22">
        <f>IFERROR(IF($E$5="","",INDEX('Raw Pressure Data'!$A:$ZZ,ROW()-25,MATCH($E$5,'Raw Pressure Data'!$1:$1,0))),"")</f>
        <v/>
      </c>
      <c r="I83" s="24">
        <f>IF(OR(H83="",H83=-999),"",H83+$E$2)</f>
        <v/>
      </c>
    </row>
    <row r="84" ht="15" customHeight="1">
      <c r="A84" s="25">
        <f>IFERROR(IF(INDEX('Raw Flow Data'!$A:$A,ROW()-25)="","",INDEX('Raw Flow Data'!$A:$A,ROW()-25)),"")</f>
        <v/>
      </c>
      <c r="B84" s="26">
        <f>IFERROR(IF($B$3="","",INDEX('Raw Flow Data'!$A:$ZZ,ROW()-25,MATCH($B$3,'Raw Flow Data'!$1:$1,0))),"")</f>
        <v/>
      </c>
      <c r="C84" s="27">
        <f>IF(OR(B84="",B84=-999),"",B84*$B$2)</f>
        <v/>
      </c>
      <c r="D84" s="26">
        <f>IFERROR(IF($E$3="","",INDEX('Raw Pressure Data'!$A:$ZZ,ROW()-25,MATCH($E$3,'Raw Pressure Data'!$1:$1,0))),"")</f>
        <v/>
      </c>
      <c r="E84" s="28">
        <f>IF(OR(D84="",D84=-999),"",D84+$E$2)</f>
        <v/>
      </c>
      <c r="F84" s="26">
        <f>IFERROR(IF($E$4="","",INDEX('Raw Pressure Data'!$A:$ZZ,ROW()-25,MATCH($E$4,'Raw Pressure Data'!$1:$1,0))),"")</f>
        <v/>
      </c>
      <c r="G84" s="28">
        <f>IF(OR(F84="",F84=-999),"",F84+$E$2)</f>
        <v/>
      </c>
      <c r="H84" s="26">
        <f>IFERROR(IF($E$5="","",INDEX('Raw Pressure Data'!$A:$ZZ,ROW()-25,MATCH($E$5,'Raw Pressure Data'!$1:$1,0))),"")</f>
        <v/>
      </c>
      <c r="I84" s="28">
        <f>IF(OR(H84="",H84=-999),"",H84+$E$2)</f>
        <v/>
      </c>
    </row>
    <row r="85" ht="15" customHeight="1">
      <c r="A85" s="21">
        <f>IFERROR(IF(INDEX('Raw Flow Data'!$A:$A,ROW()-25)="","",INDEX('Raw Flow Data'!$A:$A,ROW()-25)),"")</f>
        <v/>
      </c>
      <c r="B85" s="22">
        <f>IFERROR(IF($B$3="","",INDEX('Raw Flow Data'!$A:$ZZ,ROW()-25,MATCH($B$3,'Raw Flow Data'!$1:$1,0))),"")</f>
        <v/>
      </c>
      <c r="C85" s="23">
        <f>IF(OR(B85="",B85=-999),"",B85*$B$2)</f>
        <v/>
      </c>
      <c r="D85" s="22">
        <f>IFERROR(IF($E$3="","",INDEX('Raw Pressure Data'!$A:$ZZ,ROW()-25,MATCH($E$3,'Raw Pressure Data'!$1:$1,0))),"")</f>
        <v/>
      </c>
      <c r="E85" s="24">
        <f>IF(OR(D85="",D85=-999),"",D85+$E$2)</f>
        <v/>
      </c>
      <c r="F85" s="22">
        <f>IFERROR(IF($E$4="","",INDEX('Raw Pressure Data'!$A:$ZZ,ROW()-25,MATCH($E$4,'Raw Pressure Data'!$1:$1,0))),"")</f>
        <v/>
      </c>
      <c r="G85" s="24">
        <f>IF(OR(F85="",F85=-999),"",F85+$E$2)</f>
        <v/>
      </c>
      <c r="H85" s="22">
        <f>IFERROR(IF($E$5="","",INDEX('Raw Pressure Data'!$A:$ZZ,ROW()-25,MATCH($E$5,'Raw Pressure Data'!$1:$1,0))),"")</f>
        <v/>
      </c>
      <c r="I85" s="24">
        <f>IF(OR(H85="",H85=-999),"",H85+$E$2)</f>
        <v/>
      </c>
    </row>
    <row r="86" ht="15" customHeight="1">
      <c r="A86" s="25">
        <f>IFERROR(IF(INDEX('Raw Flow Data'!$A:$A,ROW()-25)="","",INDEX('Raw Flow Data'!$A:$A,ROW()-25)),"")</f>
        <v/>
      </c>
      <c r="B86" s="26">
        <f>IFERROR(IF($B$3="","",INDEX('Raw Flow Data'!$A:$ZZ,ROW()-25,MATCH($B$3,'Raw Flow Data'!$1:$1,0))),"")</f>
        <v/>
      </c>
      <c r="C86" s="27">
        <f>IF(OR(B86="",B86=-999),"",B86*$B$2)</f>
        <v/>
      </c>
      <c r="D86" s="26">
        <f>IFERROR(IF($E$3="","",INDEX('Raw Pressure Data'!$A:$ZZ,ROW()-25,MATCH($E$3,'Raw Pressure Data'!$1:$1,0))),"")</f>
        <v/>
      </c>
      <c r="E86" s="28">
        <f>IF(OR(D86="",D86=-999),"",D86+$E$2)</f>
        <v/>
      </c>
      <c r="F86" s="26">
        <f>IFERROR(IF($E$4="","",INDEX('Raw Pressure Data'!$A:$ZZ,ROW()-25,MATCH($E$4,'Raw Pressure Data'!$1:$1,0))),"")</f>
        <v/>
      </c>
      <c r="G86" s="28">
        <f>IF(OR(F86="",F86=-999),"",F86+$E$2)</f>
        <v/>
      </c>
      <c r="H86" s="26">
        <f>IFERROR(IF($E$5="","",INDEX('Raw Pressure Data'!$A:$ZZ,ROW()-25,MATCH($E$5,'Raw Pressure Data'!$1:$1,0))),"")</f>
        <v/>
      </c>
      <c r="I86" s="28">
        <f>IF(OR(H86="",H86=-999),"",H86+$E$2)</f>
        <v/>
      </c>
    </row>
    <row r="87" ht="15" customHeight="1">
      <c r="A87" s="21">
        <f>IFERROR(IF(INDEX('Raw Flow Data'!$A:$A,ROW()-25)="","",INDEX('Raw Flow Data'!$A:$A,ROW()-25)),"")</f>
        <v/>
      </c>
      <c r="B87" s="22">
        <f>IFERROR(IF($B$3="","",INDEX('Raw Flow Data'!$A:$ZZ,ROW()-25,MATCH($B$3,'Raw Flow Data'!$1:$1,0))),"")</f>
        <v/>
      </c>
      <c r="C87" s="23">
        <f>IF(OR(B87="",B87=-999),"",B87*$B$2)</f>
        <v/>
      </c>
      <c r="D87" s="22">
        <f>IFERROR(IF($E$3="","",INDEX('Raw Pressure Data'!$A:$ZZ,ROW()-25,MATCH($E$3,'Raw Pressure Data'!$1:$1,0))),"")</f>
        <v/>
      </c>
      <c r="E87" s="24">
        <f>IF(OR(D87="",D87=-999),"",D87+$E$2)</f>
        <v/>
      </c>
      <c r="F87" s="22">
        <f>IFERROR(IF($E$4="","",INDEX('Raw Pressure Data'!$A:$ZZ,ROW()-25,MATCH($E$4,'Raw Pressure Data'!$1:$1,0))),"")</f>
        <v/>
      </c>
      <c r="G87" s="24">
        <f>IF(OR(F87="",F87=-999),"",F87+$E$2)</f>
        <v/>
      </c>
      <c r="H87" s="22">
        <f>IFERROR(IF($E$5="","",INDEX('Raw Pressure Data'!$A:$ZZ,ROW()-25,MATCH($E$5,'Raw Pressure Data'!$1:$1,0))),"")</f>
        <v/>
      </c>
      <c r="I87" s="24">
        <f>IF(OR(H87="",H87=-999),"",H87+$E$2)</f>
        <v/>
      </c>
    </row>
    <row r="88" ht="15" customHeight="1">
      <c r="A88" s="25">
        <f>IFERROR(IF(INDEX('Raw Flow Data'!$A:$A,ROW()-25)="","",INDEX('Raw Flow Data'!$A:$A,ROW()-25)),"")</f>
        <v/>
      </c>
      <c r="B88" s="26">
        <f>IFERROR(IF($B$3="","",INDEX('Raw Flow Data'!$A:$ZZ,ROW()-25,MATCH($B$3,'Raw Flow Data'!$1:$1,0))),"")</f>
        <v/>
      </c>
      <c r="C88" s="27">
        <f>IF(OR(B88="",B88=-999),"",B88*$B$2)</f>
        <v/>
      </c>
      <c r="D88" s="26">
        <f>IFERROR(IF($E$3="","",INDEX('Raw Pressure Data'!$A:$ZZ,ROW()-25,MATCH($E$3,'Raw Pressure Data'!$1:$1,0))),"")</f>
        <v/>
      </c>
      <c r="E88" s="28">
        <f>IF(OR(D88="",D88=-999),"",D88+$E$2)</f>
        <v/>
      </c>
      <c r="F88" s="26">
        <f>IFERROR(IF($E$4="","",INDEX('Raw Pressure Data'!$A:$ZZ,ROW()-25,MATCH($E$4,'Raw Pressure Data'!$1:$1,0))),"")</f>
        <v/>
      </c>
      <c r="G88" s="28">
        <f>IF(OR(F88="",F88=-999),"",F88+$E$2)</f>
        <v/>
      </c>
      <c r="H88" s="26">
        <f>IFERROR(IF($E$5="","",INDEX('Raw Pressure Data'!$A:$ZZ,ROW()-25,MATCH($E$5,'Raw Pressure Data'!$1:$1,0))),"")</f>
        <v/>
      </c>
      <c r="I88" s="28">
        <f>IF(OR(H88="",H88=-999),"",H88+$E$2)</f>
        <v/>
      </c>
    </row>
    <row r="89" ht="15" customHeight="1">
      <c r="A89" s="21">
        <f>IFERROR(IF(INDEX('Raw Flow Data'!$A:$A,ROW()-25)="","",INDEX('Raw Flow Data'!$A:$A,ROW()-25)),"")</f>
        <v/>
      </c>
      <c r="B89" s="22">
        <f>IFERROR(IF($B$3="","",INDEX('Raw Flow Data'!$A:$ZZ,ROW()-25,MATCH($B$3,'Raw Flow Data'!$1:$1,0))),"")</f>
        <v/>
      </c>
      <c r="C89" s="23">
        <f>IF(OR(B89="",B89=-999),"",B89*$B$2)</f>
        <v/>
      </c>
      <c r="D89" s="22">
        <f>IFERROR(IF($E$3="","",INDEX('Raw Pressure Data'!$A:$ZZ,ROW()-25,MATCH($E$3,'Raw Pressure Data'!$1:$1,0))),"")</f>
        <v/>
      </c>
      <c r="E89" s="24">
        <f>IF(OR(D89="",D89=-999),"",D89+$E$2)</f>
        <v/>
      </c>
      <c r="F89" s="22">
        <f>IFERROR(IF($E$4="","",INDEX('Raw Pressure Data'!$A:$ZZ,ROW()-25,MATCH($E$4,'Raw Pressure Data'!$1:$1,0))),"")</f>
        <v/>
      </c>
      <c r="G89" s="24">
        <f>IF(OR(F89="",F89=-999),"",F89+$E$2)</f>
        <v/>
      </c>
      <c r="H89" s="22">
        <f>IFERROR(IF($E$5="","",INDEX('Raw Pressure Data'!$A:$ZZ,ROW()-25,MATCH($E$5,'Raw Pressure Data'!$1:$1,0))),"")</f>
        <v/>
      </c>
      <c r="I89" s="24">
        <f>IF(OR(H89="",H89=-999),"",H89+$E$2)</f>
        <v/>
      </c>
    </row>
    <row r="90" ht="15" customHeight="1">
      <c r="A90" s="25">
        <f>IFERROR(IF(INDEX('Raw Flow Data'!$A:$A,ROW()-25)="","",INDEX('Raw Flow Data'!$A:$A,ROW()-25)),"")</f>
        <v/>
      </c>
      <c r="B90" s="26">
        <f>IFERROR(IF($B$3="","",INDEX('Raw Flow Data'!$A:$ZZ,ROW()-25,MATCH($B$3,'Raw Flow Data'!$1:$1,0))),"")</f>
        <v/>
      </c>
      <c r="C90" s="27">
        <f>IF(OR(B90="",B90=-999),"",B90*$B$2)</f>
        <v/>
      </c>
      <c r="D90" s="26">
        <f>IFERROR(IF($E$3="","",INDEX('Raw Pressure Data'!$A:$ZZ,ROW()-25,MATCH($E$3,'Raw Pressure Data'!$1:$1,0))),"")</f>
        <v/>
      </c>
      <c r="E90" s="28">
        <f>IF(OR(D90="",D90=-999),"",D90+$E$2)</f>
        <v/>
      </c>
      <c r="F90" s="26">
        <f>IFERROR(IF($E$4="","",INDEX('Raw Pressure Data'!$A:$ZZ,ROW()-25,MATCH($E$4,'Raw Pressure Data'!$1:$1,0))),"")</f>
        <v/>
      </c>
      <c r="G90" s="28">
        <f>IF(OR(F90="",F90=-999),"",F90+$E$2)</f>
        <v/>
      </c>
      <c r="H90" s="26">
        <f>IFERROR(IF($E$5="","",INDEX('Raw Pressure Data'!$A:$ZZ,ROW()-25,MATCH($E$5,'Raw Pressure Data'!$1:$1,0))),"")</f>
        <v/>
      </c>
      <c r="I90" s="28">
        <f>IF(OR(H90="",H90=-999),"",H90+$E$2)</f>
        <v/>
      </c>
    </row>
    <row r="91" ht="15" customHeight="1">
      <c r="A91" s="21">
        <f>IFERROR(IF(INDEX('Raw Flow Data'!$A:$A,ROW()-25)="","",INDEX('Raw Flow Data'!$A:$A,ROW()-25)),"")</f>
        <v/>
      </c>
      <c r="B91" s="22">
        <f>IFERROR(IF($B$3="","",INDEX('Raw Flow Data'!$A:$ZZ,ROW()-25,MATCH($B$3,'Raw Flow Data'!$1:$1,0))),"")</f>
        <v/>
      </c>
      <c r="C91" s="23">
        <f>IF(OR(B91="",B91=-999),"",B91*$B$2)</f>
        <v/>
      </c>
      <c r="D91" s="22">
        <f>IFERROR(IF($E$3="","",INDEX('Raw Pressure Data'!$A:$ZZ,ROW()-25,MATCH($E$3,'Raw Pressure Data'!$1:$1,0))),"")</f>
        <v/>
      </c>
      <c r="E91" s="24">
        <f>IF(OR(D91="",D91=-999),"",D91+$E$2)</f>
        <v/>
      </c>
      <c r="F91" s="22">
        <f>IFERROR(IF($E$4="","",INDEX('Raw Pressure Data'!$A:$ZZ,ROW()-25,MATCH($E$4,'Raw Pressure Data'!$1:$1,0))),"")</f>
        <v/>
      </c>
      <c r="G91" s="24">
        <f>IF(OR(F91="",F91=-999),"",F91+$E$2)</f>
        <v/>
      </c>
      <c r="H91" s="22">
        <f>IFERROR(IF($E$5="","",INDEX('Raw Pressure Data'!$A:$ZZ,ROW()-25,MATCH($E$5,'Raw Pressure Data'!$1:$1,0))),"")</f>
        <v/>
      </c>
      <c r="I91" s="24">
        <f>IF(OR(H91="",H91=-999),"",H91+$E$2)</f>
        <v/>
      </c>
    </row>
    <row r="92" ht="15" customHeight="1">
      <c r="A92" s="25">
        <f>IFERROR(IF(INDEX('Raw Flow Data'!$A:$A,ROW()-25)="","",INDEX('Raw Flow Data'!$A:$A,ROW()-25)),"")</f>
        <v/>
      </c>
      <c r="B92" s="26">
        <f>IFERROR(IF($B$3="","",INDEX('Raw Flow Data'!$A:$ZZ,ROW()-25,MATCH($B$3,'Raw Flow Data'!$1:$1,0))),"")</f>
        <v/>
      </c>
      <c r="C92" s="27">
        <f>IF(OR(B92="",B92=-999),"",B92*$B$2)</f>
        <v/>
      </c>
      <c r="D92" s="26">
        <f>IFERROR(IF($E$3="","",INDEX('Raw Pressure Data'!$A:$ZZ,ROW()-25,MATCH($E$3,'Raw Pressure Data'!$1:$1,0))),"")</f>
        <v/>
      </c>
      <c r="E92" s="28">
        <f>IF(OR(D92="",D92=-999),"",D92+$E$2)</f>
        <v/>
      </c>
      <c r="F92" s="26">
        <f>IFERROR(IF($E$4="","",INDEX('Raw Pressure Data'!$A:$ZZ,ROW()-25,MATCH($E$4,'Raw Pressure Data'!$1:$1,0))),"")</f>
        <v/>
      </c>
      <c r="G92" s="28">
        <f>IF(OR(F92="",F92=-999),"",F92+$E$2)</f>
        <v/>
      </c>
      <c r="H92" s="26">
        <f>IFERROR(IF($E$5="","",INDEX('Raw Pressure Data'!$A:$ZZ,ROW()-25,MATCH($E$5,'Raw Pressure Data'!$1:$1,0))),"")</f>
        <v/>
      </c>
      <c r="I92" s="28">
        <f>IF(OR(H92="",H92=-999),"",H92+$E$2)</f>
        <v/>
      </c>
    </row>
    <row r="93" ht="15" customHeight="1">
      <c r="A93" s="21">
        <f>IFERROR(IF(INDEX('Raw Flow Data'!$A:$A,ROW()-25)="","",INDEX('Raw Flow Data'!$A:$A,ROW()-25)),"")</f>
        <v/>
      </c>
      <c r="B93" s="22">
        <f>IFERROR(IF($B$3="","",INDEX('Raw Flow Data'!$A:$ZZ,ROW()-25,MATCH($B$3,'Raw Flow Data'!$1:$1,0))),"")</f>
        <v/>
      </c>
      <c r="C93" s="23">
        <f>IF(OR(B93="",B93=-999),"",B93*$B$2)</f>
        <v/>
      </c>
      <c r="D93" s="22">
        <f>IFERROR(IF($E$3="","",INDEX('Raw Pressure Data'!$A:$ZZ,ROW()-25,MATCH($E$3,'Raw Pressure Data'!$1:$1,0))),"")</f>
        <v/>
      </c>
      <c r="E93" s="24">
        <f>IF(OR(D93="",D93=-999),"",D93+$E$2)</f>
        <v/>
      </c>
      <c r="F93" s="22">
        <f>IFERROR(IF($E$4="","",INDEX('Raw Pressure Data'!$A:$ZZ,ROW()-25,MATCH($E$4,'Raw Pressure Data'!$1:$1,0))),"")</f>
        <v/>
      </c>
      <c r="G93" s="24">
        <f>IF(OR(F93="",F93=-999),"",F93+$E$2)</f>
        <v/>
      </c>
      <c r="H93" s="22">
        <f>IFERROR(IF($E$5="","",INDEX('Raw Pressure Data'!$A:$ZZ,ROW()-25,MATCH($E$5,'Raw Pressure Data'!$1:$1,0))),"")</f>
        <v/>
      </c>
      <c r="I93" s="24">
        <f>IF(OR(H93="",H93=-999),"",H93+$E$2)</f>
        <v/>
      </c>
    </row>
    <row r="94" ht="15" customHeight="1">
      <c r="A94" s="25">
        <f>IFERROR(IF(INDEX('Raw Flow Data'!$A:$A,ROW()-25)="","",INDEX('Raw Flow Data'!$A:$A,ROW()-25)),"")</f>
        <v/>
      </c>
      <c r="B94" s="26">
        <f>IFERROR(IF($B$3="","",INDEX('Raw Flow Data'!$A:$ZZ,ROW()-25,MATCH($B$3,'Raw Flow Data'!$1:$1,0))),"")</f>
        <v/>
      </c>
      <c r="C94" s="27">
        <f>IF(OR(B94="",B94=-999),"",B94*$B$2)</f>
        <v/>
      </c>
      <c r="D94" s="26">
        <f>IFERROR(IF($E$3="","",INDEX('Raw Pressure Data'!$A:$ZZ,ROW()-25,MATCH($E$3,'Raw Pressure Data'!$1:$1,0))),"")</f>
        <v/>
      </c>
      <c r="E94" s="28">
        <f>IF(OR(D94="",D94=-999),"",D94+$E$2)</f>
        <v/>
      </c>
      <c r="F94" s="26">
        <f>IFERROR(IF($E$4="","",INDEX('Raw Pressure Data'!$A:$ZZ,ROW()-25,MATCH($E$4,'Raw Pressure Data'!$1:$1,0))),"")</f>
        <v/>
      </c>
      <c r="G94" s="28">
        <f>IF(OR(F94="",F94=-999),"",F94+$E$2)</f>
        <v/>
      </c>
      <c r="H94" s="26">
        <f>IFERROR(IF($E$5="","",INDEX('Raw Pressure Data'!$A:$ZZ,ROW()-25,MATCH($E$5,'Raw Pressure Data'!$1:$1,0))),"")</f>
        <v/>
      </c>
      <c r="I94" s="28">
        <f>IF(OR(H94="",H94=-999),"",H94+$E$2)</f>
        <v/>
      </c>
    </row>
    <row r="95" ht="15" customHeight="1">
      <c r="A95" s="21">
        <f>IFERROR(IF(INDEX('Raw Flow Data'!$A:$A,ROW()-25)="","",INDEX('Raw Flow Data'!$A:$A,ROW()-25)),"")</f>
        <v/>
      </c>
      <c r="B95" s="22">
        <f>IFERROR(IF($B$3="","",INDEX('Raw Flow Data'!$A:$ZZ,ROW()-25,MATCH($B$3,'Raw Flow Data'!$1:$1,0))),"")</f>
        <v/>
      </c>
      <c r="C95" s="23">
        <f>IF(OR(B95="",B95=-999),"",B95*$B$2)</f>
        <v/>
      </c>
      <c r="D95" s="22">
        <f>IFERROR(IF($E$3="","",INDEX('Raw Pressure Data'!$A:$ZZ,ROW()-25,MATCH($E$3,'Raw Pressure Data'!$1:$1,0))),"")</f>
        <v/>
      </c>
      <c r="E95" s="24">
        <f>IF(OR(D95="",D95=-999),"",D95+$E$2)</f>
        <v/>
      </c>
      <c r="F95" s="22">
        <f>IFERROR(IF($E$4="","",INDEX('Raw Pressure Data'!$A:$ZZ,ROW()-25,MATCH($E$4,'Raw Pressure Data'!$1:$1,0))),"")</f>
        <v/>
      </c>
      <c r="G95" s="24">
        <f>IF(OR(F95="",F95=-999),"",F95+$E$2)</f>
        <v/>
      </c>
      <c r="H95" s="22">
        <f>IFERROR(IF($E$5="","",INDEX('Raw Pressure Data'!$A:$ZZ,ROW()-25,MATCH($E$5,'Raw Pressure Data'!$1:$1,0))),"")</f>
        <v/>
      </c>
      <c r="I95" s="24">
        <f>IF(OR(H95="",H95=-999),"",H95+$E$2)</f>
        <v/>
      </c>
    </row>
    <row r="96" ht="15" customHeight="1">
      <c r="A96" s="25">
        <f>IFERROR(IF(INDEX('Raw Flow Data'!$A:$A,ROW()-25)="","",INDEX('Raw Flow Data'!$A:$A,ROW()-25)),"")</f>
        <v/>
      </c>
      <c r="B96" s="26">
        <f>IFERROR(IF($B$3="","",INDEX('Raw Flow Data'!$A:$ZZ,ROW()-25,MATCH($B$3,'Raw Flow Data'!$1:$1,0))),"")</f>
        <v/>
      </c>
      <c r="C96" s="27">
        <f>IF(OR(B96="",B96=-999),"",B96*$B$2)</f>
        <v/>
      </c>
      <c r="D96" s="26">
        <f>IFERROR(IF($E$3="","",INDEX('Raw Pressure Data'!$A:$ZZ,ROW()-25,MATCH($E$3,'Raw Pressure Data'!$1:$1,0))),"")</f>
        <v/>
      </c>
      <c r="E96" s="28">
        <f>IF(OR(D96="",D96=-999),"",D96+$E$2)</f>
        <v/>
      </c>
      <c r="F96" s="26">
        <f>IFERROR(IF($E$4="","",INDEX('Raw Pressure Data'!$A:$ZZ,ROW()-25,MATCH($E$4,'Raw Pressure Data'!$1:$1,0))),"")</f>
        <v/>
      </c>
      <c r="G96" s="28">
        <f>IF(OR(F96="",F96=-999),"",F96+$E$2)</f>
        <v/>
      </c>
      <c r="H96" s="26">
        <f>IFERROR(IF($E$5="","",INDEX('Raw Pressure Data'!$A:$ZZ,ROW()-25,MATCH($E$5,'Raw Pressure Data'!$1:$1,0))),"")</f>
        <v/>
      </c>
      <c r="I96" s="28">
        <f>IF(OR(H96="",H96=-999),"",H96+$E$2)</f>
        <v/>
      </c>
    </row>
    <row r="97" ht="15" customHeight="1">
      <c r="A97" s="21">
        <f>IFERROR(IF(INDEX('Raw Flow Data'!$A:$A,ROW()-25)="","",INDEX('Raw Flow Data'!$A:$A,ROW()-25)),"")</f>
        <v/>
      </c>
      <c r="B97" s="22">
        <f>IFERROR(IF($B$3="","",INDEX('Raw Flow Data'!$A:$ZZ,ROW()-25,MATCH($B$3,'Raw Flow Data'!$1:$1,0))),"")</f>
        <v/>
      </c>
      <c r="C97" s="23">
        <f>IF(OR(B97="",B97=-999),"",B97*$B$2)</f>
        <v/>
      </c>
      <c r="D97" s="22">
        <f>IFERROR(IF($E$3="","",INDEX('Raw Pressure Data'!$A:$ZZ,ROW()-25,MATCH($E$3,'Raw Pressure Data'!$1:$1,0))),"")</f>
        <v/>
      </c>
      <c r="E97" s="24">
        <f>IF(OR(D97="",D97=-999),"",D97+$E$2)</f>
        <v/>
      </c>
      <c r="F97" s="22">
        <f>IFERROR(IF($E$4="","",INDEX('Raw Pressure Data'!$A:$ZZ,ROW()-25,MATCH($E$4,'Raw Pressure Data'!$1:$1,0))),"")</f>
        <v/>
      </c>
      <c r="G97" s="24">
        <f>IF(OR(F97="",F97=-999),"",F97+$E$2)</f>
        <v/>
      </c>
      <c r="H97" s="22">
        <f>IFERROR(IF($E$5="","",INDEX('Raw Pressure Data'!$A:$ZZ,ROW()-25,MATCH($E$5,'Raw Pressure Data'!$1:$1,0))),"")</f>
        <v/>
      </c>
      <c r="I97" s="24">
        <f>IF(OR(H97="",H97=-999),"",H97+$E$2)</f>
        <v/>
      </c>
    </row>
    <row r="98" ht="15" customHeight="1">
      <c r="A98" s="25">
        <f>IFERROR(IF(INDEX('Raw Flow Data'!$A:$A,ROW()-25)="","",INDEX('Raw Flow Data'!$A:$A,ROW()-25)),"")</f>
        <v/>
      </c>
      <c r="B98" s="26">
        <f>IFERROR(IF($B$3="","",INDEX('Raw Flow Data'!$A:$ZZ,ROW()-25,MATCH($B$3,'Raw Flow Data'!$1:$1,0))),"")</f>
        <v/>
      </c>
      <c r="C98" s="27">
        <f>IF(OR(B98="",B98=-999),"",B98*$B$2)</f>
        <v/>
      </c>
      <c r="D98" s="26">
        <f>IFERROR(IF($E$3="","",INDEX('Raw Pressure Data'!$A:$ZZ,ROW()-25,MATCH($E$3,'Raw Pressure Data'!$1:$1,0))),"")</f>
        <v/>
      </c>
      <c r="E98" s="28">
        <f>IF(OR(D98="",D98=-999),"",D98+$E$2)</f>
        <v/>
      </c>
      <c r="F98" s="26">
        <f>IFERROR(IF($E$4="","",INDEX('Raw Pressure Data'!$A:$ZZ,ROW()-25,MATCH($E$4,'Raw Pressure Data'!$1:$1,0))),"")</f>
        <v/>
      </c>
      <c r="G98" s="28">
        <f>IF(OR(F98="",F98=-999),"",F98+$E$2)</f>
        <v/>
      </c>
      <c r="H98" s="26">
        <f>IFERROR(IF($E$5="","",INDEX('Raw Pressure Data'!$A:$ZZ,ROW()-25,MATCH($E$5,'Raw Pressure Data'!$1:$1,0))),"")</f>
        <v/>
      </c>
      <c r="I98" s="28">
        <f>IF(OR(H98="",H98=-999),"",H98+$E$2)</f>
        <v/>
      </c>
    </row>
    <row r="99" ht="15" customHeight="1">
      <c r="A99" s="21">
        <f>IFERROR(IF(INDEX('Raw Flow Data'!$A:$A,ROW()-25)="","",INDEX('Raw Flow Data'!$A:$A,ROW()-25)),"")</f>
        <v/>
      </c>
      <c r="B99" s="22">
        <f>IFERROR(IF($B$3="","",INDEX('Raw Flow Data'!$A:$ZZ,ROW()-25,MATCH($B$3,'Raw Flow Data'!$1:$1,0))),"")</f>
        <v/>
      </c>
      <c r="C99" s="23">
        <f>IF(OR(B99="",B99=-999),"",B99*$B$2)</f>
        <v/>
      </c>
      <c r="D99" s="22">
        <f>IFERROR(IF($E$3="","",INDEX('Raw Pressure Data'!$A:$ZZ,ROW()-25,MATCH($E$3,'Raw Pressure Data'!$1:$1,0))),"")</f>
        <v/>
      </c>
      <c r="E99" s="24">
        <f>IF(OR(D99="",D99=-999),"",D99+$E$2)</f>
        <v/>
      </c>
      <c r="F99" s="22">
        <f>IFERROR(IF($E$4="","",INDEX('Raw Pressure Data'!$A:$ZZ,ROW()-25,MATCH($E$4,'Raw Pressure Data'!$1:$1,0))),"")</f>
        <v/>
      </c>
      <c r="G99" s="24">
        <f>IF(OR(F99="",F99=-999),"",F99+$E$2)</f>
        <v/>
      </c>
      <c r="H99" s="22">
        <f>IFERROR(IF($E$5="","",INDEX('Raw Pressure Data'!$A:$ZZ,ROW()-25,MATCH($E$5,'Raw Pressure Data'!$1:$1,0))),"")</f>
        <v/>
      </c>
      <c r="I99" s="24">
        <f>IF(OR(H99="",H99=-999),"",H99+$E$2)</f>
        <v/>
      </c>
    </row>
    <row r="100" ht="15" customHeight="1">
      <c r="A100" s="25">
        <f>IFERROR(IF(INDEX('Raw Flow Data'!$A:$A,ROW()-25)="","",INDEX('Raw Flow Data'!$A:$A,ROW()-25)),"")</f>
        <v/>
      </c>
      <c r="B100" s="26">
        <f>IFERROR(IF($B$3="","",INDEX('Raw Flow Data'!$A:$ZZ,ROW()-25,MATCH($B$3,'Raw Flow Data'!$1:$1,0))),"")</f>
        <v/>
      </c>
      <c r="C100" s="27">
        <f>IF(OR(B100="",B100=-999),"",B100*$B$2)</f>
        <v/>
      </c>
      <c r="D100" s="26">
        <f>IFERROR(IF($E$3="","",INDEX('Raw Pressure Data'!$A:$ZZ,ROW()-25,MATCH($E$3,'Raw Pressure Data'!$1:$1,0))),"")</f>
        <v/>
      </c>
      <c r="E100" s="28">
        <f>IF(OR(D100="",D100=-999),"",D100+$E$2)</f>
        <v/>
      </c>
      <c r="F100" s="26">
        <f>IFERROR(IF($E$4="","",INDEX('Raw Pressure Data'!$A:$ZZ,ROW()-25,MATCH($E$4,'Raw Pressure Data'!$1:$1,0))),"")</f>
        <v/>
      </c>
      <c r="G100" s="28">
        <f>IF(OR(F100="",F100=-999),"",F100+$E$2)</f>
        <v/>
      </c>
      <c r="H100" s="26">
        <f>IFERROR(IF($E$5="","",INDEX('Raw Pressure Data'!$A:$ZZ,ROW()-25,MATCH($E$5,'Raw Pressure Data'!$1:$1,0))),"")</f>
        <v/>
      </c>
      <c r="I100" s="28">
        <f>IF(OR(H100="",H100=-999),"",H100+$E$2)</f>
        <v/>
      </c>
    </row>
    <row r="101" ht="15" customHeight="1">
      <c r="A101" s="21">
        <f>IFERROR(IF(INDEX('Raw Flow Data'!$A:$A,ROW()-25)="","",INDEX('Raw Flow Data'!$A:$A,ROW()-25)),"")</f>
        <v/>
      </c>
      <c r="B101" s="22">
        <f>IFERROR(IF($B$3="","",INDEX('Raw Flow Data'!$A:$ZZ,ROW()-25,MATCH($B$3,'Raw Flow Data'!$1:$1,0))),"")</f>
        <v/>
      </c>
      <c r="C101" s="23">
        <f>IF(OR(B101="",B101=-999),"",B101*$B$2)</f>
        <v/>
      </c>
      <c r="D101" s="22">
        <f>IFERROR(IF($E$3="","",INDEX('Raw Pressure Data'!$A:$ZZ,ROW()-25,MATCH($E$3,'Raw Pressure Data'!$1:$1,0))),"")</f>
        <v/>
      </c>
      <c r="E101" s="24">
        <f>IF(OR(D101="",D101=-999),"",D101+$E$2)</f>
        <v/>
      </c>
      <c r="F101" s="22">
        <f>IFERROR(IF($E$4="","",INDEX('Raw Pressure Data'!$A:$ZZ,ROW()-25,MATCH($E$4,'Raw Pressure Data'!$1:$1,0))),"")</f>
        <v/>
      </c>
      <c r="G101" s="24">
        <f>IF(OR(F101="",F101=-999),"",F101+$E$2)</f>
        <v/>
      </c>
      <c r="H101" s="22">
        <f>IFERROR(IF($E$5="","",INDEX('Raw Pressure Data'!$A:$ZZ,ROW()-25,MATCH($E$5,'Raw Pressure Data'!$1:$1,0))),"")</f>
        <v/>
      </c>
      <c r="I101" s="24">
        <f>IF(OR(H101="",H101=-999),"",H101+$E$2)</f>
        <v/>
      </c>
    </row>
    <row r="102" ht="15" customHeight="1">
      <c r="A102" s="25">
        <f>IFERROR(IF(INDEX('Raw Flow Data'!$A:$A,ROW()-25)="","",INDEX('Raw Flow Data'!$A:$A,ROW()-25)),"")</f>
        <v/>
      </c>
      <c r="B102" s="26">
        <f>IFERROR(IF($B$3="","",INDEX('Raw Flow Data'!$A:$ZZ,ROW()-25,MATCH($B$3,'Raw Flow Data'!$1:$1,0))),"")</f>
        <v/>
      </c>
      <c r="C102" s="27">
        <f>IF(OR(B102="",B102=-999),"",B102*$B$2)</f>
        <v/>
      </c>
      <c r="D102" s="26">
        <f>IFERROR(IF($E$3="","",INDEX('Raw Pressure Data'!$A:$ZZ,ROW()-25,MATCH($E$3,'Raw Pressure Data'!$1:$1,0))),"")</f>
        <v/>
      </c>
      <c r="E102" s="28">
        <f>IF(OR(D102="",D102=-999),"",D102+$E$2)</f>
        <v/>
      </c>
      <c r="F102" s="26">
        <f>IFERROR(IF($E$4="","",INDEX('Raw Pressure Data'!$A:$ZZ,ROW()-25,MATCH($E$4,'Raw Pressure Data'!$1:$1,0))),"")</f>
        <v/>
      </c>
      <c r="G102" s="28">
        <f>IF(OR(F102="",F102=-999),"",F102+$E$2)</f>
        <v/>
      </c>
      <c r="H102" s="26">
        <f>IFERROR(IF($E$5="","",INDEX('Raw Pressure Data'!$A:$ZZ,ROW()-25,MATCH($E$5,'Raw Pressure Data'!$1:$1,0))),"")</f>
        <v/>
      </c>
      <c r="I102" s="28">
        <f>IF(OR(H102="",H102=-999),"",H102+$E$2)</f>
        <v/>
      </c>
    </row>
    <row r="103" ht="15" customHeight="1">
      <c r="A103" s="21">
        <f>IFERROR(IF(INDEX('Raw Flow Data'!$A:$A,ROW()-25)="","",INDEX('Raw Flow Data'!$A:$A,ROW()-25)),"")</f>
        <v/>
      </c>
      <c r="B103" s="22">
        <f>IFERROR(IF($B$3="","",INDEX('Raw Flow Data'!$A:$ZZ,ROW()-25,MATCH($B$3,'Raw Flow Data'!$1:$1,0))),"")</f>
        <v/>
      </c>
      <c r="C103" s="23">
        <f>IF(OR(B103="",B103=-999),"",B103*$B$2)</f>
        <v/>
      </c>
      <c r="D103" s="22">
        <f>IFERROR(IF($E$3="","",INDEX('Raw Pressure Data'!$A:$ZZ,ROW()-25,MATCH($E$3,'Raw Pressure Data'!$1:$1,0))),"")</f>
        <v/>
      </c>
      <c r="E103" s="24">
        <f>IF(OR(D103="",D103=-999),"",D103+$E$2)</f>
        <v/>
      </c>
      <c r="F103" s="22">
        <f>IFERROR(IF($E$4="","",INDEX('Raw Pressure Data'!$A:$ZZ,ROW()-25,MATCH($E$4,'Raw Pressure Data'!$1:$1,0))),"")</f>
        <v/>
      </c>
      <c r="G103" s="24">
        <f>IF(OR(F103="",F103=-999),"",F103+$E$2)</f>
        <v/>
      </c>
      <c r="H103" s="22">
        <f>IFERROR(IF($E$5="","",INDEX('Raw Pressure Data'!$A:$ZZ,ROW()-25,MATCH($E$5,'Raw Pressure Data'!$1:$1,0))),"")</f>
        <v/>
      </c>
      <c r="I103" s="24">
        <f>IF(OR(H103="",H103=-999),"",H103+$E$2)</f>
        <v/>
      </c>
    </row>
    <row r="104" ht="15" customHeight="1">
      <c r="A104" s="25">
        <f>IFERROR(IF(INDEX('Raw Flow Data'!$A:$A,ROW()-25)="","",INDEX('Raw Flow Data'!$A:$A,ROW()-25)),"")</f>
        <v/>
      </c>
      <c r="B104" s="26">
        <f>IFERROR(IF($B$3="","",INDEX('Raw Flow Data'!$A:$ZZ,ROW()-25,MATCH($B$3,'Raw Flow Data'!$1:$1,0))),"")</f>
        <v/>
      </c>
      <c r="C104" s="27">
        <f>IF(OR(B104="",B104=-999),"",B104*$B$2)</f>
        <v/>
      </c>
      <c r="D104" s="26">
        <f>IFERROR(IF($E$3="","",INDEX('Raw Pressure Data'!$A:$ZZ,ROW()-25,MATCH($E$3,'Raw Pressure Data'!$1:$1,0))),"")</f>
        <v/>
      </c>
      <c r="E104" s="28">
        <f>IF(OR(D104="",D104=-999),"",D104+$E$2)</f>
        <v/>
      </c>
      <c r="F104" s="26">
        <f>IFERROR(IF($E$4="","",INDEX('Raw Pressure Data'!$A:$ZZ,ROW()-25,MATCH($E$4,'Raw Pressure Data'!$1:$1,0))),"")</f>
        <v/>
      </c>
      <c r="G104" s="28">
        <f>IF(OR(F104="",F104=-999),"",F104+$E$2)</f>
        <v/>
      </c>
      <c r="H104" s="26">
        <f>IFERROR(IF($E$5="","",INDEX('Raw Pressure Data'!$A:$ZZ,ROW()-25,MATCH($E$5,'Raw Pressure Data'!$1:$1,0))),"")</f>
        <v/>
      </c>
      <c r="I104" s="28">
        <f>IF(OR(H104="",H104=-999),"",H104+$E$2)</f>
        <v/>
      </c>
    </row>
    <row r="105" ht="15" customHeight="1">
      <c r="A105" s="21">
        <f>IFERROR(IF(INDEX('Raw Flow Data'!$A:$A,ROW()-25)="","",INDEX('Raw Flow Data'!$A:$A,ROW()-25)),"")</f>
        <v/>
      </c>
      <c r="B105" s="22">
        <f>IFERROR(IF($B$3="","",INDEX('Raw Flow Data'!$A:$ZZ,ROW()-25,MATCH($B$3,'Raw Flow Data'!$1:$1,0))),"")</f>
        <v/>
      </c>
      <c r="C105" s="23">
        <f>IF(OR(B105="",B105=-999),"",B105*$B$2)</f>
        <v/>
      </c>
      <c r="D105" s="22">
        <f>IFERROR(IF($E$3="","",INDEX('Raw Pressure Data'!$A:$ZZ,ROW()-25,MATCH($E$3,'Raw Pressure Data'!$1:$1,0))),"")</f>
        <v/>
      </c>
      <c r="E105" s="24">
        <f>IF(OR(D105="",D105=-999),"",D105+$E$2)</f>
        <v/>
      </c>
      <c r="F105" s="22">
        <f>IFERROR(IF($E$4="","",INDEX('Raw Pressure Data'!$A:$ZZ,ROW()-25,MATCH($E$4,'Raw Pressure Data'!$1:$1,0))),"")</f>
        <v/>
      </c>
      <c r="G105" s="24">
        <f>IF(OR(F105="",F105=-999),"",F105+$E$2)</f>
        <v/>
      </c>
      <c r="H105" s="22">
        <f>IFERROR(IF($E$5="","",INDEX('Raw Pressure Data'!$A:$ZZ,ROW()-25,MATCH($E$5,'Raw Pressure Data'!$1:$1,0))),"")</f>
        <v/>
      </c>
      <c r="I105" s="24">
        <f>IF(OR(H105="",H105=-999),"",H105+$E$2)</f>
        <v/>
      </c>
    </row>
    <row r="106" ht="15" customHeight="1">
      <c r="A106" s="25">
        <f>IFERROR(IF(INDEX('Raw Flow Data'!$A:$A,ROW()-25)="","",INDEX('Raw Flow Data'!$A:$A,ROW()-25)),"")</f>
        <v/>
      </c>
      <c r="B106" s="26">
        <f>IFERROR(IF($B$3="","",INDEX('Raw Flow Data'!$A:$ZZ,ROW()-25,MATCH($B$3,'Raw Flow Data'!$1:$1,0))),"")</f>
        <v/>
      </c>
      <c r="C106" s="27">
        <f>IF(OR(B106="",B106=-999),"",B106*$B$2)</f>
        <v/>
      </c>
      <c r="D106" s="26">
        <f>IFERROR(IF($E$3="","",INDEX('Raw Pressure Data'!$A:$ZZ,ROW()-25,MATCH($E$3,'Raw Pressure Data'!$1:$1,0))),"")</f>
        <v/>
      </c>
      <c r="E106" s="28">
        <f>IF(OR(D106="",D106=-999),"",D106+$E$2)</f>
        <v/>
      </c>
      <c r="F106" s="26">
        <f>IFERROR(IF($E$4="","",INDEX('Raw Pressure Data'!$A:$ZZ,ROW()-25,MATCH($E$4,'Raw Pressure Data'!$1:$1,0))),"")</f>
        <v/>
      </c>
      <c r="G106" s="28">
        <f>IF(OR(F106="",F106=-999),"",F106+$E$2)</f>
        <v/>
      </c>
      <c r="H106" s="26">
        <f>IFERROR(IF($E$5="","",INDEX('Raw Pressure Data'!$A:$ZZ,ROW()-25,MATCH($E$5,'Raw Pressure Data'!$1:$1,0))),"")</f>
        <v/>
      </c>
      <c r="I106" s="28">
        <f>IF(OR(H106="",H106=-999),"",H106+$E$2)</f>
        <v/>
      </c>
    </row>
    <row r="107" ht="15" customHeight="1">
      <c r="A107" s="21">
        <f>IFERROR(IF(INDEX('Raw Flow Data'!$A:$A,ROW()-25)="","",INDEX('Raw Flow Data'!$A:$A,ROW()-25)),"")</f>
        <v/>
      </c>
      <c r="B107" s="22">
        <f>IFERROR(IF($B$3="","",INDEX('Raw Flow Data'!$A:$ZZ,ROW()-25,MATCH($B$3,'Raw Flow Data'!$1:$1,0))),"")</f>
        <v/>
      </c>
      <c r="C107" s="23">
        <f>IF(OR(B107="",B107=-999),"",B107*$B$2)</f>
        <v/>
      </c>
      <c r="D107" s="22">
        <f>IFERROR(IF($E$3="","",INDEX('Raw Pressure Data'!$A:$ZZ,ROW()-25,MATCH($E$3,'Raw Pressure Data'!$1:$1,0))),"")</f>
        <v/>
      </c>
      <c r="E107" s="24">
        <f>IF(OR(D107="",D107=-999),"",D107+$E$2)</f>
        <v/>
      </c>
      <c r="F107" s="22">
        <f>IFERROR(IF($E$4="","",INDEX('Raw Pressure Data'!$A:$ZZ,ROW()-25,MATCH($E$4,'Raw Pressure Data'!$1:$1,0))),"")</f>
        <v/>
      </c>
      <c r="G107" s="24">
        <f>IF(OR(F107="",F107=-999),"",F107+$E$2)</f>
        <v/>
      </c>
      <c r="H107" s="22">
        <f>IFERROR(IF($E$5="","",INDEX('Raw Pressure Data'!$A:$ZZ,ROW()-25,MATCH($E$5,'Raw Pressure Data'!$1:$1,0))),"")</f>
        <v/>
      </c>
      <c r="I107" s="24">
        <f>IF(OR(H107="",H107=-999),"",H107+$E$2)</f>
        <v/>
      </c>
    </row>
    <row r="108" ht="15" customHeight="1">
      <c r="A108" s="25">
        <f>IFERROR(IF(INDEX('Raw Flow Data'!$A:$A,ROW()-25)="","",INDEX('Raw Flow Data'!$A:$A,ROW()-25)),"")</f>
        <v/>
      </c>
      <c r="B108" s="26">
        <f>IFERROR(IF($B$3="","",INDEX('Raw Flow Data'!$A:$ZZ,ROW()-25,MATCH($B$3,'Raw Flow Data'!$1:$1,0))),"")</f>
        <v/>
      </c>
      <c r="C108" s="27">
        <f>IF(OR(B108="",B108=-999),"",B108*$B$2)</f>
        <v/>
      </c>
      <c r="D108" s="26">
        <f>IFERROR(IF($E$3="","",INDEX('Raw Pressure Data'!$A:$ZZ,ROW()-25,MATCH($E$3,'Raw Pressure Data'!$1:$1,0))),"")</f>
        <v/>
      </c>
      <c r="E108" s="28">
        <f>IF(OR(D108="",D108=-999),"",D108+$E$2)</f>
        <v/>
      </c>
      <c r="F108" s="26">
        <f>IFERROR(IF($E$4="","",INDEX('Raw Pressure Data'!$A:$ZZ,ROW()-25,MATCH($E$4,'Raw Pressure Data'!$1:$1,0))),"")</f>
        <v/>
      </c>
      <c r="G108" s="28">
        <f>IF(OR(F108="",F108=-999),"",F108+$E$2)</f>
        <v/>
      </c>
      <c r="H108" s="26">
        <f>IFERROR(IF($E$5="","",INDEX('Raw Pressure Data'!$A:$ZZ,ROW()-25,MATCH($E$5,'Raw Pressure Data'!$1:$1,0))),"")</f>
        <v/>
      </c>
      <c r="I108" s="28">
        <f>IF(OR(H108="",H108=-999),"",H108+$E$2)</f>
        <v/>
      </c>
    </row>
    <row r="109" ht="15" customHeight="1">
      <c r="A109" s="21">
        <f>IFERROR(IF(INDEX('Raw Flow Data'!$A:$A,ROW()-25)="","",INDEX('Raw Flow Data'!$A:$A,ROW()-25)),"")</f>
        <v/>
      </c>
      <c r="B109" s="22">
        <f>IFERROR(IF($B$3="","",INDEX('Raw Flow Data'!$A:$ZZ,ROW()-25,MATCH($B$3,'Raw Flow Data'!$1:$1,0))),"")</f>
        <v/>
      </c>
      <c r="C109" s="23">
        <f>IF(OR(B109="",B109=-999),"",B109*$B$2)</f>
        <v/>
      </c>
      <c r="D109" s="22">
        <f>IFERROR(IF($E$3="","",INDEX('Raw Pressure Data'!$A:$ZZ,ROW()-25,MATCH($E$3,'Raw Pressure Data'!$1:$1,0))),"")</f>
        <v/>
      </c>
      <c r="E109" s="24">
        <f>IF(OR(D109="",D109=-999),"",D109+$E$2)</f>
        <v/>
      </c>
      <c r="F109" s="22">
        <f>IFERROR(IF($E$4="","",INDEX('Raw Pressure Data'!$A:$ZZ,ROW()-25,MATCH($E$4,'Raw Pressure Data'!$1:$1,0))),"")</f>
        <v/>
      </c>
      <c r="G109" s="24">
        <f>IF(OR(F109="",F109=-999),"",F109+$E$2)</f>
        <v/>
      </c>
      <c r="H109" s="22">
        <f>IFERROR(IF($E$5="","",INDEX('Raw Pressure Data'!$A:$ZZ,ROW()-25,MATCH($E$5,'Raw Pressure Data'!$1:$1,0))),"")</f>
        <v/>
      </c>
      <c r="I109" s="24">
        <f>IF(OR(H109="",H109=-999),"",H109+$E$2)</f>
        <v/>
      </c>
    </row>
    <row r="110" ht="15" customHeight="1">
      <c r="A110" s="25">
        <f>IFERROR(IF(INDEX('Raw Flow Data'!$A:$A,ROW()-25)="","",INDEX('Raw Flow Data'!$A:$A,ROW()-25)),"")</f>
        <v/>
      </c>
      <c r="B110" s="26">
        <f>IFERROR(IF($B$3="","",INDEX('Raw Flow Data'!$A:$ZZ,ROW()-25,MATCH($B$3,'Raw Flow Data'!$1:$1,0))),"")</f>
        <v/>
      </c>
      <c r="C110" s="27">
        <f>IF(OR(B110="",B110=-999),"",B110*$B$2)</f>
        <v/>
      </c>
      <c r="D110" s="26">
        <f>IFERROR(IF($E$3="","",INDEX('Raw Pressure Data'!$A:$ZZ,ROW()-25,MATCH($E$3,'Raw Pressure Data'!$1:$1,0))),"")</f>
        <v/>
      </c>
      <c r="E110" s="28">
        <f>IF(OR(D110="",D110=-999),"",D110+$E$2)</f>
        <v/>
      </c>
      <c r="F110" s="26">
        <f>IFERROR(IF($E$4="","",INDEX('Raw Pressure Data'!$A:$ZZ,ROW()-25,MATCH($E$4,'Raw Pressure Data'!$1:$1,0))),"")</f>
        <v/>
      </c>
      <c r="G110" s="28">
        <f>IF(OR(F110="",F110=-999),"",F110+$E$2)</f>
        <v/>
      </c>
      <c r="H110" s="26">
        <f>IFERROR(IF($E$5="","",INDEX('Raw Pressure Data'!$A:$ZZ,ROW()-25,MATCH($E$5,'Raw Pressure Data'!$1:$1,0))),"")</f>
        <v/>
      </c>
      <c r="I110" s="28">
        <f>IF(OR(H110="",H110=-999),"",H110+$E$2)</f>
        <v/>
      </c>
    </row>
    <row r="111" ht="15" customHeight="1">
      <c r="A111" s="21">
        <f>IFERROR(IF(INDEX('Raw Flow Data'!$A:$A,ROW()-25)="","",INDEX('Raw Flow Data'!$A:$A,ROW()-25)),"")</f>
        <v/>
      </c>
      <c r="B111" s="22">
        <f>IFERROR(IF($B$3="","",INDEX('Raw Flow Data'!$A:$ZZ,ROW()-25,MATCH($B$3,'Raw Flow Data'!$1:$1,0))),"")</f>
        <v/>
      </c>
      <c r="C111" s="23">
        <f>IF(OR(B111="",B111=-999),"",B111*$B$2)</f>
        <v/>
      </c>
      <c r="D111" s="22">
        <f>IFERROR(IF($E$3="","",INDEX('Raw Pressure Data'!$A:$ZZ,ROW()-25,MATCH($E$3,'Raw Pressure Data'!$1:$1,0))),"")</f>
        <v/>
      </c>
      <c r="E111" s="24">
        <f>IF(OR(D111="",D111=-999),"",D111+$E$2)</f>
        <v/>
      </c>
      <c r="F111" s="22">
        <f>IFERROR(IF($E$4="","",INDEX('Raw Pressure Data'!$A:$ZZ,ROW()-25,MATCH($E$4,'Raw Pressure Data'!$1:$1,0))),"")</f>
        <v/>
      </c>
      <c r="G111" s="24">
        <f>IF(OR(F111="",F111=-999),"",F111+$E$2)</f>
        <v/>
      </c>
      <c r="H111" s="22">
        <f>IFERROR(IF($E$5="","",INDEX('Raw Pressure Data'!$A:$ZZ,ROW()-25,MATCH($E$5,'Raw Pressure Data'!$1:$1,0))),"")</f>
        <v/>
      </c>
      <c r="I111" s="24">
        <f>IF(OR(H111="",H111=-999),"",H111+$E$2)</f>
        <v/>
      </c>
    </row>
    <row r="112" ht="15" customHeight="1">
      <c r="A112" s="25">
        <f>IFERROR(IF(INDEX('Raw Flow Data'!$A:$A,ROW()-25)="","",INDEX('Raw Flow Data'!$A:$A,ROW()-25)),"")</f>
        <v/>
      </c>
      <c r="B112" s="26">
        <f>IFERROR(IF($B$3="","",INDEX('Raw Flow Data'!$A:$ZZ,ROW()-25,MATCH($B$3,'Raw Flow Data'!$1:$1,0))),"")</f>
        <v/>
      </c>
      <c r="C112" s="27">
        <f>IF(OR(B112="",B112=-999),"",B112*$B$2)</f>
        <v/>
      </c>
      <c r="D112" s="26">
        <f>IFERROR(IF($E$3="","",INDEX('Raw Pressure Data'!$A:$ZZ,ROW()-25,MATCH($E$3,'Raw Pressure Data'!$1:$1,0))),"")</f>
        <v/>
      </c>
      <c r="E112" s="28">
        <f>IF(OR(D112="",D112=-999),"",D112+$E$2)</f>
        <v/>
      </c>
      <c r="F112" s="26">
        <f>IFERROR(IF($E$4="","",INDEX('Raw Pressure Data'!$A:$ZZ,ROW()-25,MATCH($E$4,'Raw Pressure Data'!$1:$1,0))),"")</f>
        <v/>
      </c>
      <c r="G112" s="28">
        <f>IF(OR(F112="",F112=-999),"",F112+$E$2)</f>
        <v/>
      </c>
      <c r="H112" s="26">
        <f>IFERROR(IF($E$5="","",INDEX('Raw Pressure Data'!$A:$ZZ,ROW()-25,MATCH($E$5,'Raw Pressure Data'!$1:$1,0))),"")</f>
        <v/>
      </c>
      <c r="I112" s="28">
        <f>IF(OR(H112="",H112=-999),"",H112+$E$2)</f>
        <v/>
      </c>
    </row>
    <row r="113" ht="15" customHeight="1">
      <c r="A113" s="21">
        <f>IFERROR(IF(INDEX('Raw Flow Data'!$A:$A,ROW()-25)="","",INDEX('Raw Flow Data'!$A:$A,ROW()-25)),"")</f>
        <v/>
      </c>
      <c r="B113" s="22">
        <f>IFERROR(IF($B$3="","",INDEX('Raw Flow Data'!$A:$ZZ,ROW()-25,MATCH($B$3,'Raw Flow Data'!$1:$1,0))),"")</f>
        <v/>
      </c>
      <c r="C113" s="23">
        <f>IF(OR(B113="",B113=-999),"",B113*$B$2)</f>
        <v/>
      </c>
      <c r="D113" s="22">
        <f>IFERROR(IF($E$3="","",INDEX('Raw Pressure Data'!$A:$ZZ,ROW()-25,MATCH($E$3,'Raw Pressure Data'!$1:$1,0))),"")</f>
        <v/>
      </c>
      <c r="E113" s="24">
        <f>IF(OR(D113="",D113=-999),"",D113+$E$2)</f>
        <v/>
      </c>
      <c r="F113" s="22">
        <f>IFERROR(IF($E$4="","",INDEX('Raw Pressure Data'!$A:$ZZ,ROW()-25,MATCH($E$4,'Raw Pressure Data'!$1:$1,0))),"")</f>
        <v/>
      </c>
      <c r="G113" s="24">
        <f>IF(OR(F113="",F113=-999),"",F113+$E$2)</f>
        <v/>
      </c>
      <c r="H113" s="22">
        <f>IFERROR(IF($E$5="","",INDEX('Raw Pressure Data'!$A:$ZZ,ROW()-25,MATCH($E$5,'Raw Pressure Data'!$1:$1,0))),"")</f>
        <v/>
      </c>
      <c r="I113" s="24">
        <f>IF(OR(H113="",H113=-999),"",H113+$E$2)</f>
        <v/>
      </c>
    </row>
    <row r="114" ht="15" customHeight="1">
      <c r="A114" s="25">
        <f>IFERROR(IF(INDEX('Raw Flow Data'!$A:$A,ROW()-25)="","",INDEX('Raw Flow Data'!$A:$A,ROW()-25)),"")</f>
        <v/>
      </c>
      <c r="B114" s="26">
        <f>IFERROR(IF($B$3="","",INDEX('Raw Flow Data'!$A:$ZZ,ROW()-25,MATCH($B$3,'Raw Flow Data'!$1:$1,0))),"")</f>
        <v/>
      </c>
      <c r="C114" s="27">
        <f>IF(OR(B114="",B114=-999),"",B114*$B$2)</f>
        <v/>
      </c>
      <c r="D114" s="26">
        <f>IFERROR(IF($E$3="","",INDEX('Raw Pressure Data'!$A:$ZZ,ROW()-25,MATCH($E$3,'Raw Pressure Data'!$1:$1,0))),"")</f>
        <v/>
      </c>
      <c r="E114" s="28">
        <f>IF(OR(D114="",D114=-999),"",D114+$E$2)</f>
        <v/>
      </c>
      <c r="F114" s="26">
        <f>IFERROR(IF($E$4="","",INDEX('Raw Pressure Data'!$A:$ZZ,ROW()-25,MATCH($E$4,'Raw Pressure Data'!$1:$1,0))),"")</f>
        <v/>
      </c>
      <c r="G114" s="28">
        <f>IF(OR(F114="",F114=-999),"",F114+$E$2)</f>
        <v/>
      </c>
      <c r="H114" s="26">
        <f>IFERROR(IF($E$5="","",INDEX('Raw Pressure Data'!$A:$ZZ,ROW()-25,MATCH($E$5,'Raw Pressure Data'!$1:$1,0))),"")</f>
        <v/>
      </c>
      <c r="I114" s="28">
        <f>IF(OR(H114="",H114=-999),"",H114+$E$2)</f>
        <v/>
      </c>
    </row>
    <row r="115" ht="15" customHeight="1">
      <c r="A115" s="21">
        <f>IFERROR(IF(INDEX('Raw Flow Data'!$A:$A,ROW()-25)="","",INDEX('Raw Flow Data'!$A:$A,ROW()-25)),"")</f>
        <v/>
      </c>
      <c r="B115" s="22">
        <f>IFERROR(IF($B$3="","",INDEX('Raw Flow Data'!$A:$ZZ,ROW()-25,MATCH($B$3,'Raw Flow Data'!$1:$1,0))),"")</f>
        <v/>
      </c>
      <c r="C115" s="23">
        <f>IF(OR(B115="",B115=-999),"",B115*$B$2)</f>
        <v/>
      </c>
      <c r="D115" s="22">
        <f>IFERROR(IF($E$3="","",INDEX('Raw Pressure Data'!$A:$ZZ,ROW()-25,MATCH($E$3,'Raw Pressure Data'!$1:$1,0))),"")</f>
        <v/>
      </c>
      <c r="E115" s="24">
        <f>IF(OR(D115="",D115=-999),"",D115+$E$2)</f>
        <v/>
      </c>
      <c r="F115" s="22">
        <f>IFERROR(IF($E$4="","",INDEX('Raw Pressure Data'!$A:$ZZ,ROW()-25,MATCH($E$4,'Raw Pressure Data'!$1:$1,0))),"")</f>
        <v/>
      </c>
      <c r="G115" s="24">
        <f>IF(OR(F115="",F115=-999),"",F115+$E$2)</f>
        <v/>
      </c>
      <c r="H115" s="22">
        <f>IFERROR(IF($E$5="","",INDEX('Raw Pressure Data'!$A:$ZZ,ROW()-25,MATCH($E$5,'Raw Pressure Data'!$1:$1,0))),"")</f>
        <v/>
      </c>
      <c r="I115" s="24">
        <f>IF(OR(H115="",H115=-999),"",H115+$E$2)</f>
        <v/>
      </c>
    </row>
    <row r="116" ht="15" customHeight="1">
      <c r="A116" s="25">
        <f>IFERROR(IF(INDEX('Raw Flow Data'!$A:$A,ROW()-25)="","",INDEX('Raw Flow Data'!$A:$A,ROW()-25)),"")</f>
        <v/>
      </c>
      <c r="B116" s="26">
        <f>IFERROR(IF($B$3="","",INDEX('Raw Flow Data'!$A:$ZZ,ROW()-25,MATCH($B$3,'Raw Flow Data'!$1:$1,0))),"")</f>
        <v/>
      </c>
      <c r="C116" s="27">
        <f>IF(OR(B116="",B116=-999),"",B116*$B$2)</f>
        <v/>
      </c>
      <c r="D116" s="26">
        <f>IFERROR(IF($E$3="","",INDEX('Raw Pressure Data'!$A:$ZZ,ROW()-25,MATCH($E$3,'Raw Pressure Data'!$1:$1,0))),"")</f>
        <v/>
      </c>
      <c r="E116" s="28">
        <f>IF(OR(D116="",D116=-999),"",D116+$E$2)</f>
        <v/>
      </c>
      <c r="F116" s="26">
        <f>IFERROR(IF($E$4="","",INDEX('Raw Pressure Data'!$A:$ZZ,ROW()-25,MATCH($E$4,'Raw Pressure Data'!$1:$1,0))),"")</f>
        <v/>
      </c>
      <c r="G116" s="28">
        <f>IF(OR(F116="",F116=-999),"",F116+$E$2)</f>
        <v/>
      </c>
      <c r="H116" s="26">
        <f>IFERROR(IF($E$5="","",INDEX('Raw Pressure Data'!$A:$ZZ,ROW()-25,MATCH($E$5,'Raw Pressure Data'!$1:$1,0))),"")</f>
        <v/>
      </c>
      <c r="I116" s="28">
        <f>IF(OR(H116="",H116=-999),"",H116+$E$2)</f>
        <v/>
      </c>
    </row>
    <row r="117" ht="15" customHeight="1">
      <c r="A117" s="21">
        <f>IFERROR(IF(INDEX('Raw Flow Data'!$A:$A,ROW()-25)="","",INDEX('Raw Flow Data'!$A:$A,ROW()-25)),"")</f>
        <v/>
      </c>
      <c r="B117" s="22">
        <f>IFERROR(IF($B$3="","",INDEX('Raw Flow Data'!$A:$ZZ,ROW()-25,MATCH($B$3,'Raw Flow Data'!$1:$1,0))),"")</f>
        <v/>
      </c>
      <c r="C117" s="23">
        <f>IF(OR(B117="",B117=-999),"",B117*$B$2)</f>
        <v/>
      </c>
      <c r="D117" s="22">
        <f>IFERROR(IF($E$3="","",INDEX('Raw Pressure Data'!$A:$ZZ,ROW()-25,MATCH($E$3,'Raw Pressure Data'!$1:$1,0))),"")</f>
        <v/>
      </c>
      <c r="E117" s="24">
        <f>IF(OR(D117="",D117=-999),"",D117+$E$2)</f>
        <v/>
      </c>
      <c r="F117" s="22">
        <f>IFERROR(IF($E$4="","",INDEX('Raw Pressure Data'!$A:$ZZ,ROW()-25,MATCH($E$4,'Raw Pressure Data'!$1:$1,0))),"")</f>
        <v/>
      </c>
      <c r="G117" s="24">
        <f>IF(OR(F117="",F117=-999),"",F117+$E$2)</f>
        <v/>
      </c>
      <c r="H117" s="22">
        <f>IFERROR(IF($E$5="","",INDEX('Raw Pressure Data'!$A:$ZZ,ROW()-25,MATCH($E$5,'Raw Pressure Data'!$1:$1,0))),"")</f>
        <v/>
      </c>
      <c r="I117" s="24">
        <f>IF(OR(H117="",H117=-999),"",H117+$E$2)</f>
        <v/>
      </c>
    </row>
    <row r="118" ht="15" customHeight="1">
      <c r="A118" s="25">
        <f>IFERROR(IF(INDEX('Raw Flow Data'!$A:$A,ROW()-25)="","",INDEX('Raw Flow Data'!$A:$A,ROW()-25)),"")</f>
        <v/>
      </c>
      <c r="B118" s="26">
        <f>IFERROR(IF($B$3="","",INDEX('Raw Flow Data'!$A:$ZZ,ROW()-25,MATCH($B$3,'Raw Flow Data'!$1:$1,0))),"")</f>
        <v/>
      </c>
      <c r="C118" s="27">
        <f>IF(OR(B118="",B118=-999),"",B118*$B$2)</f>
        <v/>
      </c>
      <c r="D118" s="26">
        <f>IFERROR(IF($E$3="","",INDEX('Raw Pressure Data'!$A:$ZZ,ROW()-25,MATCH($E$3,'Raw Pressure Data'!$1:$1,0))),"")</f>
        <v/>
      </c>
      <c r="E118" s="28">
        <f>IF(OR(D118="",D118=-999),"",D118+$E$2)</f>
        <v/>
      </c>
      <c r="F118" s="26">
        <f>IFERROR(IF($E$4="","",INDEX('Raw Pressure Data'!$A:$ZZ,ROW()-25,MATCH($E$4,'Raw Pressure Data'!$1:$1,0))),"")</f>
        <v/>
      </c>
      <c r="G118" s="28">
        <f>IF(OR(F118="",F118=-999),"",F118+$E$2)</f>
        <v/>
      </c>
      <c r="H118" s="26">
        <f>IFERROR(IF($E$5="","",INDEX('Raw Pressure Data'!$A:$ZZ,ROW()-25,MATCH($E$5,'Raw Pressure Data'!$1:$1,0))),"")</f>
        <v/>
      </c>
      <c r="I118" s="28">
        <f>IF(OR(H118="",H118=-999),"",H118+$E$2)</f>
        <v/>
      </c>
    </row>
    <row r="119" ht="15" customHeight="1">
      <c r="A119" s="21">
        <f>IFERROR(IF(INDEX('Raw Flow Data'!$A:$A,ROW()-25)="","",INDEX('Raw Flow Data'!$A:$A,ROW()-25)),"")</f>
        <v/>
      </c>
      <c r="B119" s="22">
        <f>IFERROR(IF($B$3="","",INDEX('Raw Flow Data'!$A:$ZZ,ROW()-25,MATCH($B$3,'Raw Flow Data'!$1:$1,0))),"")</f>
        <v/>
      </c>
      <c r="C119" s="23">
        <f>IF(OR(B119="",B119=-999),"",B119*$B$2)</f>
        <v/>
      </c>
      <c r="D119" s="22">
        <f>IFERROR(IF($E$3="","",INDEX('Raw Pressure Data'!$A:$ZZ,ROW()-25,MATCH($E$3,'Raw Pressure Data'!$1:$1,0))),"")</f>
        <v/>
      </c>
      <c r="E119" s="24">
        <f>IF(OR(D119="",D119=-999),"",D119+$E$2)</f>
        <v/>
      </c>
      <c r="F119" s="22">
        <f>IFERROR(IF($E$4="","",INDEX('Raw Pressure Data'!$A:$ZZ,ROW()-25,MATCH($E$4,'Raw Pressure Data'!$1:$1,0))),"")</f>
        <v/>
      </c>
      <c r="G119" s="24">
        <f>IF(OR(F119="",F119=-999),"",F119+$E$2)</f>
        <v/>
      </c>
      <c r="H119" s="22">
        <f>IFERROR(IF($E$5="","",INDEX('Raw Pressure Data'!$A:$ZZ,ROW()-25,MATCH($E$5,'Raw Pressure Data'!$1:$1,0))),"")</f>
        <v/>
      </c>
      <c r="I119" s="24">
        <f>IF(OR(H119="",H119=-999),"",H119+$E$2)</f>
        <v/>
      </c>
    </row>
    <row r="120" ht="15" customHeight="1">
      <c r="A120" s="25">
        <f>IFERROR(IF(INDEX('Raw Flow Data'!$A:$A,ROW()-25)="","",INDEX('Raw Flow Data'!$A:$A,ROW()-25)),"")</f>
        <v/>
      </c>
      <c r="B120" s="26">
        <f>IFERROR(IF($B$3="","",INDEX('Raw Flow Data'!$A:$ZZ,ROW()-25,MATCH($B$3,'Raw Flow Data'!$1:$1,0))),"")</f>
        <v/>
      </c>
      <c r="C120" s="27">
        <f>IF(OR(B120="",B120=-999),"",B120*$B$2)</f>
        <v/>
      </c>
      <c r="D120" s="26">
        <f>IFERROR(IF($E$3="","",INDEX('Raw Pressure Data'!$A:$ZZ,ROW()-25,MATCH($E$3,'Raw Pressure Data'!$1:$1,0))),"")</f>
        <v/>
      </c>
      <c r="E120" s="28">
        <f>IF(OR(D120="",D120=-999),"",D120+$E$2)</f>
        <v/>
      </c>
      <c r="F120" s="26">
        <f>IFERROR(IF($E$4="","",INDEX('Raw Pressure Data'!$A:$ZZ,ROW()-25,MATCH($E$4,'Raw Pressure Data'!$1:$1,0))),"")</f>
        <v/>
      </c>
      <c r="G120" s="28">
        <f>IF(OR(F120="",F120=-999),"",F120+$E$2)</f>
        <v/>
      </c>
      <c r="H120" s="26">
        <f>IFERROR(IF($E$5="","",INDEX('Raw Pressure Data'!$A:$ZZ,ROW()-25,MATCH($E$5,'Raw Pressure Data'!$1:$1,0))),"")</f>
        <v/>
      </c>
      <c r="I120" s="28">
        <f>IF(OR(H120="",H120=-999),"",H120+$E$2)</f>
        <v/>
      </c>
    </row>
    <row r="121" ht="15" customHeight="1">
      <c r="A121" s="21">
        <f>IFERROR(IF(INDEX('Raw Flow Data'!$A:$A,ROW()-25)="","",INDEX('Raw Flow Data'!$A:$A,ROW()-25)),"")</f>
        <v/>
      </c>
      <c r="B121" s="22">
        <f>IFERROR(IF($B$3="","",INDEX('Raw Flow Data'!$A:$ZZ,ROW()-25,MATCH($B$3,'Raw Flow Data'!$1:$1,0))),"")</f>
        <v/>
      </c>
      <c r="C121" s="23">
        <f>IF(OR(B121="",B121=-999),"",B121*$B$2)</f>
        <v/>
      </c>
      <c r="D121" s="22">
        <f>IFERROR(IF($E$3="","",INDEX('Raw Pressure Data'!$A:$ZZ,ROW()-25,MATCH($E$3,'Raw Pressure Data'!$1:$1,0))),"")</f>
        <v/>
      </c>
      <c r="E121" s="24">
        <f>IF(OR(D121="",D121=-999),"",D121+$E$2)</f>
        <v/>
      </c>
      <c r="F121" s="22">
        <f>IFERROR(IF($E$4="","",INDEX('Raw Pressure Data'!$A:$ZZ,ROW()-25,MATCH($E$4,'Raw Pressure Data'!$1:$1,0))),"")</f>
        <v/>
      </c>
      <c r="G121" s="24">
        <f>IF(OR(F121="",F121=-999),"",F121+$E$2)</f>
        <v/>
      </c>
      <c r="H121" s="22">
        <f>IFERROR(IF($E$5="","",INDEX('Raw Pressure Data'!$A:$ZZ,ROW()-25,MATCH($E$5,'Raw Pressure Data'!$1:$1,0))),"")</f>
        <v/>
      </c>
      <c r="I121" s="24">
        <f>IF(OR(H121="",H121=-999),"",H121+$E$2)</f>
        <v/>
      </c>
    </row>
    <row r="122" ht="15" customHeight="1">
      <c r="A122" s="25">
        <f>IFERROR(IF(INDEX('Raw Flow Data'!$A:$A,ROW()-25)="","",INDEX('Raw Flow Data'!$A:$A,ROW()-25)),"")</f>
        <v/>
      </c>
      <c r="B122" s="26">
        <f>IFERROR(IF($B$3="","",INDEX('Raw Flow Data'!$A:$ZZ,ROW()-25,MATCH($B$3,'Raw Flow Data'!$1:$1,0))),"")</f>
        <v/>
      </c>
      <c r="C122" s="27">
        <f>IF(OR(B122="",B122=-999),"",B122*$B$2)</f>
        <v/>
      </c>
      <c r="D122" s="26">
        <f>IFERROR(IF($E$3="","",INDEX('Raw Pressure Data'!$A:$ZZ,ROW()-25,MATCH($E$3,'Raw Pressure Data'!$1:$1,0))),"")</f>
        <v/>
      </c>
      <c r="E122" s="28">
        <f>IF(OR(D122="",D122=-999),"",D122+$E$2)</f>
        <v/>
      </c>
      <c r="F122" s="26">
        <f>IFERROR(IF($E$4="","",INDEX('Raw Pressure Data'!$A:$ZZ,ROW()-25,MATCH($E$4,'Raw Pressure Data'!$1:$1,0))),"")</f>
        <v/>
      </c>
      <c r="G122" s="28">
        <f>IF(OR(F122="",F122=-999),"",F122+$E$2)</f>
        <v/>
      </c>
      <c r="H122" s="26">
        <f>IFERROR(IF($E$5="","",INDEX('Raw Pressure Data'!$A:$ZZ,ROW()-25,MATCH($E$5,'Raw Pressure Data'!$1:$1,0))),"")</f>
        <v/>
      </c>
      <c r="I122" s="28">
        <f>IF(OR(H122="",H122=-999),"",H122+$E$2)</f>
        <v/>
      </c>
    </row>
    <row r="123" ht="15" customHeight="1">
      <c r="A123" s="21">
        <f>IFERROR(IF(INDEX('Raw Flow Data'!$A:$A,ROW()-25)="","",INDEX('Raw Flow Data'!$A:$A,ROW()-25)),"")</f>
        <v/>
      </c>
      <c r="B123" s="22">
        <f>IFERROR(IF($B$3="","",INDEX('Raw Flow Data'!$A:$ZZ,ROW()-25,MATCH($B$3,'Raw Flow Data'!$1:$1,0))),"")</f>
        <v/>
      </c>
      <c r="C123" s="23">
        <f>IF(OR(B123="",B123=-999),"",B123*$B$2)</f>
        <v/>
      </c>
      <c r="D123" s="22">
        <f>IFERROR(IF($E$3="","",INDEX('Raw Pressure Data'!$A:$ZZ,ROW()-25,MATCH($E$3,'Raw Pressure Data'!$1:$1,0))),"")</f>
        <v/>
      </c>
      <c r="E123" s="24">
        <f>IF(OR(D123="",D123=-999),"",D123+$E$2)</f>
        <v/>
      </c>
      <c r="F123" s="22">
        <f>IFERROR(IF($E$4="","",INDEX('Raw Pressure Data'!$A:$ZZ,ROW()-25,MATCH($E$4,'Raw Pressure Data'!$1:$1,0))),"")</f>
        <v/>
      </c>
      <c r="G123" s="24">
        <f>IF(OR(F123="",F123=-999),"",F123+$E$2)</f>
        <v/>
      </c>
      <c r="H123" s="22">
        <f>IFERROR(IF($E$5="","",INDEX('Raw Pressure Data'!$A:$ZZ,ROW()-25,MATCH($E$5,'Raw Pressure Data'!$1:$1,0))),"")</f>
        <v/>
      </c>
      <c r="I123" s="24">
        <f>IF(OR(H123="",H123=-999),"",H123+$E$2)</f>
        <v/>
      </c>
    </row>
    <row r="124" ht="15" customHeight="1">
      <c r="A124" s="25">
        <f>IFERROR(IF(INDEX('Raw Flow Data'!$A:$A,ROW()-25)="","",INDEX('Raw Flow Data'!$A:$A,ROW()-25)),"")</f>
        <v/>
      </c>
      <c r="B124" s="26">
        <f>IFERROR(IF($B$3="","",INDEX('Raw Flow Data'!$A:$ZZ,ROW()-25,MATCH($B$3,'Raw Flow Data'!$1:$1,0))),"")</f>
        <v/>
      </c>
      <c r="C124" s="27">
        <f>IF(OR(B124="",B124=-999),"",B124*$B$2)</f>
        <v/>
      </c>
      <c r="D124" s="26">
        <f>IFERROR(IF($E$3="","",INDEX('Raw Pressure Data'!$A:$ZZ,ROW()-25,MATCH($E$3,'Raw Pressure Data'!$1:$1,0))),"")</f>
        <v/>
      </c>
      <c r="E124" s="28">
        <f>IF(OR(D124="",D124=-999),"",D124+$E$2)</f>
        <v/>
      </c>
      <c r="F124" s="26">
        <f>IFERROR(IF($E$4="","",INDEX('Raw Pressure Data'!$A:$ZZ,ROW()-25,MATCH($E$4,'Raw Pressure Data'!$1:$1,0))),"")</f>
        <v/>
      </c>
      <c r="G124" s="28">
        <f>IF(OR(F124="",F124=-999),"",F124+$E$2)</f>
        <v/>
      </c>
      <c r="H124" s="26">
        <f>IFERROR(IF($E$5="","",INDEX('Raw Pressure Data'!$A:$ZZ,ROW()-25,MATCH($E$5,'Raw Pressure Data'!$1:$1,0))),"")</f>
        <v/>
      </c>
      <c r="I124" s="28">
        <f>IF(OR(H124="",H124=-999),"",H124+$E$2)</f>
        <v/>
      </c>
    </row>
    <row r="125" ht="15" customHeight="1">
      <c r="A125" s="21">
        <f>IFERROR(IF(INDEX('Raw Flow Data'!$A:$A,ROW()-25)="","",INDEX('Raw Flow Data'!$A:$A,ROW()-25)),"")</f>
        <v/>
      </c>
      <c r="B125" s="22">
        <f>IFERROR(IF($B$3="","",INDEX('Raw Flow Data'!$A:$ZZ,ROW()-25,MATCH($B$3,'Raw Flow Data'!$1:$1,0))),"")</f>
        <v/>
      </c>
      <c r="C125" s="23">
        <f>IF(OR(B125="",B125=-999),"",B125*$B$2)</f>
        <v/>
      </c>
      <c r="D125" s="22">
        <f>IFERROR(IF($E$3="","",INDEX('Raw Pressure Data'!$A:$ZZ,ROW()-25,MATCH($E$3,'Raw Pressure Data'!$1:$1,0))),"")</f>
        <v/>
      </c>
      <c r="E125" s="24">
        <f>IF(OR(D125="",D125=-999),"",D125+$E$2)</f>
        <v/>
      </c>
      <c r="F125" s="22">
        <f>IFERROR(IF($E$4="","",INDEX('Raw Pressure Data'!$A:$ZZ,ROW()-25,MATCH($E$4,'Raw Pressure Data'!$1:$1,0))),"")</f>
        <v/>
      </c>
      <c r="G125" s="24">
        <f>IF(OR(F125="",F125=-999),"",F125+$E$2)</f>
        <v/>
      </c>
      <c r="H125" s="22">
        <f>IFERROR(IF($E$5="","",INDEX('Raw Pressure Data'!$A:$ZZ,ROW()-25,MATCH($E$5,'Raw Pressure Data'!$1:$1,0))),"")</f>
        <v/>
      </c>
      <c r="I125" s="24">
        <f>IF(OR(H125="",H125=-999),"",H125+$E$2)</f>
        <v/>
      </c>
    </row>
    <row r="126" ht="15" customHeight="1">
      <c r="A126" s="25">
        <f>IFERROR(IF(INDEX('Raw Flow Data'!$A:$A,ROW()-25)="","",INDEX('Raw Flow Data'!$A:$A,ROW()-25)),"")</f>
        <v/>
      </c>
      <c r="B126" s="26">
        <f>IFERROR(IF($B$3="","",INDEX('Raw Flow Data'!$A:$ZZ,ROW()-25,MATCH($B$3,'Raw Flow Data'!$1:$1,0))),"")</f>
        <v/>
      </c>
      <c r="C126" s="27">
        <f>IF(OR(B126="",B126=-999),"",B126*$B$2)</f>
        <v/>
      </c>
      <c r="D126" s="26">
        <f>IFERROR(IF($E$3="","",INDEX('Raw Pressure Data'!$A:$ZZ,ROW()-25,MATCH($E$3,'Raw Pressure Data'!$1:$1,0))),"")</f>
        <v/>
      </c>
      <c r="E126" s="28">
        <f>IF(OR(D126="",D126=-999),"",D126+$E$2)</f>
        <v/>
      </c>
      <c r="F126" s="26">
        <f>IFERROR(IF($E$4="","",INDEX('Raw Pressure Data'!$A:$ZZ,ROW()-25,MATCH($E$4,'Raw Pressure Data'!$1:$1,0))),"")</f>
        <v/>
      </c>
      <c r="G126" s="28">
        <f>IF(OR(F126="",F126=-999),"",F126+$E$2)</f>
        <v/>
      </c>
      <c r="H126" s="26">
        <f>IFERROR(IF($E$5="","",INDEX('Raw Pressure Data'!$A:$ZZ,ROW()-25,MATCH($E$5,'Raw Pressure Data'!$1:$1,0))),"")</f>
        <v/>
      </c>
      <c r="I126" s="28">
        <f>IF(OR(H126="",H126=-999),"",H126+$E$2)</f>
        <v/>
      </c>
    </row>
    <row r="127" ht="24" customHeight="1">
      <c r="A127" s="5" t="inlineStr">
        <is>
          <t>↑ Formulas cover 100 rows (A27:I126). For more data: select that range and copy-paste downward.</t>
        </is>
      </c>
    </row>
  </sheetData>
  <mergeCells count="38">
    <mergeCell ref="D20:E20"/>
    <mergeCell ref="A25:I25"/>
    <mergeCell ref="D10:E10"/>
    <mergeCell ref="A15:B15"/>
    <mergeCell ref="D19:E19"/>
    <mergeCell ref="A11:B11"/>
    <mergeCell ref="D22:E22"/>
    <mergeCell ref="A6:B6"/>
    <mergeCell ref="D21:E21"/>
    <mergeCell ref="D6:E6"/>
    <mergeCell ref="A16:B16"/>
    <mergeCell ref="A7:B7"/>
    <mergeCell ref="D11:E11"/>
    <mergeCell ref="D13:E13"/>
    <mergeCell ref="A23:I23"/>
    <mergeCell ref="A18:B18"/>
    <mergeCell ref="D17:E17"/>
    <mergeCell ref="A12:B12"/>
    <mergeCell ref="D16:E16"/>
    <mergeCell ref="D7:E7"/>
    <mergeCell ref="A5:B5"/>
    <mergeCell ref="A127:I127"/>
    <mergeCell ref="A14:B14"/>
    <mergeCell ref="D18:E18"/>
    <mergeCell ref="A17:B17"/>
    <mergeCell ref="A8:B8"/>
    <mergeCell ref="D9:E9"/>
    <mergeCell ref="D12:E12"/>
    <mergeCell ref="A4:B4"/>
    <mergeCell ref="D8:E8"/>
    <mergeCell ref="A20:B20"/>
    <mergeCell ref="D15:E15"/>
    <mergeCell ref="A19:B19"/>
    <mergeCell ref="A1:F1"/>
    <mergeCell ref="A10:B10"/>
    <mergeCell ref="D14:E14"/>
    <mergeCell ref="A13:B13"/>
    <mergeCell ref="A9:B9"/>
  </mergeCells>
  <conditionalFormatting sqref="A5:B20">
    <cfRule type="expression" priority="1" dxfId="0">
      <formula>$A5=$B$3</formula>
    </cfRule>
  </conditionalFormatting>
  <conditionalFormatting sqref="D7:E22">
    <cfRule type="expression" priority="2" dxfId="1">
      <formula>OR($D7=$E$3,$D7=$E$4,$D7=$E$5)</formula>
    </cfRule>
  </conditionalFormatting>
  <dataValidations count="4">
    <dataValidation sqref="B3" showDropDown="0" showInputMessage="0" showErrorMessage="0" allowBlank="1" type="list">
      <formula1>'Raw Flow Data'!$B$1:$GR$1</formula1>
    </dataValidation>
    <dataValidation sqref="E3" showDropDown="0" showInputMessage="0" showErrorMessage="0" allowBlank="1" type="list">
      <formula1>'Raw Pressure Data'!$B$1:$GR$1</formula1>
    </dataValidation>
    <dataValidation sqref="E4" showDropDown="0" showInputMessage="0" showErrorMessage="0" allowBlank="1" type="list">
      <formula1>'Raw Pressure Data'!$B$1:$GR$1</formula1>
    </dataValidation>
    <dataValidation sqref="E5"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69"/>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9" t="inlineStr">
        <is>
          <t>1.  QUICK START  (works immediately — no setup needed)</t>
        </is>
      </c>
    </row>
    <row r="4" ht="17" customHeight="1">
      <c r="A4" s="30" t="inlineStr">
        <is>
          <t>Step 1:  Paste your flow data into 'Raw Flow Data' (delete sample rows, keep Row 1 headers).</t>
        </is>
      </c>
    </row>
    <row r="5" ht="17" customHeight="1">
      <c r="A5" s="30" t="inlineStr">
        <is>
          <t>Step 2:  Paste your pressure data into 'Raw Pressure Data' (same format).</t>
        </is>
      </c>
    </row>
    <row r="6" ht="17" customHeight="1">
      <c r="A6" s="30" t="inlineStr">
        <is>
          <t>Step 3:  Go to the Dashboard sheet.</t>
        </is>
      </c>
    </row>
    <row r="7" ht="17" customHeight="1">
      <c r="A7" s="30" t="inlineStr">
        <is>
          <t>Step 4:  Use 'Pressure 1 ▼' (cell E3) to pick the first pressure to display.</t>
        </is>
      </c>
    </row>
    <row r="8" ht="17" customHeight="1">
      <c r="A8" s="30" t="inlineStr">
        <is>
          <t xml:space="preserve">         Optionally use 'Pressure 2 ▼' (E4) and 'Pressure 3 ▼' (E5) for more series.</t>
        </is>
      </c>
    </row>
    <row r="9" ht="17" customHeight="1">
      <c r="A9" s="30" t="inlineStr">
        <is>
          <t xml:space="preserve">         Leave E4 / E5 blank to show fewer than 3 pressure lines on the chart.</t>
        </is>
      </c>
    </row>
    <row r="10" ht="17" customHeight="1">
      <c r="A10" s="30" t="inlineStr">
        <is>
          <t>Step 5:  Use 'Select Flow ▼' (cell B3) to pick a flow.</t>
        </is>
      </c>
    </row>
    <row r="11" ht="17" customHeight="1">
      <c r="A11" s="30" t="inlineStr">
        <is>
          <t xml:space="preserve">         Leave B3 blank to hide the Flow line and show only pressure(s).</t>
        </is>
      </c>
    </row>
    <row r="12" ht="17" customHeight="1">
      <c r="A12" s="30" t="inlineStr">
        <is>
          <t>Step 6:  Adjust 'Flow Scaling Factor' (B2) and 'Pressure Offset' (E2) if needed.</t>
        </is>
      </c>
    </row>
    <row r="13" ht="17" customHeight="1">
      <c r="A13" s="30" t="inlineStr">
        <is>
          <t>Step 7:  The chart (right side) and formula table (below) update instantly.</t>
        </is>
      </c>
    </row>
    <row r="14" ht="17" customHeight="1">
      <c r="A14" s="30" t="inlineStr">
        <is>
          <t>Step 8:  When satisfied, run the SaveToMOD macro to store the adjusted data.</t>
        </is>
      </c>
    </row>
    <row r="15" ht="17" customHeight="1">
      <c r="A15" s="30" t="inlineStr"/>
    </row>
    <row r="16" ht="17" customHeight="1">
      <c r="A16" s="30" t="inlineStr">
        <is>
          <t>NOTE:  After pasting your own data, right-click each selector cell (B3, E3-E5)</t>
        </is>
      </c>
    </row>
    <row r="17" ht="17" customHeight="1">
      <c r="A17" s="30" t="inlineStr">
        <is>
          <t xml:space="preserve">       → Data Validation → update the Source to cover your column range,</t>
        </is>
      </c>
    </row>
    <row r="18" ht="17" customHeight="1">
      <c r="A18" s="30" t="inlineStr">
        <is>
          <t xml:space="preserve">       e.g.  'Raw Flow Data'!$B$1:$BZ$1</t>
        </is>
      </c>
    </row>
    <row r="19" ht="17" customHeight="1">
      <c r="A19" s="30" t="inlineStr"/>
    </row>
    <row r="20" ht="17" customHeight="1">
      <c r="A20" s="30" t="inlineStr">
        <is>
          <t>NOTE:  The formula table covers 100 rows (A27:I126). For longer datasets, select</t>
        </is>
      </c>
    </row>
    <row r="21" ht="17" customHeight="1">
      <c r="A21" s="30" t="inlineStr">
        <is>
          <t xml:space="preserve">       that range and copy-paste downward as far as needed.</t>
        </is>
      </c>
    </row>
    <row r="22" ht="17" customHeight="1">
      <c r="A22" s="30" t="inlineStr"/>
    </row>
    <row r="23" ht="17" customHeight="1">
      <c r="A23" s="30" t="inlineStr">
        <is>
          <t>NOTE:  -999 values are treated as no-data and are excluded from all calculations.</t>
        </is>
      </c>
    </row>
    <row r="24" ht="8" customHeight="1"/>
    <row r="25" ht="26" customHeight="1">
      <c r="A25" s="31" t="inlineStr">
        <is>
          <t>2.  POWER QUERY SETUP  (optional — recommended for very large datasets)</t>
        </is>
      </c>
    </row>
    <row r="26" ht="17" customHeight="1">
      <c r="A26" s="30" t="inlineStr">
        <is>
          <t>The Raw data sheets are already set up as Excel Tables (FlowData, PressureData).</t>
        </is>
      </c>
    </row>
    <row r="27" ht="17" customHeight="1">
      <c r="A27" s="30" t="inlineStr">
        <is>
          <t>Power Query can load these tables, unpivot them, and merge them for use in PivotTables.</t>
        </is>
      </c>
    </row>
    <row r="28" ht="17" customHeight="1">
      <c r="A28" s="30" t="inlineStr"/>
    </row>
    <row r="29" ht="17" customHeight="1">
      <c r="A29" s="30" t="inlineStr">
        <is>
          <t>Step 1:  Data tab → Get Data → From Table/Range → select the FlowData table.</t>
        </is>
      </c>
    </row>
    <row r="30" ht="17" customHeight="1">
      <c r="A30" s="30" t="inlineStr">
        <is>
          <t>Step 2:  In Power Query Editor: select the Date column, then Home → Unpivot Other Columns.</t>
        </is>
      </c>
    </row>
    <row r="31" ht="17" customHeight="1">
      <c r="A31" s="30" t="inlineStr">
        <is>
          <t xml:space="preserve">         Rename 'Attribute' → 'Flow Name',  'Value' → 'Flow Value'.</t>
        </is>
      </c>
    </row>
    <row r="32" ht="17" customHeight="1">
      <c r="A32" s="30" t="inlineStr">
        <is>
          <t>Step 3:  Close &amp; Load To… → Only Create Connection.  Name the query  FlowLong.</t>
        </is>
      </c>
    </row>
    <row r="33" ht="17" customHeight="1">
      <c r="A33" s="30" t="inlineStr">
        <is>
          <t>Step 4:  Repeat for PressureData.  Name the query  PressureLong.</t>
        </is>
      </c>
    </row>
    <row r="34" ht="17" customHeight="1">
      <c r="A34" s="30" t="inlineStr">
        <is>
          <t>Step 5:  Merge the two queries on Date + Name to get a combined table.</t>
        </is>
      </c>
    </row>
    <row r="35" ht="17" customHeight="1">
      <c r="A35" s="30" t="inlineStr">
        <is>
          <t>Step 6:  Add calculated columns:  Flow Adjusted = [Flow Value] × scaling_factor</t>
        </is>
      </c>
    </row>
    <row r="36" ht="17" customHeight="1">
      <c r="A36" s="30" t="inlineStr">
        <is>
          <t xml:space="preserve">                                  Pressure Adjusted = [Pressure Value] + offset</t>
        </is>
      </c>
    </row>
    <row r="37" ht="17" customHeight="1">
      <c r="A37" s="30" t="inlineStr">
        <is>
          <t>Step 7:  Load the merged query to a sheet and build a PivotTable + Slicer on top of it.</t>
        </is>
      </c>
    </row>
    <row r="38" ht="17" customHeight="1">
      <c r="A38" s="30" t="inlineStr"/>
    </row>
    <row r="39" ht="17" customHeight="1">
      <c r="A39" s="30" t="inlineStr">
        <is>
          <t>After pasting new data:  Data tab → Refresh All  (Ctrl+Alt+F5).</t>
        </is>
      </c>
    </row>
    <row r="40" ht="8" customHeight="1"/>
    <row r="41" ht="26" customHeight="1">
      <c r="A41" s="32" t="inlineStr">
        <is>
          <t>3.  PIVOTTABLE + SLICER  (optional — for interactive multi-flow comparison)</t>
        </is>
      </c>
    </row>
    <row r="42" ht="17" customHeight="1">
      <c r="A42" s="30" t="inlineStr">
        <is>
          <t>Once the Power Query merged table is loaded to a sheet:</t>
        </is>
      </c>
    </row>
    <row r="43" ht="17" customHeight="1">
      <c r="A43" s="30" t="inlineStr">
        <is>
          <t xml:space="preserve">  • Insert → PivotTable</t>
        </is>
      </c>
    </row>
    <row r="44" ht="17" customHeight="1">
      <c r="A44" s="30" t="inlineStr">
        <is>
          <t xml:space="preserve">  • Rows: Date    Values: Flow Adjusted, Pressure Adjusted</t>
        </is>
      </c>
    </row>
    <row r="45" ht="17" customHeight="1">
      <c r="A45" s="30" t="inlineStr">
        <is>
          <t xml:space="preserve">  • PivotTable Analyze → Insert Slicer → tick 'Flow Name' → OK</t>
        </is>
      </c>
    </row>
    <row r="46" ht="17" customHeight="1">
      <c r="A46" s="30" t="inlineStr">
        <is>
          <t xml:space="preserve">  • Click a flow name in the Slicer to filter instantly</t>
        </is>
      </c>
    </row>
    <row r="47" ht="17" customHeight="1">
      <c r="A47" s="30" t="inlineStr">
        <is>
          <t xml:space="preserve">  • Insert → PivotChart → Line → add Secondary Axis to the Pressure series</t>
        </is>
      </c>
    </row>
    <row r="48" ht="8" customHeight="1"/>
    <row r="49" ht="26" customHeight="1">
      <c r="A49" s="33" t="inlineStr">
        <is>
          <t>4.  VBA SAVE BUTTON  (paste this into a Module — Alt+F11 → Insert → Module)</t>
        </is>
      </c>
    </row>
    <row r="50" ht="17" customHeight="1">
      <c r="A50" s="34" t="inlineStr">
        <is>
          <t>Assign the macro to a button on the Dashboard: Developer tab → Insert → Button (Form Control).</t>
        </is>
      </c>
    </row>
    <row r="51" ht="8" customHeight="1"/>
    <row r="52" ht="17" customHeight="1">
      <c r="A52" s="35" t="inlineStr">
        <is>
          <t>' ═══════════════════════════════════════════════════════════════════════════
' SaveToMOD  —  appends current adjusted data to MOD Flow and MOD Pressure
' Reads:  B3 (selected flow), E3 (pressure 1), B2 (scaling), E2 (offset)
'         Data table rows 27+, col C = Flow Adjusted, col E = Pressure 1 Adjusted
'         (Pressure 2/3 in cols G/I are not saved by this macro — extend as needed)
' ═══════════════════════════════════════════════════════════════════════════
Sub SaveToMOD()
    Dim wsDash    As Worksheet
    Dim wsModFlow As Worksheet
    Dim wsModPres As Worksheet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 ── Validate selections ──────────────────────────────────────────────────
    Dim flowName As String
    Dim presName As String
    flowName = Trim(wsDash.Range("B3").Value)
    presName = Trim(wsDash.Range("E3").Value)
    If flowName = "" Then
        MsgBox "Please select a Flow from the dropdown (cell B3).", _
               vbExclamation, "No Flow Selected"
        Exit Sub
    End If
    If presName = "" Then
        MsgBox "Please select a Pressure from the dropdown (cell E3).", _
               vbExclamation, "No Pressure Selected"
        Exit Sub
    End If
    ' ── Find last row with data ──────────────────────────────────────────────
    Const DATA_START As Long = 27
    Dim lastRow As Long
    lastRow = wsDash.Cells(wsDash.Rows.Count, "A").End(xlUp).Row
    If lastRow &lt; DATA_START Then
        MsgBox "No data found in the formula table (rows 27 onwards).", _
               vbExclamation, "No Data"
        Exit Sub
    End If
    Application.ScreenUpdating = False
    ' ── Next empty row in each MOD tab (skip header + info row) ─────────────
    Dim nFlow As Long
    Dim nPres As Long
    nFlow = wsModFlow.Cells(wsModFlow.Rows.Count, "A").End(xlUp).Row + 1
    nPres = wsModPres.Cells(wsModPres.Rows.Count, "A").End(xlUp).Row + 1
    If nFlow &lt; 3 Then nFlow = 3
    If nPres &lt; 3 Then nPres = 3
    Dim saved As Long
    Dim i As Long
    For i = DATA_START To lastRow
        Dim dtVal     As Variant
        Dim flowAdj   As Variant
        Dim presAdj   As Variant
        dtVal   = wsDash.Cells(i, "A").Value   ' Date
        flowAdj = wsDash.Cells(i, "C").Value   ' Flow Adjusted   (col C)
        presAdj = wsDash.Cells(i, "E").Value   ' Pressure 1 Adjusted (col E)
        If dtVal = "" Then GoTo Skip
        If flowAdj &lt;&gt; "" Then
            wsModFlow.Cells(nFlow, "A").Value         = dtVal
            wsModFlow.Cells(nFlow, "A").NumberFormat  = "DD/MM/YYYY HH:MM"
            wsModFlow.Cells(nFlow, "B").Value         = flowName
            wsModFlow.Cells(nFlow, "C").Value         = flowAdj
            wsModFlow.Cells(nFlow, "C").NumberFormat  = "0.000"
            nFlow = nFlow + 1
        End If
        If presAdj &lt;&gt; "" Then
            wsModPres.Cells(nPres, "A").Value         = dtVal
            wsModPres.Cells(nPres, "A").NumberFormat  = "DD/MM/YYYY HH:MM"
            wsModPres.Cells(nPres, "B").Value         = presName
            wsModPres.Cells(nPres, "C").Value         = presAdj
            wsModPres.Cells(nPres, "C").NumberFormat  = "0.000"
            nPres = nPres + 1
        End If
        saved = saved + 1
Skip:
    Next i
    Application.ScreenUpdating = True
    If saved = 0 Then
        MsgBox "No data rows were saved — check the formula table has values.", _
               vbExclamation, "Nothing Saved"
    Else
        MsgBox "Saved " &amp; saved &amp; " rows." &amp; Chr(10) &amp; Chr(10) &amp; _
               "  Flow:     " &amp; flowName &amp; Chr(10) &amp; _
               "  Pressure: " &amp; presName, _
               vbInformation, "Save Complete"
    End If
End Sub</t>
        </is>
      </c>
    </row>
    <row r="53" ht="8" customHeight="1"/>
    <row r="54" ht="26" customHeight="1">
      <c r="A54" s="36" t="inlineStr">
        <is>
          <t>5.  DATA FORMAT REFERENCE</t>
        </is>
      </c>
    </row>
    <row r="55" ht="17" customHeight="1">
      <c r="A55" s="30" t="inlineStr">
        <is>
          <t>Both Raw Data sheets expect this wide format:</t>
        </is>
      </c>
    </row>
    <row r="56" ht="17" customHeight="1">
      <c r="A56" s="30" t="inlineStr"/>
    </row>
    <row r="57" ht="17" customHeight="1">
      <c r="A57" s="30" t="inlineStr">
        <is>
          <t xml:space="preserve">    Date               | AL012       | AL013       | AL014       | ...  </t>
        </is>
      </c>
    </row>
    <row r="58" ht="17" customHeight="1">
      <c r="A58" s="30" t="inlineStr">
        <is>
          <t xml:space="preserve">    12/01/2026 00:00   | 3.168205    | 2.204250    | 2.665153    | ...  </t>
        </is>
      </c>
    </row>
    <row r="59" ht="17" customHeight="1">
      <c r="A59" s="30" t="inlineStr">
        <is>
          <t xml:space="preserve">    12/01/2026 00:15   | 3.190769    | 2.225250    | 2.681334    | ...  </t>
        </is>
      </c>
    </row>
    <row r="60" ht="17" customHeight="1">
      <c r="A60" s="30" t="inlineStr"/>
    </row>
    <row r="61" ht="17" customHeight="1">
      <c r="A61" s="30" t="inlineStr">
        <is>
          <t>• Column A must contain a proper Date/Time value (not text).</t>
        </is>
      </c>
    </row>
    <row r="62" ht="17" customHeight="1">
      <c r="A62" s="30" t="inlineStr">
        <is>
          <t>• Flow and pressure column names can be any mix of letters and numbers.</t>
        </is>
      </c>
    </row>
    <row r="63" ht="17" customHeight="1">
      <c r="A63" s="30" t="inlineStr">
        <is>
          <t>• The flow names in Raw Flow Data and the pressure names in Raw Pressure Data</t>
        </is>
      </c>
    </row>
    <row r="64" ht="17" customHeight="1">
      <c r="A64" s="30" t="inlineStr">
        <is>
          <t xml:space="preserve">  do NOT need to match — you select each independently on the Dashboard.</t>
        </is>
      </c>
    </row>
    <row r="65" ht="17" customHeight="1">
      <c r="A65" s="30" t="inlineStr">
        <is>
          <t>• Use -999 for missing/no-data values — they are excluded from all calculations.</t>
        </is>
      </c>
    </row>
    <row r="66" ht="17" customHeight="1">
      <c r="A66" s="30" t="inlineStr">
        <is>
          <t>• Data can be any length: months of 15-minute data = thousands of rows.</t>
        </is>
      </c>
    </row>
    <row r="67" ht="17" customHeight="1">
      <c r="A67" s="30" t="inlineStr">
        <is>
          <t>• Columns F/G = Pressure 2 Raw/Adjusted  (driven by E4),</t>
        </is>
      </c>
    </row>
    <row r="68" ht="17" customHeight="1">
      <c r="A68" s="30" t="inlineStr">
        <is>
          <t xml:space="preserve">  Columns H/I = Pressure 3 Raw/Adjusted  (driven by E5).</t>
        </is>
      </c>
    </row>
    <row r="69" ht="17" customHeight="1">
      <c r="A69" s="30" t="inlineStr">
        <is>
          <t>• Leave E4 or E5 blank to leave those columns empty (no performance impact).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2026-03-25T09:33:32Z</dcterms:created>
  <dcterms:modified xsi:type="dcterms:W3CDTF">2026-03-25T09:33:32Z</dcterms:modified>
</cp:coreProperties>
</file>