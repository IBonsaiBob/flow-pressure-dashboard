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0.000000"/>
    <numFmt numFmtId="167" formatCode="0.000"/>
  </numFmts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595959"/>
      <sz val="9"/>
    </font>
    <font>
      <i val="1"/>
      <color rgb="002E75B6"/>
      <sz val="9"/>
    </font>
    <font>
      <b val="1"/>
      <color rgb="00FFFFFF"/>
      <sz val="15"/>
    </font>
    <font>
      <b val="1"/>
      <color rgb="00000000"/>
      <sz val="10"/>
    </font>
    <font>
      <b val="1"/>
      <color rgb="00000000"/>
      <sz val="11"/>
    </font>
    <font>
      <i val="1"/>
      <color rgb="00C55A11"/>
      <sz val="9"/>
    </font>
    <font>
      <i val="1"/>
      <color rgb="0070AD47"/>
      <sz val="9"/>
    </font>
    <font>
      <b val="1"/>
      <color rgb="00FFFFFF"/>
      <sz val="9"/>
    </font>
    <font>
      <sz val="10"/>
    </font>
    <font>
      <b val="1"/>
      <color rgb="00FFFFFF"/>
      <sz val="14"/>
    </font>
    <font>
      <b val="1"/>
      <color rgb="00FFFFFF"/>
      <sz val="11"/>
    </font>
    <font>
      <color rgb="00000000"/>
      <sz val="10"/>
    </font>
    <font>
      <color rgb="00000000"/>
      <sz val="9"/>
    </font>
    <font>
      <i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6E4BC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167" fontId="6" fillId="7" borderId="2" applyAlignment="1" pivotButton="0" quotePrefix="0" xfId="0">
      <alignment horizontal="center" vertical="center"/>
    </xf>
    <xf numFmtId="0" fontId="8" fillId="0" borderId="0" pivotButton="0" quotePrefix="0" xfId="0"/>
    <xf numFmtId="0" fontId="3" fillId="0" borderId="0" pivotButton="0" quotePrefix="0" xfId="0"/>
    <xf numFmtId="0" fontId="9" fillId="4" borderId="0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0" fillId="0" borderId="1" pivotButton="0" quotePrefix="0" xfId="0"/>
    <xf numFmtId="167" fontId="0" fillId="0" borderId="1" applyAlignment="1" pivotButton="0" quotePrefix="0" xfId="0">
      <alignment horizontal="center"/>
    </xf>
    <xf numFmtId="0" fontId="2" fillId="0" borderId="1" pivotButton="0" quotePrefix="0" xfId="0"/>
    <xf numFmtId="0" fontId="9" fillId="2" borderId="0" applyAlignment="1" pivotButton="0" quotePrefix="0" xfId="0">
      <alignment horizontal="left"/>
    </xf>
    <xf numFmtId="0" fontId="1" fillId="8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67" fontId="0" fillId="9" borderId="0" applyAlignment="1" pivotButton="0" quotePrefix="0" xfId="0">
      <alignment horizontal="right"/>
    </xf>
    <xf numFmtId="167" fontId="0" fillId="10" borderId="0" applyAlignment="1" pivotButton="0" quotePrefix="0" xfId="0">
      <alignment horizontal="right"/>
    </xf>
    <xf numFmtId="165" fontId="0" fillId="11" borderId="0" applyAlignment="1" pivotButton="0" quotePrefix="0" xfId="0">
      <alignment horizontal="center"/>
    </xf>
    <xf numFmtId="167" fontId="0" fillId="11" borderId="0" applyAlignment="1" pivotButton="0" quotePrefix="0" xfId="0">
      <alignment horizontal="right"/>
    </xf>
    <xf numFmtId="167" fontId="0" fillId="6" borderId="0" applyAlignment="1" pivotButton="0" quotePrefix="0" xfId="0">
      <alignment horizontal="right"/>
    </xf>
    <xf numFmtId="167" fontId="0" fillId="7" borderId="0" applyAlignment="1" pivotButton="0" quotePrefix="0" xfId="0">
      <alignment horizontal="right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12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2"/>
    </xf>
    <xf numFmtId="0" fontId="13" fillId="0" borderId="0" applyAlignment="1" pivotButton="0" quotePrefix="0" xfId="0">
      <alignment horizontal="left" vertical="center" wrapText="1" indent="4"/>
    </xf>
    <xf numFmtId="0" fontId="12" fillId="8" borderId="0" applyAlignment="1" pivotButton="0" quotePrefix="0" xfId="0">
      <alignment horizontal="left" vertical="center" indent="1"/>
    </xf>
    <xf numFmtId="0" fontId="12" fillId="12" borderId="0" applyAlignment="1" pivotButton="0" quotePrefix="0" xfId="0">
      <alignment horizontal="left" vertical="center" indent="1"/>
    </xf>
    <xf numFmtId="0" fontId="14" fillId="11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 indent="2"/>
    </xf>
    <xf numFmtId="0" fontId="12" fillId="13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Flow &amp; Pressure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'Dashboard'!D14</f>
            </strRef>
          </tx>
          <spPr>
            <a:ln w="1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'Dashboard'!$A$15:$A$114</f>
            </numRef>
          </cat>
          <val>
            <numRef>
              <f>'Dashboard'!$D$15:$D$114</f>
            </numRef>
          </val>
        </ser>
        <axId val="100"/>
      </lineChart>
      <lineChart>
        <grouping val="standard"/>
        <ser>
          <idx val="1"/>
          <order val="1"/>
          <tx>
            <strRef>
              <f>'Dashboard'!E14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'Dashboard'!$A$15:$A$114</f>
            </numRef>
          </cat>
          <val>
            <numRef>
              <f>'Dashboard'!$E$15:$E$114</f>
            </numRef>
          </val>
        </ser>
        <axId val="100"/>
        <axId val="200"/>
      </lineChart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Flow Adjusted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Pressure Adjusted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arameters" displayName="Parameters" ref="C9:E11" headerRowCount="1">
  <autoFilter ref="C9:E11"/>
  <tableColumns count="3">
    <tableColumn id="3" name="Parameter"/>
    <tableColumn id="4" name="Value"/>
    <tableColumn id="5" name="Notes"/>
  </tableColumns>
  <tableStyleInfo name="TableStyleLight1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  <row r="31" ht="32" customHeight="1">
      <c r="A31" s="5" t="inlineStr">
        <is>
          <t>INSTRUCTIONS: Delete the sample rows above (keep Row 1 headers), then paste your data starting at Row 2. Keep Date in Column A; flow/pressure names as column headers. Values of -999 are treated as no-data.</t>
        </is>
      </c>
    </row>
    <row r="32" ht="32" customHeight="1">
      <c r="A32" s="6" t="inlineStr">
        <is>
          <t>POWER QUERY TIP: This sheet is already set up as an Excel Table ("FlowData"). To connect Power Query: Data → Get Data → From Table/Range → select this table. See the Instructions sheet for the full walkthrough.</t>
        </is>
      </c>
    </row>
  </sheetData>
  <mergeCells count="2">
    <mergeCell ref="A31:Q31"/>
    <mergeCell ref="A32:Q3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  <row r="31" ht="32" customHeight="1">
      <c r="A31" s="5" t="inlineStr">
        <is>
          <t>INSTRUCTIONS: Delete the sample rows above (keep Row 1 headers), then paste your data starting at Row 2. Keep Date in Column A; flow/pressure names as column headers. Values of -999 are treated as no-data.</t>
        </is>
      </c>
    </row>
    <row r="32" ht="32" customHeight="1">
      <c r="A32" s="6" t="inlineStr">
        <is>
          <t>POWER QUERY TIP: This sheet is already set up as an Excel Table ("PressureData"). To connect Power Query: Data → Get Data → From Table/Range → select this table. See the Instructions sheet for the full walkthrough.</t>
        </is>
      </c>
    </row>
  </sheetData>
  <mergeCells count="2">
    <mergeCell ref="A31:Q31"/>
    <mergeCell ref="A32:Q3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14" customWidth="1" min="4" max="4"/>
    <col width="16" customWidth="1" min="5" max="5"/>
    <col width="18" customWidth="1" min="6" max="6"/>
    <col width="2" customWidth="1" min="7" max="7"/>
  </cols>
  <sheetData>
    <row r="1" ht="30" customHeight="1">
      <c r="A1" s="7" t="inlineStr">
        <is>
          <t>Flow &amp; Pressure Analysis Dashboard</t>
        </is>
      </c>
    </row>
    <row r="2" ht="18" customHeight="1">
      <c r="A2" s="8" t="inlineStr">
        <is>
          <t>CONTROLS</t>
        </is>
      </c>
      <c r="C2" s="9" t="inlineStr">
        <is>
          <t>PARAMETERS  (used by Power Query)</t>
        </is>
      </c>
    </row>
    <row r="3" ht="24" customHeight="1">
      <c r="A3" s="10" t="inlineStr">
        <is>
          <t>Select Flow:</t>
        </is>
      </c>
      <c r="B3" s="11" t="inlineStr">
        <is>
          <t>AL012</t>
        </is>
      </c>
      <c r="C3" s="10" t="inlineStr">
        <is>
          <t>Flow Scaling Factor:</t>
        </is>
      </c>
      <c r="D3" s="12" t="n">
        <v>1</v>
      </c>
      <c r="E3" s="13" t="inlineStr">
        <is>
          <t>Multiply flow by this value</t>
        </is>
      </c>
      <c r="F3" s="14" t="inlineStr">
        <is>
          <t>← Change me</t>
        </is>
      </c>
    </row>
    <row r="4" ht="24" customHeight="1">
      <c r="A4" s="13" t="inlineStr">
        <is>
          <t>ℹ  -999 = no-data (excluded)</t>
        </is>
      </c>
      <c r="C4" s="10" t="inlineStr">
        <is>
          <t>Pressure Offset:</t>
        </is>
      </c>
      <c r="D4" s="15" t="n">
        <v>0</v>
      </c>
      <c r="E4" s="13" t="inlineStr">
        <is>
          <t>Add this value to pressure</t>
        </is>
      </c>
      <c r="F4" s="16" t="inlineStr">
        <is>
          <t>← Change me</t>
        </is>
      </c>
    </row>
    <row r="5" ht="18" customHeight="1">
      <c r="A5" s="17" t="inlineStr">
        <is>
          <t>💡  For large datasets use Power Query + PivotTable — see the Instructions sheet for a full step-by-step guide.</t>
        </is>
      </c>
    </row>
    <row r="6" ht="18" customHeight="1">
      <c r="A6" s="14" t="inlineStr">
        <is>
          <t>⚠  After pasting your own data: update the flow dropdown — right-click cell B3 → Data Validation → update the Source range to match your actual column headers.</t>
        </is>
      </c>
    </row>
    <row r="7" ht="6" customHeight="1"/>
    <row r="8" ht="18" customHeight="1">
      <c r="C8" s="18" t="inlineStr">
        <is>
          <t>PARAMETER TABLE  (Power Query reads D9:D10)</t>
        </is>
      </c>
    </row>
    <row r="9" ht="20" customHeight="1">
      <c r="C9" s="19" t="inlineStr">
        <is>
          <t>Parameter</t>
        </is>
      </c>
      <c r="D9" s="19" t="inlineStr">
        <is>
          <t>Value</t>
        </is>
      </c>
      <c r="E9" s="19" t="inlineStr">
        <is>
          <t>Notes</t>
        </is>
      </c>
    </row>
    <row r="10" ht="20" customHeight="1">
      <c r="C10" s="20" t="inlineStr">
        <is>
          <t>Flow Scaling Factor</t>
        </is>
      </c>
      <c r="D10" s="21">
        <f>D3</f>
        <v/>
      </c>
      <c r="E10" s="22" t="inlineStr">
        <is>
          <t>Linked to control above (D3)</t>
        </is>
      </c>
    </row>
    <row r="11" ht="20" customHeight="1">
      <c r="C11" s="20" t="inlineStr">
        <is>
          <t>Pressure Offset</t>
        </is>
      </c>
      <c r="D11" s="21">
        <f>D4</f>
        <v/>
      </c>
      <c r="E11" s="22" t="inlineStr">
        <is>
          <t>Linked to control above (D4)</t>
        </is>
      </c>
    </row>
    <row r="12" ht="6" customHeight="1"/>
    <row r="13" ht="18" customHeight="1">
      <c r="A13" s="23" t="inlineStr">
        <is>
          <t>FORMULA TABLE  (live preview — updates when you change B3 / D3 / D4)</t>
        </is>
      </c>
    </row>
    <row r="14" ht="22" customHeight="1">
      <c r="A14" s="1" t="inlineStr">
        <is>
          <t>Date</t>
        </is>
      </c>
      <c r="B14" s="2" t="inlineStr">
        <is>
          <t>Flow (Raw)</t>
        </is>
      </c>
      <c r="C14" s="2" t="inlineStr">
        <is>
          <t>Pressure (Raw)</t>
        </is>
      </c>
      <c r="D14" s="19" t="inlineStr">
        <is>
          <t>Flow Adjusted</t>
        </is>
      </c>
      <c r="E14" s="24" t="inlineStr">
        <is>
          <t>Pressure Adjusted</t>
        </is>
      </c>
    </row>
    <row r="15" ht="15" customHeight="1">
      <c r="A15" s="25">
        <f>IFERROR(IF(INDEX('Raw Flow Data'!$A:$A,ROW()-13)="","",INDEX('Raw Flow Data'!$A:$A,ROW()-13)),"")</f>
        <v/>
      </c>
      <c r="B15" s="26">
        <f>IFERROR(IF($B$3="","",INDEX('Raw Flow Data'!$A:$ZZ,ROW()-13,MATCH($B$3,'Raw Flow Data'!$1:$1,0))),"")</f>
        <v/>
      </c>
      <c r="C15" s="26">
        <f>IFERROR(IF($B$3="","",INDEX('Raw Pressure Data'!$A:$ZZ,ROW()-13,MATCH($B$3,'Raw Pressure Data'!$1:$1,0))),"")</f>
        <v/>
      </c>
      <c r="D15" s="27">
        <f>IF(OR(B15="",B15=-999),"",B15*$D$3)</f>
        <v/>
      </c>
      <c r="E15" s="28">
        <f>IF(OR(C15="",C15=-999),"",C15+$D$4)</f>
        <v/>
      </c>
    </row>
    <row r="16" ht="15" customHeight="1">
      <c r="A16" s="29">
        <f>IFERROR(IF(INDEX('Raw Flow Data'!$A:$A,ROW()-13)="","",INDEX('Raw Flow Data'!$A:$A,ROW()-13)),"")</f>
        <v/>
      </c>
      <c r="B16" s="30">
        <f>IFERROR(IF($B$3="","",INDEX('Raw Flow Data'!$A:$ZZ,ROW()-13,MATCH($B$3,'Raw Flow Data'!$1:$1,0))),"")</f>
        <v/>
      </c>
      <c r="C16" s="30">
        <f>IFERROR(IF($B$3="","",INDEX('Raw Pressure Data'!$A:$ZZ,ROW()-13,MATCH($B$3,'Raw Pressure Data'!$1:$1,0))),"")</f>
        <v/>
      </c>
      <c r="D16" s="31">
        <f>IF(OR(B16="",B16=-999),"",B16*$D$3)</f>
        <v/>
      </c>
      <c r="E16" s="32">
        <f>IF(OR(C16="",C16=-999),"",C16+$D$4)</f>
        <v/>
      </c>
    </row>
    <row r="17" ht="15" customHeight="1">
      <c r="A17" s="25">
        <f>IFERROR(IF(INDEX('Raw Flow Data'!$A:$A,ROW()-13)="","",INDEX('Raw Flow Data'!$A:$A,ROW()-13)),"")</f>
        <v/>
      </c>
      <c r="B17" s="26">
        <f>IFERROR(IF($B$3="","",INDEX('Raw Flow Data'!$A:$ZZ,ROW()-13,MATCH($B$3,'Raw Flow Data'!$1:$1,0))),"")</f>
        <v/>
      </c>
      <c r="C17" s="26">
        <f>IFERROR(IF($B$3="","",INDEX('Raw Pressure Data'!$A:$ZZ,ROW()-13,MATCH($B$3,'Raw Pressure Data'!$1:$1,0))),"")</f>
        <v/>
      </c>
      <c r="D17" s="27">
        <f>IF(OR(B17="",B17=-999),"",B17*$D$3)</f>
        <v/>
      </c>
      <c r="E17" s="28">
        <f>IF(OR(C17="",C17=-999),"",C17+$D$4)</f>
        <v/>
      </c>
    </row>
    <row r="18" ht="15" customHeight="1">
      <c r="A18" s="29">
        <f>IFERROR(IF(INDEX('Raw Flow Data'!$A:$A,ROW()-13)="","",INDEX('Raw Flow Data'!$A:$A,ROW()-13)),"")</f>
        <v/>
      </c>
      <c r="B18" s="30">
        <f>IFERROR(IF($B$3="","",INDEX('Raw Flow Data'!$A:$ZZ,ROW()-13,MATCH($B$3,'Raw Flow Data'!$1:$1,0))),"")</f>
        <v/>
      </c>
      <c r="C18" s="30">
        <f>IFERROR(IF($B$3="","",INDEX('Raw Pressure Data'!$A:$ZZ,ROW()-13,MATCH($B$3,'Raw Pressure Data'!$1:$1,0))),"")</f>
        <v/>
      </c>
      <c r="D18" s="31">
        <f>IF(OR(B18="",B18=-999),"",B18*$D$3)</f>
        <v/>
      </c>
      <c r="E18" s="32">
        <f>IF(OR(C18="",C18=-999),"",C18+$D$4)</f>
        <v/>
      </c>
    </row>
    <row r="19" ht="15" customHeight="1">
      <c r="A19" s="25">
        <f>IFERROR(IF(INDEX('Raw Flow Data'!$A:$A,ROW()-13)="","",INDEX('Raw Flow Data'!$A:$A,ROW()-13)),"")</f>
        <v/>
      </c>
      <c r="B19" s="26">
        <f>IFERROR(IF($B$3="","",INDEX('Raw Flow Data'!$A:$ZZ,ROW()-13,MATCH($B$3,'Raw Flow Data'!$1:$1,0))),"")</f>
        <v/>
      </c>
      <c r="C19" s="26">
        <f>IFERROR(IF($B$3="","",INDEX('Raw Pressure Data'!$A:$ZZ,ROW()-13,MATCH($B$3,'Raw Pressure Data'!$1:$1,0))),"")</f>
        <v/>
      </c>
      <c r="D19" s="27">
        <f>IF(OR(B19="",B19=-999),"",B19*$D$3)</f>
        <v/>
      </c>
      <c r="E19" s="28">
        <f>IF(OR(C19="",C19=-999),"",C19+$D$4)</f>
        <v/>
      </c>
    </row>
    <row r="20" ht="15" customHeight="1">
      <c r="A20" s="29">
        <f>IFERROR(IF(INDEX('Raw Flow Data'!$A:$A,ROW()-13)="","",INDEX('Raw Flow Data'!$A:$A,ROW()-13)),"")</f>
        <v/>
      </c>
      <c r="B20" s="30">
        <f>IFERROR(IF($B$3="","",INDEX('Raw Flow Data'!$A:$ZZ,ROW()-13,MATCH($B$3,'Raw Flow Data'!$1:$1,0))),"")</f>
        <v/>
      </c>
      <c r="C20" s="30">
        <f>IFERROR(IF($B$3="","",INDEX('Raw Pressure Data'!$A:$ZZ,ROW()-13,MATCH($B$3,'Raw Pressure Data'!$1:$1,0))),"")</f>
        <v/>
      </c>
      <c r="D20" s="31">
        <f>IF(OR(B20="",B20=-999),"",B20*$D$3)</f>
        <v/>
      </c>
      <c r="E20" s="32">
        <f>IF(OR(C20="",C20=-999),"",C20+$D$4)</f>
        <v/>
      </c>
    </row>
    <row r="21" ht="15" customHeight="1">
      <c r="A21" s="25">
        <f>IFERROR(IF(INDEX('Raw Flow Data'!$A:$A,ROW()-13)="","",INDEX('Raw Flow Data'!$A:$A,ROW()-13)),"")</f>
        <v/>
      </c>
      <c r="B21" s="26">
        <f>IFERROR(IF($B$3="","",INDEX('Raw Flow Data'!$A:$ZZ,ROW()-13,MATCH($B$3,'Raw Flow Data'!$1:$1,0))),"")</f>
        <v/>
      </c>
      <c r="C21" s="26">
        <f>IFERROR(IF($B$3="","",INDEX('Raw Pressure Data'!$A:$ZZ,ROW()-13,MATCH($B$3,'Raw Pressure Data'!$1:$1,0))),"")</f>
        <v/>
      </c>
      <c r="D21" s="27">
        <f>IF(OR(B21="",B21=-999),"",B21*$D$3)</f>
        <v/>
      </c>
      <c r="E21" s="28">
        <f>IF(OR(C21="",C21=-999),"",C21+$D$4)</f>
        <v/>
      </c>
    </row>
    <row r="22" ht="15" customHeight="1">
      <c r="A22" s="29">
        <f>IFERROR(IF(INDEX('Raw Flow Data'!$A:$A,ROW()-13)="","",INDEX('Raw Flow Data'!$A:$A,ROW()-13)),"")</f>
        <v/>
      </c>
      <c r="B22" s="30">
        <f>IFERROR(IF($B$3="","",INDEX('Raw Flow Data'!$A:$ZZ,ROW()-13,MATCH($B$3,'Raw Flow Data'!$1:$1,0))),"")</f>
        <v/>
      </c>
      <c r="C22" s="30">
        <f>IFERROR(IF($B$3="","",INDEX('Raw Pressure Data'!$A:$ZZ,ROW()-13,MATCH($B$3,'Raw Pressure Data'!$1:$1,0))),"")</f>
        <v/>
      </c>
      <c r="D22" s="31">
        <f>IF(OR(B22="",B22=-999),"",B22*$D$3)</f>
        <v/>
      </c>
      <c r="E22" s="32">
        <f>IF(OR(C22="",C22=-999),"",C22+$D$4)</f>
        <v/>
      </c>
    </row>
    <row r="23" ht="15" customHeight="1">
      <c r="A23" s="25">
        <f>IFERROR(IF(INDEX('Raw Flow Data'!$A:$A,ROW()-13)="","",INDEX('Raw Flow Data'!$A:$A,ROW()-13)),"")</f>
        <v/>
      </c>
      <c r="B23" s="26">
        <f>IFERROR(IF($B$3="","",INDEX('Raw Flow Data'!$A:$ZZ,ROW()-13,MATCH($B$3,'Raw Flow Data'!$1:$1,0))),"")</f>
        <v/>
      </c>
      <c r="C23" s="26">
        <f>IFERROR(IF($B$3="","",INDEX('Raw Pressure Data'!$A:$ZZ,ROW()-13,MATCH($B$3,'Raw Pressure Data'!$1:$1,0))),"")</f>
        <v/>
      </c>
      <c r="D23" s="27">
        <f>IF(OR(B23="",B23=-999),"",B23*$D$3)</f>
        <v/>
      </c>
      <c r="E23" s="28">
        <f>IF(OR(C23="",C23=-999),"",C23+$D$4)</f>
        <v/>
      </c>
    </row>
    <row r="24" ht="15" customHeight="1">
      <c r="A24" s="29">
        <f>IFERROR(IF(INDEX('Raw Flow Data'!$A:$A,ROW()-13)="","",INDEX('Raw Flow Data'!$A:$A,ROW()-13)),"")</f>
        <v/>
      </c>
      <c r="B24" s="30">
        <f>IFERROR(IF($B$3="","",INDEX('Raw Flow Data'!$A:$ZZ,ROW()-13,MATCH($B$3,'Raw Flow Data'!$1:$1,0))),"")</f>
        <v/>
      </c>
      <c r="C24" s="30">
        <f>IFERROR(IF($B$3="","",INDEX('Raw Pressure Data'!$A:$ZZ,ROW()-13,MATCH($B$3,'Raw Pressure Data'!$1:$1,0))),"")</f>
        <v/>
      </c>
      <c r="D24" s="31">
        <f>IF(OR(B24="",B24=-999),"",B24*$D$3)</f>
        <v/>
      </c>
      <c r="E24" s="32">
        <f>IF(OR(C24="",C24=-999),"",C24+$D$4)</f>
        <v/>
      </c>
    </row>
    <row r="25" ht="15" customHeight="1">
      <c r="A25" s="25">
        <f>IFERROR(IF(INDEX('Raw Flow Data'!$A:$A,ROW()-13)="","",INDEX('Raw Flow Data'!$A:$A,ROW()-13)),"")</f>
        <v/>
      </c>
      <c r="B25" s="26">
        <f>IFERROR(IF($B$3="","",INDEX('Raw Flow Data'!$A:$ZZ,ROW()-13,MATCH($B$3,'Raw Flow Data'!$1:$1,0))),"")</f>
        <v/>
      </c>
      <c r="C25" s="26">
        <f>IFERROR(IF($B$3="","",INDEX('Raw Pressure Data'!$A:$ZZ,ROW()-13,MATCH($B$3,'Raw Pressure Data'!$1:$1,0))),"")</f>
        <v/>
      </c>
      <c r="D25" s="27">
        <f>IF(OR(B25="",B25=-999),"",B25*$D$3)</f>
        <v/>
      </c>
      <c r="E25" s="28">
        <f>IF(OR(C25="",C25=-999),"",C25+$D$4)</f>
        <v/>
      </c>
    </row>
    <row r="26" ht="15" customHeight="1">
      <c r="A26" s="29">
        <f>IFERROR(IF(INDEX('Raw Flow Data'!$A:$A,ROW()-13)="","",INDEX('Raw Flow Data'!$A:$A,ROW()-13)),"")</f>
        <v/>
      </c>
      <c r="B26" s="30">
        <f>IFERROR(IF($B$3="","",INDEX('Raw Flow Data'!$A:$ZZ,ROW()-13,MATCH($B$3,'Raw Flow Data'!$1:$1,0))),"")</f>
        <v/>
      </c>
      <c r="C26" s="30">
        <f>IFERROR(IF($B$3="","",INDEX('Raw Pressure Data'!$A:$ZZ,ROW()-13,MATCH($B$3,'Raw Pressure Data'!$1:$1,0))),"")</f>
        <v/>
      </c>
      <c r="D26" s="31">
        <f>IF(OR(B26="",B26=-999),"",B26*$D$3)</f>
        <v/>
      </c>
      <c r="E26" s="32">
        <f>IF(OR(C26="",C26=-999),"",C26+$D$4)</f>
        <v/>
      </c>
    </row>
    <row r="27" ht="15" customHeight="1">
      <c r="A27" s="25">
        <f>IFERROR(IF(INDEX('Raw Flow Data'!$A:$A,ROW()-13)="","",INDEX('Raw Flow Data'!$A:$A,ROW()-13)),"")</f>
        <v/>
      </c>
      <c r="B27" s="26">
        <f>IFERROR(IF($B$3="","",INDEX('Raw Flow Data'!$A:$ZZ,ROW()-13,MATCH($B$3,'Raw Flow Data'!$1:$1,0))),"")</f>
        <v/>
      </c>
      <c r="C27" s="26">
        <f>IFERROR(IF($B$3="","",INDEX('Raw Pressure Data'!$A:$ZZ,ROW()-13,MATCH($B$3,'Raw Pressure Data'!$1:$1,0))),"")</f>
        <v/>
      </c>
      <c r="D27" s="27">
        <f>IF(OR(B27="",B27=-999),"",B27*$D$3)</f>
        <v/>
      </c>
      <c r="E27" s="28">
        <f>IF(OR(C27="",C27=-999),"",C27+$D$4)</f>
        <v/>
      </c>
    </row>
    <row r="28" ht="15" customHeight="1">
      <c r="A28" s="29">
        <f>IFERROR(IF(INDEX('Raw Flow Data'!$A:$A,ROW()-13)="","",INDEX('Raw Flow Data'!$A:$A,ROW()-13)),"")</f>
        <v/>
      </c>
      <c r="B28" s="30">
        <f>IFERROR(IF($B$3="","",INDEX('Raw Flow Data'!$A:$ZZ,ROW()-13,MATCH($B$3,'Raw Flow Data'!$1:$1,0))),"")</f>
        <v/>
      </c>
      <c r="C28" s="30">
        <f>IFERROR(IF($B$3="","",INDEX('Raw Pressure Data'!$A:$ZZ,ROW()-13,MATCH($B$3,'Raw Pressure Data'!$1:$1,0))),"")</f>
        <v/>
      </c>
      <c r="D28" s="31">
        <f>IF(OR(B28="",B28=-999),"",B28*$D$3)</f>
        <v/>
      </c>
      <c r="E28" s="32">
        <f>IF(OR(C28="",C28=-999),"",C28+$D$4)</f>
        <v/>
      </c>
    </row>
    <row r="29" ht="15" customHeight="1">
      <c r="A29" s="25">
        <f>IFERROR(IF(INDEX('Raw Flow Data'!$A:$A,ROW()-13)="","",INDEX('Raw Flow Data'!$A:$A,ROW()-13)),"")</f>
        <v/>
      </c>
      <c r="B29" s="26">
        <f>IFERROR(IF($B$3="","",INDEX('Raw Flow Data'!$A:$ZZ,ROW()-13,MATCH($B$3,'Raw Flow Data'!$1:$1,0))),"")</f>
        <v/>
      </c>
      <c r="C29" s="26">
        <f>IFERROR(IF($B$3="","",INDEX('Raw Pressure Data'!$A:$ZZ,ROW()-13,MATCH($B$3,'Raw Pressure Data'!$1:$1,0))),"")</f>
        <v/>
      </c>
      <c r="D29" s="27">
        <f>IF(OR(B29="",B29=-999),"",B29*$D$3)</f>
        <v/>
      </c>
      <c r="E29" s="28">
        <f>IF(OR(C29="",C29=-999),"",C29+$D$4)</f>
        <v/>
      </c>
    </row>
    <row r="30" ht="15" customHeight="1">
      <c r="A30" s="29">
        <f>IFERROR(IF(INDEX('Raw Flow Data'!$A:$A,ROW()-13)="","",INDEX('Raw Flow Data'!$A:$A,ROW()-13)),"")</f>
        <v/>
      </c>
      <c r="B30" s="30">
        <f>IFERROR(IF($B$3="","",INDEX('Raw Flow Data'!$A:$ZZ,ROW()-13,MATCH($B$3,'Raw Flow Data'!$1:$1,0))),"")</f>
        <v/>
      </c>
      <c r="C30" s="30">
        <f>IFERROR(IF($B$3="","",INDEX('Raw Pressure Data'!$A:$ZZ,ROW()-13,MATCH($B$3,'Raw Pressure Data'!$1:$1,0))),"")</f>
        <v/>
      </c>
      <c r="D30" s="31">
        <f>IF(OR(B30="",B30=-999),"",B30*$D$3)</f>
        <v/>
      </c>
      <c r="E30" s="32">
        <f>IF(OR(C30="",C30=-999),"",C30+$D$4)</f>
        <v/>
      </c>
    </row>
    <row r="31" ht="15" customHeight="1">
      <c r="A31" s="25">
        <f>IFERROR(IF(INDEX('Raw Flow Data'!$A:$A,ROW()-13)="","",INDEX('Raw Flow Data'!$A:$A,ROW()-13)),"")</f>
        <v/>
      </c>
      <c r="B31" s="26">
        <f>IFERROR(IF($B$3="","",INDEX('Raw Flow Data'!$A:$ZZ,ROW()-13,MATCH($B$3,'Raw Flow Data'!$1:$1,0))),"")</f>
        <v/>
      </c>
      <c r="C31" s="26">
        <f>IFERROR(IF($B$3="","",INDEX('Raw Pressure Data'!$A:$ZZ,ROW()-13,MATCH($B$3,'Raw Pressure Data'!$1:$1,0))),"")</f>
        <v/>
      </c>
      <c r="D31" s="27">
        <f>IF(OR(B31="",B31=-999),"",B31*$D$3)</f>
        <v/>
      </c>
      <c r="E31" s="28">
        <f>IF(OR(C31="",C31=-999),"",C31+$D$4)</f>
        <v/>
      </c>
    </row>
    <row r="32" ht="15" customHeight="1">
      <c r="A32" s="29">
        <f>IFERROR(IF(INDEX('Raw Flow Data'!$A:$A,ROW()-13)="","",INDEX('Raw Flow Data'!$A:$A,ROW()-13)),"")</f>
        <v/>
      </c>
      <c r="B32" s="30">
        <f>IFERROR(IF($B$3="","",INDEX('Raw Flow Data'!$A:$ZZ,ROW()-13,MATCH($B$3,'Raw Flow Data'!$1:$1,0))),"")</f>
        <v/>
      </c>
      <c r="C32" s="30">
        <f>IFERROR(IF($B$3="","",INDEX('Raw Pressure Data'!$A:$ZZ,ROW()-13,MATCH($B$3,'Raw Pressure Data'!$1:$1,0))),"")</f>
        <v/>
      </c>
      <c r="D32" s="31">
        <f>IF(OR(B32="",B32=-999),"",B32*$D$3)</f>
        <v/>
      </c>
      <c r="E32" s="32">
        <f>IF(OR(C32="",C32=-999),"",C32+$D$4)</f>
        <v/>
      </c>
    </row>
    <row r="33" ht="15" customHeight="1">
      <c r="A33" s="25">
        <f>IFERROR(IF(INDEX('Raw Flow Data'!$A:$A,ROW()-13)="","",INDEX('Raw Flow Data'!$A:$A,ROW()-13)),"")</f>
        <v/>
      </c>
      <c r="B33" s="26">
        <f>IFERROR(IF($B$3="","",INDEX('Raw Flow Data'!$A:$ZZ,ROW()-13,MATCH($B$3,'Raw Flow Data'!$1:$1,0))),"")</f>
        <v/>
      </c>
      <c r="C33" s="26">
        <f>IFERROR(IF($B$3="","",INDEX('Raw Pressure Data'!$A:$ZZ,ROW()-13,MATCH($B$3,'Raw Pressure Data'!$1:$1,0))),"")</f>
        <v/>
      </c>
      <c r="D33" s="27">
        <f>IF(OR(B33="",B33=-999),"",B33*$D$3)</f>
        <v/>
      </c>
      <c r="E33" s="28">
        <f>IF(OR(C33="",C33=-999),"",C33+$D$4)</f>
        <v/>
      </c>
    </row>
    <row r="34" ht="15" customHeight="1">
      <c r="A34" s="29">
        <f>IFERROR(IF(INDEX('Raw Flow Data'!$A:$A,ROW()-13)="","",INDEX('Raw Flow Data'!$A:$A,ROW()-13)),"")</f>
        <v/>
      </c>
      <c r="B34" s="30">
        <f>IFERROR(IF($B$3="","",INDEX('Raw Flow Data'!$A:$ZZ,ROW()-13,MATCH($B$3,'Raw Flow Data'!$1:$1,0))),"")</f>
        <v/>
      </c>
      <c r="C34" s="30">
        <f>IFERROR(IF($B$3="","",INDEX('Raw Pressure Data'!$A:$ZZ,ROW()-13,MATCH($B$3,'Raw Pressure Data'!$1:$1,0))),"")</f>
        <v/>
      </c>
      <c r="D34" s="31">
        <f>IF(OR(B34="",B34=-999),"",B34*$D$3)</f>
        <v/>
      </c>
      <c r="E34" s="32">
        <f>IF(OR(C34="",C34=-999),"",C34+$D$4)</f>
        <v/>
      </c>
    </row>
    <row r="35" ht="15" customHeight="1">
      <c r="A35" s="25">
        <f>IFERROR(IF(INDEX('Raw Flow Data'!$A:$A,ROW()-13)="","",INDEX('Raw Flow Data'!$A:$A,ROW()-13)),"")</f>
        <v/>
      </c>
      <c r="B35" s="26">
        <f>IFERROR(IF($B$3="","",INDEX('Raw Flow Data'!$A:$ZZ,ROW()-13,MATCH($B$3,'Raw Flow Data'!$1:$1,0))),"")</f>
        <v/>
      </c>
      <c r="C35" s="26">
        <f>IFERROR(IF($B$3="","",INDEX('Raw Pressure Data'!$A:$ZZ,ROW()-13,MATCH($B$3,'Raw Pressure Data'!$1:$1,0))),"")</f>
        <v/>
      </c>
      <c r="D35" s="27">
        <f>IF(OR(B35="",B35=-999),"",B35*$D$3)</f>
        <v/>
      </c>
      <c r="E35" s="28">
        <f>IF(OR(C35="",C35=-999),"",C35+$D$4)</f>
        <v/>
      </c>
    </row>
    <row r="36" ht="15" customHeight="1">
      <c r="A36" s="29">
        <f>IFERROR(IF(INDEX('Raw Flow Data'!$A:$A,ROW()-13)="","",INDEX('Raw Flow Data'!$A:$A,ROW()-13)),"")</f>
        <v/>
      </c>
      <c r="B36" s="30">
        <f>IFERROR(IF($B$3="","",INDEX('Raw Flow Data'!$A:$ZZ,ROW()-13,MATCH($B$3,'Raw Flow Data'!$1:$1,0))),"")</f>
        <v/>
      </c>
      <c r="C36" s="30">
        <f>IFERROR(IF($B$3="","",INDEX('Raw Pressure Data'!$A:$ZZ,ROW()-13,MATCH($B$3,'Raw Pressure Data'!$1:$1,0))),"")</f>
        <v/>
      </c>
      <c r="D36" s="31">
        <f>IF(OR(B36="",B36=-999),"",B36*$D$3)</f>
        <v/>
      </c>
      <c r="E36" s="32">
        <f>IF(OR(C36="",C36=-999),"",C36+$D$4)</f>
        <v/>
      </c>
    </row>
    <row r="37" ht="15" customHeight="1">
      <c r="A37" s="25">
        <f>IFERROR(IF(INDEX('Raw Flow Data'!$A:$A,ROW()-13)="","",INDEX('Raw Flow Data'!$A:$A,ROW()-13)),"")</f>
        <v/>
      </c>
      <c r="B37" s="26">
        <f>IFERROR(IF($B$3="","",INDEX('Raw Flow Data'!$A:$ZZ,ROW()-13,MATCH($B$3,'Raw Flow Data'!$1:$1,0))),"")</f>
        <v/>
      </c>
      <c r="C37" s="26">
        <f>IFERROR(IF($B$3="","",INDEX('Raw Pressure Data'!$A:$ZZ,ROW()-13,MATCH($B$3,'Raw Pressure Data'!$1:$1,0))),"")</f>
        <v/>
      </c>
      <c r="D37" s="27">
        <f>IF(OR(B37="",B37=-999),"",B37*$D$3)</f>
        <v/>
      </c>
      <c r="E37" s="28">
        <f>IF(OR(C37="",C37=-999),"",C37+$D$4)</f>
        <v/>
      </c>
    </row>
    <row r="38" ht="15" customHeight="1">
      <c r="A38" s="29">
        <f>IFERROR(IF(INDEX('Raw Flow Data'!$A:$A,ROW()-13)="","",INDEX('Raw Flow Data'!$A:$A,ROW()-13)),"")</f>
        <v/>
      </c>
      <c r="B38" s="30">
        <f>IFERROR(IF($B$3="","",INDEX('Raw Flow Data'!$A:$ZZ,ROW()-13,MATCH($B$3,'Raw Flow Data'!$1:$1,0))),"")</f>
        <v/>
      </c>
      <c r="C38" s="30">
        <f>IFERROR(IF($B$3="","",INDEX('Raw Pressure Data'!$A:$ZZ,ROW()-13,MATCH($B$3,'Raw Pressure Data'!$1:$1,0))),"")</f>
        <v/>
      </c>
      <c r="D38" s="31">
        <f>IF(OR(B38="",B38=-999),"",B38*$D$3)</f>
        <v/>
      </c>
      <c r="E38" s="32">
        <f>IF(OR(C38="",C38=-999),"",C38+$D$4)</f>
        <v/>
      </c>
    </row>
    <row r="39" ht="15" customHeight="1">
      <c r="A39" s="25">
        <f>IFERROR(IF(INDEX('Raw Flow Data'!$A:$A,ROW()-13)="","",INDEX('Raw Flow Data'!$A:$A,ROW()-13)),"")</f>
        <v/>
      </c>
      <c r="B39" s="26">
        <f>IFERROR(IF($B$3="","",INDEX('Raw Flow Data'!$A:$ZZ,ROW()-13,MATCH($B$3,'Raw Flow Data'!$1:$1,0))),"")</f>
        <v/>
      </c>
      <c r="C39" s="26">
        <f>IFERROR(IF($B$3="","",INDEX('Raw Pressure Data'!$A:$ZZ,ROW()-13,MATCH($B$3,'Raw Pressure Data'!$1:$1,0))),"")</f>
        <v/>
      </c>
      <c r="D39" s="27">
        <f>IF(OR(B39="",B39=-999),"",B39*$D$3)</f>
        <v/>
      </c>
      <c r="E39" s="28">
        <f>IF(OR(C39="",C39=-999),"",C39+$D$4)</f>
        <v/>
      </c>
    </row>
    <row r="40" ht="15" customHeight="1">
      <c r="A40" s="29">
        <f>IFERROR(IF(INDEX('Raw Flow Data'!$A:$A,ROW()-13)="","",INDEX('Raw Flow Data'!$A:$A,ROW()-13)),"")</f>
        <v/>
      </c>
      <c r="B40" s="30">
        <f>IFERROR(IF($B$3="","",INDEX('Raw Flow Data'!$A:$ZZ,ROW()-13,MATCH($B$3,'Raw Flow Data'!$1:$1,0))),"")</f>
        <v/>
      </c>
      <c r="C40" s="30">
        <f>IFERROR(IF($B$3="","",INDEX('Raw Pressure Data'!$A:$ZZ,ROW()-13,MATCH($B$3,'Raw Pressure Data'!$1:$1,0))),"")</f>
        <v/>
      </c>
      <c r="D40" s="31">
        <f>IF(OR(B40="",B40=-999),"",B40*$D$3)</f>
        <v/>
      </c>
      <c r="E40" s="32">
        <f>IF(OR(C40="",C40=-999),"",C40+$D$4)</f>
        <v/>
      </c>
    </row>
    <row r="41" ht="15" customHeight="1">
      <c r="A41" s="25">
        <f>IFERROR(IF(INDEX('Raw Flow Data'!$A:$A,ROW()-13)="","",INDEX('Raw Flow Data'!$A:$A,ROW()-13)),"")</f>
        <v/>
      </c>
      <c r="B41" s="26">
        <f>IFERROR(IF($B$3="","",INDEX('Raw Flow Data'!$A:$ZZ,ROW()-13,MATCH($B$3,'Raw Flow Data'!$1:$1,0))),"")</f>
        <v/>
      </c>
      <c r="C41" s="26">
        <f>IFERROR(IF($B$3="","",INDEX('Raw Pressure Data'!$A:$ZZ,ROW()-13,MATCH($B$3,'Raw Pressure Data'!$1:$1,0))),"")</f>
        <v/>
      </c>
      <c r="D41" s="27">
        <f>IF(OR(B41="",B41=-999),"",B41*$D$3)</f>
        <v/>
      </c>
      <c r="E41" s="28">
        <f>IF(OR(C41="",C41=-999),"",C41+$D$4)</f>
        <v/>
      </c>
    </row>
    <row r="42" ht="15" customHeight="1">
      <c r="A42" s="29">
        <f>IFERROR(IF(INDEX('Raw Flow Data'!$A:$A,ROW()-13)="","",INDEX('Raw Flow Data'!$A:$A,ROW()-13)),"")</f>
        <v/>
      </c>
      <c r="B42" s="30">
        <f>IFERROR(IF($B$3="","",INDEX('Raw Flow Data'!$A:$ZZ,ROW()-13,MATCH($B$3,'Raw Flow Data'!$1:$1,0))),"")</f>
        <v/>
      </c>
      <c r="C42" s="30">
        <f>IFERROR(IF($B$3="","",INDEX('Raw Pressure Data'!$A:$ZZ,ROW()-13,MATCH($B$3,'Raw Pressure Data'!$1:$1,0))),"")</f>
        <v/>
      </c>
      <c r="D42" s="31">
        <f>IF(OR(B42="",B42=-999),"",B42*$D$3)</f>
        <v/>
      </c>
      <c r="E42" s="32">
        <f>IF(OR(C42="",C42=-999),"",C42+$D$4)</f>
        <v/>
      </c>
    </row>
    <row r="43" ht="15" customHeight="1">
      <c r="A43" s="25">
        <f>IFERROR(IF(INDEX('Raw Flow Data'!$A:$A,ROW()-13)="","",INDEX('Raw Flow Data'!$A:$A,ROW()-13)),"")</f>
        <v/>
      </c>
      <c r="B43" s="26">
        <f>IFERROR(IF($B$3="","",INDEX('Raw Flow Data'!$A:$ZZ,ROW()-13,MATCH($B$3,'Raw Flow Data'!$1:$1,0))),"")</f>
        <v/>
      </c>
      <c r="C43" s="26">
        <f>IFERROR(IF($B$3="","",INDEX('Raw Pressure Data'!$A:$ZZ,ROW()-13,MATCH($B$3,'Raw Pressure Data'!$1:$1,0))),"")</f>
        <v/>
      </c>
      <c r="D43" s="27">
        <f>IF(OR(B43="",B43=-999),"",B43*$D$3)</f>
        <v/>
      </c>
      <c r="E43" s="28">
        <f>IF(OR(C43="",C43=-999),"",C43+$D$4)</f>
        <v/>
      </c>
    </row>
    <row r="44" ht="15" customHeight="1">
      <c r="A44" s="29">
        <f>IFERROR(IF(INDEX('Raw Flow Data'!$A:$A,ROW()-13)="","",INDEX('Raw Flow Data'!$A:$A,ROW()-13)),"")</f>
        <v/>
      </c>
      <c r="B44" s="30">
        <f>IFERROR(IF($B$3="","",INDEX('Raw Flow Data'!$A:$ZZ,ROW()-13,MATCH($B$3,'Raw Flow Data'!$1:$1,0))),"")</f>
        <v/>
      </c>
      <c r="C44" s="30">
        <f>IFERROR(IF($B$3="","",INDEX('Raw Pressure Data'!$A:$ZZ,ROW()-13,MATCH($B$3,'Raw Pressure Data'!$1:$1,0))),"")</f>
        <v/>
      </c>
      <c r="D44" s="31">
        <f>IF(OR(B44="",B44=-999),"",B44*$D$3)</f>
        <v/>
      </c>
      <c r="E44" s="32">
        <f>IF(OR(C44="",C44=-999),"",C44+$D$4)</f>
        <v/>
      </c>
    </row>
    <row r="45" ht="15" customHeight="1">
      <c r="A45" s="25">
        <f>IFERROR(IF(INDEX('Raw Flow Data'!$A:$A,ROW()-13)="","",INDEX('Raw Flow Data'!$A:$A,ROW()-13)),"")</f>
        <v/>
      </c>
      <c r="B45" s="26">
        <f>IFERROR(IF($B$3="","",INDEX('Raw Flow Data'!$A:$ZZ,ROW()-13,MATCH($B$3,'Raw Flow Data'!$1:$1,0))),"")</f>
        <v/>
      </c>
      <c r="C45" s="26">
        <f>IFERROR(IF($B$3="","",INDEX('Raw Pressure Data'!$A:$ZZ,ROW()-13,MATCH($B$3,'Raw Pressure Data'!$1:$1,0))),"")</f>
        <v/>
      </c>
      <c r="D45" s="27">
        <f>IF(OR(B45="",B45=-999),"",B45*$D$3)</f>
        <v/>
      </c>
      <c r="E45" s="28">
        <f>IF(OR(C45="",C45=-999),"",C45+$D$4)</f>
        <v/>
      </c>
    </row>
    <row r="46" ht="15" customHeight="1">
      <c r="A46" s="29">
        <f>IFERROR(IF(INDEX('Raw Flow Data'!$A:$A,ROW()-13)="","",INDEX('Raw Flow Data'!$A:$A,ROW()-13)),"")</f>
        <v/>
      </c>
      <c r="B46" s="30">
        <f>IFERROR(IF($B$3="","",INDEX('Raw Flow Data'!$A:$ZZ,ROW()-13,MATCH($B$3,'Raw Flow Data'!$1:$1,0))),"")</f>
        <v/>
      </c>
      <c r="C46" s="30">
        <f>IFERROR(IF($B$3="","",INDEX('Raw Pressure Data'!$A:$ZZ,ROW()-13,MATCH($B$3,'Raw Pressure Data'!$1:$1,0))),"")</f>
        <v/>
      </c>
      <c r="D46" s="31">
        <f>IF(OR(B46="",B46=-999),"",B46*$D$3)</f>
        <v/>
      </c>
      <c r="E46" s="32">
        <f>IF(OR(C46="",C46=-999),"",C46+$D$4)</f>
        <v/>
      </c>
    </row>
    <row r="47" ht="15" customHeight="1">
      <c r="A47" s="25">
        <f>IFERROR(IF(INDEX('Raw Flow Data'!$A:$A,ROW()-13)="","",INDEX('Raw Flow Data'!$A:$A,ROW()-13)),"")</f>
        <v/>
      </c>
      <c r="B47" s="26">
        <f>IFERROR(IF($B$3="","",INDEX('Raw Flow Data'!$A:$ZZ,ROW()-13,MATCH($B$3,'Raw Flow Data'!$1:$1,0))),"")</f>
        <v/>
      </c>
      <c r="C47" s="26">
        <f>IFERROR(IF($B$3="","",INDEX('Raw Pressure Data'!$A:$ZZ,ROW()-13,MATCH($B$3,'Raw Pressure Data'!$1:$1,0))),"")</f>
        <v/>
      </c>
      <c r="D47" s="27">
        <f>IF(OR(B47="",B47=-999),"",B47*$D$3)</f>
        <v/>
      </c>
      <c r="E47" s="28">
        <f>IF(OR(C47="",C47=-999),"",C47+$D$4)</f>
        <v/>
      </c>
    </row>
    <row r="48" ht="15" customHeight="1">
      <c r="A48" s="29">
        <f>IFERROR(IF(INDEX('Raw Flow Data'!$A:$A,ROW()-13)="","",INDEX('Raw Flow Data'!$A:$A,ROW()-13)),"")</f>
        <v/>
      </c>
      <c r="B48" s="30">
        <f>IFERROR(IF($B$3="","",INDEX('Raw Flow Data'!$A:$ZZ,ROW()-13,MATCH($B$3,'Raw Flow Data'!$1:$1,0))),"")</f>
        <v/>
      </c>
      <c r="C48" s="30">
        <f>IFERROR(IF($B$3="","",INDEX('Raw Pressure Data'!$A:$ZZ,ROW()-13,MATCH($B$3,'Raw Pressure Data'!$1:$1,0))),"")</f>
        <v/>
      </c>
      <c r="D48" s="31">
        <f>IF(OR(B48="",B48=-999),"",B48*$D$3)</f>
        <v/>
      </c>
      <c r="E48" s="32">
        <f>IF(OR(C48="",C48=-999),"",C48+$D$4)</f>
        <v/>
      </c>
    </row>
    <row r="49" ht="15" customHeight="1">
      <c r="A49" s="25">
        <f>IFERROR(IF(INDEX('Raw Flow Data'!$A:$A,ROW()-13)="","",INDEX('Raw Flow Data'!$A:$A,ROW()-13)),"")</f>
        <v/>
      </c>
      <c r="B49" s="26">
        <f>IFERROR(IF($B$3="","",INDEX('Raw Flow Data'!$A:$ZZ,ROW()-13,MATCH($B$3,'Raw Flow Data'!$1:$1,0))),"")</f>
        <v/>
      </c>
      <c r="C49" s="26">
        <f>IFERROR(IF($B$3="","",INDEX('Raw Pressure Data'!$A:$ZZ,ROW()-13,MATCH($B$3,'Raw Pressure Data'!$1:$1,0))),"")</f>
        <v/>
      </c>
      <c r="D49" s="27">
        <f>IF(OR(B49="",B49=-999),"",B49*$D$3)</f>
        <v/>
      </c>
      <c r="E49" s="28">
        <f>IF(OR(C49="",C49=-999),"",C49+$D$4)</f>
        <v/>
      </c>
    </row>
    <row r="50" ht="15" customHeight="1">
      <c r="A50" s="29">
        <f>IFERROR(IF(INDEX('Raw Flow Data'!$A:$A,ROW()-13)="","",INDEX('Raw Flow Data'!$A:$A,ROW()-13)),"")</f>
        <v/>
      </c>
      <c r="B50" s="30">
        <f>IFERROR(IF($B$3="","",INDEX('Raw Flow Data'!$A:$ZZ,ROW()-13,MATCH($B$3,'Raw Flow Data'!$1:$1,0))),"")</f>
        <v/>
      </c>
      <c r="C50" s="30">
        <f>IFERROR(IF($B$3="","",INDEX('Raw Pressure Data'!$A:$ZZ,ROW()-13,MATCH($B$3,'Raw Pressure Data'!$1:$1,0))),"")</f>
        <v/>
      </c>
      <c r="D50" s="31">
        <f>IF(OR(B50="",B50=-999),"",B50*$D$3)</f>
        <v/>
      </c>
      <c r="E50" s="32">
        <f>IF(OR(C50="",C50=-999),"",C50+$D$4)</f>
        <v/>
      </c>
    </row>
    <row r="51" ht="15" customHeight="1">
      <c r="A51" s="25">
        <f>IFERROR(IF(INDEX('Raw Flow Data'!$A:$A,ROW()-13)="","",INDEX('Raw Flow Data'!$A:$A,ROW()-13)),"")</f>
        <v/>
      </c>
      <c r="B51" s="26">
        <f>IFERROR(IF($B$3="","",INDEX('Raw Flow Data'!$A:$ZZ,ROW()-13,MATCH($B$3,'Raw Flow Data'!$1:$1,0))),"")</f>
        <v/>
      </c>
      <c r="C51" s="26">
        <f>IFERROR(IF($B$3="","",INDEX('Raw Pressure Data'!$A:$ZZ,ROW()-13,MATCH($B$3,'Raw Pressure Data'!$1:$1,0))),"")</f>
        <v/>
      </c>
      <c r="D51" s="27">
        <f>IF(OR(B51="",B51=-999),"",B51*$D$3)</f>
        <v/>
      </c>
      <c r="E51" s="28">
        <f>IF(OR(C51="",C51=-999),"",C51+$D$4)</f>
        <v/>
      </c>
    </row>
    <row r="52" ht="15" customHeight="1">
      <c r="A52" s="29">
        <f>IFERROR(IF(INDEX('Raw Flow Data'!$A:$A,ROW()-13)="","",INDEX('Raw Flow Data'!$A:$A,ROW()-13)),"")</f>
        <v/>
      </c>
      <c r="B52" s="30">
        <f>IFERROR(IF($B$3="","",INDEX('Raw Flow Data'!$A:$ZZ,ROW()-13,MATCH($B$3,'Raw Flow Data'!$1:$1,0))),"")</f>
        <v/>
      </c>
      <c r="C52" s="30">
        <f>IFERROR(IF($B$3="","",INDEX('Raw Pressure Data'!$A:$ZZ,ROW()-13,MATCH($B$3,'Raw Pressure Data'!$1:$1,0))),"")</f>
        <v/>
      </c>
      <c r="D52" s="31">
        <f>IF(OR(B52="",B52=-999),"",B52*$D$3)</f>
        <v/>
      </c>
      <c r="E52" s="32">
        <f>IF(OR(C52="",C52=-999),"",C52+$D$4)</f>
        <v/>
      </c>
    </row>
    <row r="53" ht="15" customHeight="1">
      <c r="A53" s="25">
        <f>IFERROR(IF(INDEX('Raw Flow Data'!$A:$A,ROW()-13)="","",INDEX('Raw Flow Data'!$A:$A,ROW()-13)),"")</f>
        <v/>
      </c>
      <c r="B53" s="26">
        <f>IFERROR(IF($B$3="","",INDEX('Raw Flow Data'!$A:$ZZ,ROW()-13,MATCH($B$3,'Raw Flow Data'!$1:$1,0))),"")</f>
        <v/>
      </c>
      <c r="C53" s="26">
        <f>IFERROR(IF($B$3="","",INDEX('Raw Pressure Data'!$A:$ZZ,ROW()-13,MATCH($B$3,'Raw Pressure Data'!$1:$1,0))),"")</f>
        <v/>
      </c>
      <c r="D53" s="27">
        <f>IF(OR(B53="",B53=-999),"",B53*$D$3)</f>
        <v/>
      </c>
      <c r="E53" s="28">
        <f>IF(OR(C53="",C53=-999),"",C53+$D$4)</f>
        <v/>
      </c>
    </row>
    <row r="54" ht="15" customHeight="1">
      <c r="A54" s="29">
        <f>IFERROR(IF(INDEX('Raw Flow Data'!$A:$A,ROW()-13)="","",INDEX('Raw Flow Data'!$A:$A,ROW()-13)),"")</f>
        <v/>
      </c>
      <c r="B54" s="30">
        <f>IFERROR(IF($B$3="","",INDEX('Raw Flow Data'!$A:$ZZ,ROW()-13,MATCH($B$3,'Raw Flow Data'!$1:$1,0))),"")</f>
        <v/>
      </c>
      <c r="C54" s="30">
        <f>IFERROR(IF($B$3="","",INDEX('Raw Pressure Data'!$A:$ZZ,ROW()-13,MATCH($B$3,'Raw Pressure Data'!$1:$1,0))),"")</f>
        <v/>
      </c>
      <c r="D54" s="31">
        <f>IF(OR(B54="",B54=-999),"",B54*$D$3)</f>
        <v/>
      </c>
      <c r="E54" s="32">
        <f>IF(OR(C54="",C54=-999),"",C54+$D$4)</f>
        <v/>
      </c>
    </row>
    <row r="55" ht="15" customHeight="1">
      <c r="A55" s="25">
        <f>IFERROR(IF(INDEX('Raw Flow Data'!$A:$A,ROW()-13)="","",INDEX('Raw Flow Data'!$A:$A,ROW()-13)),"")</f>
        <v/>
      </c>
      <c r="B55" s="26">
        <f>IFERROR(IF($B$3="","",INDEX('Raw Flow Data'!$A:$ZZ,ROW()-13,MATCH($B$3,'Raw Flow Data'!$1:$1,0))),"")</f>
        <v/>
      </c>
      <c r="C55" s="26">
        <f>IFERROR(IF($B$3="","",INDEX('Raw Pressure Data'!$A:$ZZ,ROW()-13,MATCH($B$3,'Raw Pressure Data'!$1:$1,0))),"")</f>
        <v/>
      </c>
      <c r="D55" s="27">
        <f>IF(OR(B55="",B55=-999),"",B55*$D$3)</f>
        <v/>
      </c>
      <c r="E55" s="28">
        <f>IF(OR(C55="",C55=-999),"",C55+$D$4)</f>
        <v/>
      </c>
    </row>
    <row r="56" ht="15" customHeight="1">
      <c r="A56" s="29">
        <f>IFERROR(IF(INDEX('Raw Flow Data'!$A:$A,ROW()-13)="","",INDEX('Raw Flow Data'!$A:$A,ROW()-13)),"")</f>
        <v/>
      </c>
      <c r="B56" s="30">
        <f>IFERROR(IF($B$3="","",INDEX('Raw Flow Data'!$A:$ZZ,ROW()-13,MATCH($B$3,'Raw Flow Data'!$1:$1,0))),"")</f>
        <v/>
      </c>
      <c r="C56" s="30">
        <f>IFERROR(IF($B$3="","",INDEX('Raw Pressure Data'!$A:$ZZ,ROW()-13,MATCH($B$3,'Raw Pressure Data'!$1:$1,0))),"")</f>
        <v/>
      </c>
      <c r="D56" s="31">
        <f>IF(OR(B56="",B56=-999),"",B56*$D$3)</f>
        <v/>
      </c>
      <c r="E56" s="32">
        <f>IF(OR(C56="",C56=-999),"",C56+$D$4)</f>
        <v/>
      </c>
    </row>
    <row r="57" ht="15" customHeight="1">
      <c r="A57" s="25">
        <f>IFERROR(IF(INDEX('Raw Flow Data'!$A:$A,ROW()-13)="","",INDEX('Raw Flow Data'!$A:$A,ROW()-13)),"")</f>
        <v/>
      </c>
      <c r="B57" s="26">
        <f>IFERROR(IF($B$3="","",INDEX('Raw Flow Data'!$A:$ZZ,ROW()-13,MATCH($B$3,'Raw Flow Data'!$1:$1,0))),"")</f>
        <v/>
      </c>
      <c r="C57" s="26">
        <f>IFERROR(IF($B$3="","",INDEX('Raw Pressure Data'!$A:$ZZ,ROW()-13,MATCH($B$3,'Raw Pressure Data'!$1:$1,0))),"")</f>
        <v/>
      </c>
      <c r="D57" s="27">
        <f>IF(OR(B57="",B57=-999),"",B57*$D$3)</f>
        <v/>
      </c>
      <c r="E57" s="28">
        <f>IF(OR(C57="",C57=-999),"",C57+$D$4)</f>
        <v/>
      </c>
    </row>
    <row r="58" ht="15" customHeight="1">
      <c r="A58" s="29">
        <f>IFERROR(IF(INDEX('Raw Flow Data'!$A:$A,ROW()-13)="","",INDEX('Raw Flow Data'!$A:$A,ROW()-13)),"")</f>
        <v/>
      </c>
      <c r="B58" s="30">
        <f>IFERROR(IF($B$3="","",INDEX('Raw Flow Data'!$A:$ZZ,ROW()-13,MATCH($B$3,'Raw Flow Data'!$1:$1,0))),"")</f>
        <v/>
      </c>
      <c r="C58" s="30">
        <f>IFERROR(IF($B$3="","",INDEX('Raw Pressure Data'!$A:$ZZ,ROW()-13,MATCH($B$3,'Raw Pressure Data'!$1:$1,0))),"")</f>
        <v/>
      </c>
      <c r="D58" s="31">
        <f>IF(OR(B58="",B58=-999),"",B58*$D$3)</f>
        <v/>
      </c>
      <c r="E58" s="32">
        <f>IF(OR(C58="",C58=-999),"",C58+$D$4)</f>
        <v/>
      </c>
    </row>
    <row r="59" ht="15" customHeight="1">
      <c r="A59" s="25">
        <f>IFERROR(IF(INDEX('Raw Flow Data'!$A:$A,ROW()-13)="","",INDEX('Raw Flow Data'!$A:$A,ROW()-13)),"")</f>
        <v/>
      </c>
      <c r="B59" s="26">
        <f>IFERROR(IF($B$3="","",INDEX('Raw Flow Data'!$A:$ZZ,ROW()-13,MATCH($B$3,'Raw Flow Data'!$1:$1,0))),"")</f>
        <v/>
      </c>
      <c r="C59" s="26">
        <f>IFERROR(IF($B$3="","",INDEX('Raw Pressure Data'!$A:$ZZ,ROW()-13,MATCH($B$3,'Raw Pressure Data'!$1:$1,0))),"")</f>
        <v/>
      </c>
      <c r="D59" s="27">
        <f>IF(OR(B59="",B59=-999),"",B59*$D$3)</f>
        <v/>
      </c>
      <c r="E59" s="28">
        <f>IF(OR(C59="",C59=-999),"",C59+$D$4)</f>
        <v/>
      </c>
    </row>
    <row r="60" ht="15" customHeight="1">
      <c r="A60" s="29">
        <f>IFERROR(IF(INDEX('Raw Flow Data'!$A:$A,ROW()-13)="","",INDEX('Raw Flow Data'!$A:$A,ROW()-13)),"")</f>
        <v/>
      </c>
      <c r="B60" s="30">
        <f>IFERROR(IF($B$3="","",INDEX('Raw Flow Data'!$A:$ZZ,ROW()-13,MATCH($B$3,'Raw Flow Data'!$1:$1,0))),"")</f>
        <v/>
      </c>
      <c r="C60" s="30">
        <f>IFERROR(IF($B$3="","",INDEX('Raw Pressure Data'!$A:$ZZ,ROW()-13,MATCH($B$3,'Raw Pressure Data'!$1:$1,0))),"")</f>
        <v/>
      </c>
      <c r="D60" s="31">
        <f>IF(OR(B60="",B60=-999),"",B60*$D$3)</f>
        <v/>
      </c>
      <c r="E60" s="32">
        <f>IF(OR(C60="",C60=-999),"",C60+$D$4)</f>
        <v/>
      </c>
    </row>
    <row r="61" ht="15" customHeight="1">
      <c r="A61" s="25">
        <f>IFERROR(IF(INDEX('Raw Flow Data'!$A:$A,ROW()-13)="","",INDEX('Raw Flow Data'!$A:$A,ROW()-13)),"")</f>
        <v/>
      </c>
      <c r="B61" s="26">
        <f>IFERROR(IF($B$3="","",INDEX('Raw Flow Data'!$A:$ZZ,ROW()-13,MATCH($B$3,'Raw Flow Data'!$1:$1,0))),"")</f>
        <v/>
      </c>
      <c r="C61" s="26">
        <f>IFERROR(IF($B$3="","",INDEX('Raw Pressure Data'!$A:$ZZ,ROW()-13,MATCH($B$3,'Raw Pressure Data'!$1:$1,0))),"")</f>
        <v/>
      </c>
      <c r="D61" s="27">
        <f>IF(OR(B61="",B61=-999),"",B61*$D$3)</f>
        <v/>
      </c>
      <c r="E61" s="28">
        <f>IF(OR(C61="",C61=-999),"",C61+$D$4)</f>
        <v/>
      </c>
    </row>
    <row r="62" ht="15" customHeight="1">
      <c r="A62" s="29">
        <f>IFERROR(IF(INDEX('Raw Flow Data'!$A:$A,ROW()-13)="","",INDEX('Raw Flow Data'!$A:$A,ROW()-13)),"")</f>
        <v/>
      </c>
      <c r="B62" s="30">
        <f>IFERROR(IF($B$3="","",INDEX('Raw Flow Data'!$A:$ZZ,ROW()-13,MATCH($B$3,'Raw Flow Data'!$1:$1,0))),"")</f>
        <v/>
      </c>
      <c r="C62" s="30">
        <f>IFERROR(IF($B$3="","",INDEX('Raw Pressure Data'!$A:$ZZ,ROW()-13,MATCH($B$3,'Raw Pressure Data'!$1:$1,0))),"")</f>
        <v/>
      </c>
      <c r="D62" s="31">
        <f>IF(OR(B62="",B62=-999),"",B62*$D$3)</f>
        <v/>
      </c>
      <c r="E62" s="32">
        <f>IF(OR(C62="",C62=-999),"",C62+$D$4)</f>
        <v/>
      </c>
    </row>
    <row r="63" ht="15" customHeight="1">
      <c r="A63" s="25">
        <f>IFERROR(IF(INDEX('Raw Flow Data'!$A:$A,ROW()-13)="","",INDEX('Raw Flow Data'!$A:$A,ROW()-13)),"")</f>
        <v/>
      </c>
      <c r="B63" s="26">
        <f>IFERROR(IF($B$3="","",INDEX('Raw Flow Data'!$A:$ZZ,ROW()-13,MATCH($B$3,'Raw Flow Data'!$1:$1,0))),"")</f>
        <v/>
      </c>
      <c r="C63" s="26">
        <f>IFERROR(IF($B$3="","",INDEX('Raw Pressure Data'!$A:$ZZ,ROW()-13,MATCH($B$3,'Raw Pressure Data'!$1:$1,0))),"")</f>
        <v/>
      </c>
      <c r="D63" s="27">
        <f>IF(OR(B63="",B63=-999),"",B63*$D$3)</f>
        <v/>
      </c>
      <c r="E63" s="28">
        <f>IF(OR(C63="",C63=-999),"",C63+$D$4)</f>
        <v/>
      </c>
    </row>
    <row r="64" ht="15" customHeight="1">
      <c r="A64" s="29">
        <f>IFERROR(IF(INDEX('Raw Flow Data'!$A:$A,ROW()-13)="","",INDEX('Raw Flow Data'!$A:$A,ROW()-13)),"")</f>
        <v/>
      </c>
      <c r="B64" s="30">
        <f>IFERROR(IF($B$3="","",INDEX('Raw Flow Data'!$A:$ZZ,ROW()-13,MATCH($B$3,'Raw Flow Data'!$1:$1,0))),"")</f>
        <v/>
      </c>
      <c r="C64" s="30">
        <f>IFERROR(IF($B$3="","",INDEX('Raw Pressure Data'!$A:$ZZ,ROW()-13,MATCH($B$3,'Raw Pressure Data'!$1:$1,0))),"")</f>
        <v/>
      </c>
      <c r="D64" s="31">
        <f>IF(OR(B64="",B64=-999),"",B64*$D$3)</f>
        <v/>
      </c>
      <c r="E64" s="32">
        <f>IF(OR(C64="",C64=-999),"",C64+$D$4)</f>
        <v/>
      </c>
    </row>
    <row r="65" ht="15" customHeight="1">
      <c r="A65" s="25">
        <f>IFERROR(IF(INDEX('Raw Flow Data'!$A:$A,ROW()-13)="","",INDEX('Raw Flow Data'!$A:$A,ROW()-13)),"")</f>
        <v/>
      </c>
      <c r="B65" s="26">
        <f>IFERROR(IF($B$3="","",INDEX('Raw Flow Data'!$A:$ZZ,ROW()-13,MATCH($B$3,'Raw Flow Data'!$1:$1,0))),"")</f>
        <v/>
      </c>
      <c r="C65" s="26">
        <f>IFERROR(IF($B$3="","",INDEX('Raw Pressure Data'!$A:$ZZ,ROW()-13,MATCH($B$3,'Raw Pressure Data'!$1:$1,0))),"")</f>
        <v/>
      </c>
      <c r="D65" s="27">
        <f>IF(OR(B65="",B65=-999),"",B65*$D$3)</f>
        <v/>
      </c>
      <c r="E65" s="28">
        <f>IF(OR(C65="",C65=-999),"",C65+$D$4)</f>
        <v/>
      </c>
    </row>
    <row r="66" ht="15" customHeight="1">
      <c r="A66" s="29">
        <f>IFERROR(IF(INDEX('Raw Flow Data'!$A:$A,ROW()-13)="","",INDEX('Raw Flow Data'!$A:$A,ROW()-13)),"")</f>
        <v/>
      </c>
      <c r="B66" s="30">
        <f>IFERROR(IF($B$3="","",INDEX('Raw Flow Data'!$A:$ZZ,ROW()-13,MATCH($B$3,'Raw Flow Data'!$1:$1,0))),"")</f>
        <v/>
      </c>
      <c r="C66" s="30">
        <f>IFERROR(IF($B$3="","",INDEX('Raw Pressure Data'!$A:$ZZ,ROW()-13,MATCH($B$3,'Raw Pressure Data'!$1:$1,0))),"")</f>
        <v/>
      </c>
      <c r="D66" s="31">
        <f>IF(OR(B66="",B66=-999),"",B66*$D$3)</f>
        <v/>
      </c>
      <c r="E66" s="32">
        <f>IF(OR(C66="",C66=-999),"",C66+$D$4)</f>
        <v/>
      </c>
    </row>
    <row r="67" ht="15" customHeight="1">
      <c r="A67" s="25">
        <f>IFERROR(IF(INDEX('Raw Flow Data'!$A:$A,ROW()-13)="","",INDEX('Raw Flow Data'!$A:$A,ROW()-13)),"")</f>
        <v/>
      </c>
      <c r="B67" s="26">
        <f>IFERROR(IF($B$3="","",INDEX('Raw Flow Data'!$A:$ZZ,ROW()-13,MATCH($B$3,'Raw Flow Data'!$1:$1,0))),"")</f>
        <v/>
      </c>
      <c r="C67" s="26">
        <f>IFERROR(IF($B$3="","",INDEX('Raw Pressure Data'!$A:$ZZ,ROW()-13,MATCH($B$3,'Raw Pressure Data'!$1:$1,0))),"")</f>
        <v/>
      </c>
      <c r="D67" s="27">
        <f>IF(OR(B67="",B67=-999),"",B67*$D$3)</f>
        <v/>
      </c>
      <c r="E67" s="28">
        <f>IF(OR(C67="",C67=-999),"",C67+$D$4)</f>
        <v/>
      </c>
    </row>
    <row r="68" ht="15" customHeight="1">
      <c r="A68" s="29">
        <f>IFERROR(IF(INDEX('Raw Flow Data'!$A:$A,ROW()-13)="","",INDEX('Raw Flow Data'!$A:$A,ROW()-13)),"")</f>
        <v/>
      </c>
      <c r="B68" s="30">
        <f>IFERROR(IF($B$3="","",INDEX('Raw Flow Data'!$A:$ZZ,ROW()-13,MATCH($B$3,'Raw Flow Data'!$1:$1,0))),"")</f>
        <v/>
      </c>
      <c r="C68" s="30">
        <f>IFERROR(IF($B$3="","",INDEX('Raw Pressure Data'!$A:$ZZ,ROW()-13,MATCH($B$3,'Raw Pressure Data'!$1:$1,0))),"")</f>
        <v/>
      </c>
      <c r="D68" s="31">
        <f>IF(OR(B68="",B68=-999),"",B68*$D$3)</f>
        <v/>
      </c>
      <c r="E68" s="32">
        <f>IF(OR(C68="",C68=-999),"",C68+$D$4)</f>
        <v/>
      </c>
    </row>
    <row r="69" ht="15" customHeight="1">
      <c r="A69" s="25">
        <f>IFERROR(IF(INDEX('Raw Flow Data'!$A:$A,ROW()-13)="","",INDEX('Raw Flow Data'!$A:$A,ROW()-13)),"")</f>
        <v/>
      </c>
      <c r="B69" s="26">
        <f>IFERROR(IF($B$3="","",INDEX('Raw Flow Data'!$A:$ZZ,ROW()-13,MATCH($B$3,'Raw Flow Data'!$1:$1,0))),"")</f>
        <v/>
      </c>
      <c r="C69" s="26">
        <f>IFERROR(IF($B$3="","",INDEX('Raw Pressure Data'!$A:$ZZ,ROW()-13,MATCH($B$3,'Raw Pressure Data'!$1:$1,0))),"")</f>
        <v/>
      </c>
      <c r="D69" s="27">
        <f>IF(OR(B69="",B69=-999),"",B69*$D$3)</f>
        <v/>
      </c>
      <c r="E69" s="28">
        <f>IF(OR(C69="",C69=-999),"",C69+$D$4)</f>
        <v/>
      </c>
    </row>
    <row r="70" ht="15" customHeight="1">
      <c r="A70" s="29">
        <f>IFERROR(IF(INDEX('Raw Flow Data'!$A:$A,ROW()-13)="","",INDEX('Raw Flow Data'!$A:$A,ROW()-13)),"")</f>
        <v/>
      </c>
      <c r="B70" s="30">
        <f>IFERROR(IF($B$3="","",INDEX('Raw Flow Data'!$A:$ZZ,ROW()-13,MATCH($B$3,'Raw Flow Data'!$1:$1,0))),"")</f>
        <v/>
      </c>
      <c r="C70" s="30">
        <f>IFERROR(IF($B$3="","",INDEX('Raw Pressure Data'!$A:$ZZ,ROW()-13,MATCH($B$3,'Raw Pressure Data'!$1:$1,0))),"")</f>
        <v/>
      </c>
      <c r="D70" s="31">
        <f>IF(OR(B70="",B70=-999),"",B70*$D$3)</f>
        <v/>
      </c>
      <c r="E70" s="32">
        <f>IF(OR(C70="",C70=-999),"",C70+$D$4)</f>
        <v/>
      </c>
    </row>
    <row r="71" ht="15" customHeight="1">
      <c r="A71" s="25">
        <f>IFERROR(IF(INDEX('Raw Flow Data'!$A:$A,ROW()-13)="","",INDEX('Raw Flow Data'!$A:$A,ROW()-13)),"")</f>
        <v/>
      </c>
      <c r="B71" s="26">
        <f>IFERROR(IF($B$3="","",INDEX('Raw Flow Data'!$A:$ZZ,ROW()-13,MATCH($B$3,'Raw Flow Data'!$1:$1,0))),"")</f>
        <v/>
      </c>
      <c r="C71" s="26">
        <f>IFERROR(IF($B$3="","",INDEX('Raw Pressure Data'!$A:$ZZ,ROW()-13,MATCH($B$3,'Raw Pressure Data'!$1:$1,0))),"")</f>
        <v/>
      </c>
      <c r="D71" s="27">
        <f>IF(OR(B71="",B71=-999),"",B71*$D$3)</f>
        <v/>
      </c>
      <c r="E71" s="28">
        <f>IF(OR(C71="",C71=-999),"",C71+$D$4)</f>
        <v/>
      </c>
    </row>
    <row r="72" ht="15" customHeight="1">
      <c r="A72" s="29">
        <f>IFERROR(IF(INDEX('Raw Flow Data'!$A:$A,ROW()-13)="","",INDEX('Raw Flow Data'!$A:$A,ROW()-13)),"")</f>
        <v/>
      </c>
      <c r="B72" s="30">
        <f>IFERROR(IF($B$3="","",INDEX('Raw Flow Data'!$A:$ZZ,ROW()-13,MATCH($B$3,'Raw Flow Data'!$1:$1,0))),"")</f>
        <v/>
      </c>
      <c r="C72" s="30">
        <f>IFERROR(IF($B$3="","",INDEX('Raw Pressure Data'!$A:$ZZ,ROW()-13,MATCH($B$3,'Raw Pressure Data'!$1:$1,0))),"")</f>
        <v/>
      </c>
      <c r="D72" s="31">
        <f>IF(OR(B72="",B72=-999),"",B72*$D$3)</f>
        <v/>
      </c>
      <c r="E72" s="32">
        <f>IF(OR(C72="",C72=-999),"",C72+$D$4)</f>
        <v/>
      </c>
    </row>
    <row r="73" ht="15" customHeight="1">
      <c r="A73" s="25">
        <f>IFERROR(IF(INDEX('Raw Flow Data'!$A:$A,ROW()-13)="","",INDEX('Raw Flow Data'!$A:$A,ROW()-13)),"")</f>
        <v/>
      </c>
      <c r="B73" s="26">
        <f>IFERROR(IF($B$3="","",INDEX('Raw Flow Data'!$A:$ZZ,ROW()-13,MATCH($B$3,'Raw Flow Data'!$1:$1,0))),"")</f>
        <v/>
      </c>
      <c r="C73" s="26">
        <f>IFERROR(IF($B$3="","",INDEX('Raw Pressure Data'!$A:$ZZ,ROW()-13,MATCH($B$3,'Raw Pressure Data'!$1:$1,0))),"")</f>
        <v/>
      </c>
      <c r="D73" s="27">
        <f>IF(OR(B73="",B73=-999),"",B73*$D$3)</f>
        <v/>
      </c>
      <c r="E73" s="28">
        <f>IF(OR(C73="",C73=-999),"",C73+$D$4)</f>
        <v/>
      </c>
    </row>
    <row r="74" ht="15" customHeight="1">
      <c r="A74" s="29">
        <f>IFERROR(IF(INDEX('Raw Flow Data'!$A:$A,ROW()-13)="","",INDEX('Raw Flow Data'!$A:$A,ROW()-13)),"")</f>
        <v/>
      </c>
      <c r="B74" s="30">
        <f>IFERROR(IF($B$3="","",INDEX('Raw Flow Data'!$A:$ZZ,ROW()-13,MATCH($B$3,'Raw Flow Data'!$1:$1,0))),"")</f>
        <v/>
      </c>
      <c r="C74" s="30">
        <f>IFERROR(IF($B$3="","",INDEX('Raw Pressure Data'!$A:$ZZ,ROW()-13,MATCH($B$3,'Raw Pressure Data'!$1:$1,0))),"")</f>
        <v/>
      </c>
      <c r="D74" s="31">
        <f>IF(OR(B74="",B74=-999),"",B74*$D$3)</f>
        <v/>
      </c>
      <c r="E74" s="32">
        <f>IF(OR(C74="",C74=-999),"",C74+$D$4)</f>
        <v/>
      </c>
    </row>
    <row r="75" ht="15" customHeight="1">
      <c r="A75" s="25">
        <f>IFERROR(IF(INDEX('Raw Flow Data'!$A:$A,ROW()-13)="","",INDEX('Raw Flow Data'!$A:$A,ROW()-13)),"")</f>
        <v/>
      </c>
      <c r="B75" s="26">
        <f>IFERROR(IF($B$3="","",INDEX('Raw Flow Data'!$A:$ZZ,ROW()-13,MATCH($B$3,'Raw Flow Data'!$1:$1,0))),"")</f>
        <v/>
      </c>
      <c r="C75" s="26">
        <f>IFERROR(IF($B$3="","",INDEX('Raw Pressure Data'!$A:$ZZ,ROW()-13,MATCH($B$3,'Raw Pressure Data'!$1:$1,0))),"")</f>
        <v/>
      </c>
      <c r="D75" s="27">
        <f>IF(OR(B75="",B75=-999),"",B75*$D$3)</f>
        <v/>
      </c>
      <c r="E75" s="28">
        <f>IF(OR(C75="",C75=-999),"",C75+$D$4)</f>
        <v/>
      </c>
    </row>
    <row r="76" ht="15" customHeight="1">
      <c r="A76" s="29">
        <f>IFERROR(IF(INDEX('Raw Flow Data'!$A:$A,ROW()-13)="","",INDEX('Raw Flow Data'!$A:$A,ROW()-13)),"")</f>
        <v/>
      </c>
      <c r="B76" s="30">
        <f>IFERROR(IF($B$3="","",INDEX('Raw Flow Data'!$A:$ZZ,ROW()-13,MATCH($B$3,'Raw Flow Data'!$1:$1,0))),"")</f>
        <v/>
      </c>
      <c r="C76" s="30">
        <f>IFERROR(IF($B$3="","",INDEX('Raw Pressure Data'!$A:$ZZ,ROW()-13,MATCH($B$3,'Raw Pressure Data'!$1:$1,0))),"")</f>
        <v/>
      </c>
      <c r="D76" s="31">
        <f>IF(OR(B76="",B76=-999),"",B76*$D$3)</f>
        <v/>
      </c>
      <c r="E76" s="32">
        <f>IF(OR(C76="",C76=-999),"",C76+$D$4)</f>
        <v/>
      </c>
    </row>
    <row r="77" ht="15" customHeight="1">
      <c r="A77" s="25">
        <f>IFERROR(IF(INDEX('Raw Flow Data'!$A:$A,ROW()-13)="","",INDEX('Raw Flow Data'!$A:$A,ROW()-13)),"")</f>
        <v/>
      </c>
      <c r="B77" s="26">
        <f>IFERROR(IF($B$3="","",INDEX('Raw Flow Data'!$A:$ZZ,ROW()-13,MATCH($B$3,'Raw Flow Data'!$1:$1,0))),"")</f>
        <v/>
      </c>
      <c r="C77" s="26">
        <f>IFERROR(IF($B$3="","",INDEX('Raw Pressure Data'!$A:$ZZ,ROW()-13,MATCH($B$3,'Raw Pressure Data'!$1:$1,0))),"")</f>
        <v/>
      </c>
      <c r="D77" s="27">
        <f>IF(OR(B77="",B77=-999),"",B77*$D$3)</f>
        <v/>
      </c>
      <c r="E77" s="28">
        <f>IF(OR(C77="",C77=-999),"",C77+$D$4)</f>
        <v/>
      </c>
    </row>
    <row r="78" ht="15" customHeight="1">
      <c r="A78" s="29">
        <f>IFERROR(IF(INDEX('Raw Flow Data'!$A:$A,ROW()-13)="","",INDEX('Raw Flow Data'!$A:$A,ROW()-13)),"")</f>
        <v/>
      </c>
      <c r="B78" s="30">
        <f>IFERROR(IF($B$3="","",INDEX('Raw Flow Data'!$A:$ZZ,ROW()-13,MATCH($B$3,'Raw Flow Data'!$1:$1,0))),"")</f>
        <v/>
      </c>
      <c r="C78" s="30">
        <f>IFERROR(IF($B$3="","",INDEX('Raw Pressure Data'!$A:$ZZ,ROW()-13,MATCH($B$3,'Raw Pressure Data'!$1:$1,0))),"")</f>
        <v/>
      </c>
      <c r="D78" s="31">
        <f>IF(OR(B78="",B78=-999),"",B78*$D$3)</f>
        <v/>
      </c>
      <c r="E78" s="32">
        <f>IF(OR(C78="",C78=-999),"",C78+$D$4)</f>
        <v/>
      </c>
    </row>
    <row r="79" ht="15" customHeight="1">
      <c r="A79" s="25">
        <f>IFERROR(IF(INDEX('Raw Flow Data'!$A:$A,ROW()-13)="","",INDEX('Raw Flow Data'!$A:$A,ROW()-13)),"")</f>
        <v/>
      </c>
      <c r="B79" s="26">
        <f>IFERROR(IF($B$3="","",INDEX('Raw Flow Data'!$A:$ZZ,ROW()-13,MATCH($B$3,'Raw Flow Data'!$1:$1,0))),"")</f>
        <v/>
      </c>
      <c r="C79" s="26">
        <f>IFERROR(IF($B$3="","",INDEX('Raw Pressure Data'!$A:$ZZ,ROW()-13,MATCH($B$3,'Raw Pressure Data'!$1:$1,0))),"")</f>
        <v/>
      </c>
      <c r="D79" s="27">
        <f>IF(OR(B79="",B79=-999),"",B79*$D$3)</f>
        <v/>
      </c>
      <c r="E79" s="28">
        <f>IF(OR(C79="",C79=-999),"",C79+$D$4)</f>
        <v/>
      </c>
    </row>
    <row r="80" ht="15" customHeight="1">
      <c r="A80" s="29">
        <f>IFERROR(IF(INDEX('Raw Flow Data'!$A:$A,ROW()-13)="","",INDEX('Raw Flow Data'!$A:$A,ROW()-13)),"")</f>
        <v/>
      </c>
      <c r="B80" s="30">
        <f>IFERROR(IF($B$3="","",INDEX('Raw Flow Data'!$A:$ZZ,ROW()-13,MATCH($B$3,'Raw Flow Data'!$1:$1,0))),"")</f>
        <v/>
      </c>
      <c r="C80" s="30">
        <f>IFERROR(IF($B$3="","",INDEX('Raw Pressure Data'!$A:$ZZ,ROW()-13,MATCH($B$3,'Raw Pressure Data'!$1:$1,0))),"")</f>
        <v/>
      </c>
      <c r="D80" s="31">
        <f>IF(OR(B80="",B80=-999),"",B80*$D$3)</f>
        <v/>
      </c>
      <c r="E80" s="32">
        <f>IF(OR(C80="",C80=-999),"",C80+$D$4)</f>
        <v/>
      </c>
    </row>
    <row r="81" ht="15" customHeight="1">
      <c r="A81" s="25">
        <f>IFERROR(IF(INDEX('Raw Flow Data'!$A:$A,ROW()-13)="","",INDEX('Raw Flow Data'!$A:$A,ROW()-13)),"")</f>
        <v/>
      </c>
      <c r="B81" s="26">
        <f>IFERROR(IF($B$3="","",INDEX('Raw Flow Data'!$A:$ZZ,ROW()-13,MATCH($B$3,'Raw Flow Data'!$1:$1,0))),"")</f>
        <v/>
      </c>
      <c r="C81" s="26">
        <f>IFERROR(IF($B$3="","",INDEX('Raw Pressure Data'!$A:$ZZ,ROW()-13,MATCH($B$3,'Raw Pressure Data'!$1:$1,0))),"")</f>
        <v/>
      </c>
      <c r="D81" s="27">
        <f>IF(OR(B81="",B81=-999),"",B81*$D$3)</f>
        <v/>
      </c>
      <c r="E81" s="28">
        <f>IF(OR(C81="",C81=-999),"",C81+$D$4)</f>
        <v/>
      </c>
    </row>
    <row r="82" ht="15" customHeight="1">
      <c r="A82" s="29">
        <f>IFERROR(IF(INDEX('Raw Flow Data'!$A:$A,ROW()-13)="","",INDEX('Raw Flow Data'!$A:$A,ROW()-13)),"")</f>
        <v/>
      </c>
      <c r="B82" s="30">
        <f>IFERROR(IF($B$3="","",INDEX('Raw Flow Data'!$A:$ZZ,ROW()-13,MATCH($B$3,'Raw Flow Data'!$1:$1,0))),"")</f>
        <v/>
      </c>
      <c r="C82" s="30">
        <f>IFERROR(IF($B$3="","",INDEX('Raw Pressure Data'!$A:$ZZ,ROW()-13,MATCH($B$3,'Raw Pressure Data'!$1:$1,0))),"")</f>
        <v/>
      </c>
      <c r="D82" s="31">
        <f>IF(OR(B82="",B82=-999),"",B82*$D$3)</f>
        <v/>
      </c>
      <c r="E82" s="32">
        <f>IF(OR(C82="",C82=-999),"",C82+$D$4)</f>
        <v/>
      </c>
    </row>
    <row r="83" ht="15" customHeight="1">
      <c r="A83" s="25">
        <f>IFERROR(IF(INDEX('Raw Flow Data'!$A:$A,ROW()-13)="","",INDEX('Raw Flow Data'!$A:$A,ROW()-13)),"")</f>
        <v/>
      </c>
      <c r="B83" s="26">
        <f>IFERROR(IF($B$3="","",INDEX('Raw Flow Data'!$A:$ZZ,ROW()-13,MATCH($B$3,'Raw Flow Data'!$1:$1,0))),"")</f>
        <v/>
      </c>
      <c r="C83" s="26">
        <f>IFERROR(IF($B$3="","",INDEX('Raw Pressure Data'!$A:$ZZ,ROW()-13,MATCH($B$3,'Raw Pressure Data'!$1:$1,0))),"")</f>
        <v/>
      </c>
      <c r="D83" s="27">
        <f>IF(OR(B83="",B83=-999),"",B83*$D$3)</f>
        <v/>
      </c>
      <c r="E83" s="28">
        <f>IF(OR(C83="",C83=-999),"",C83+$D$4)</f>
        <v/>
      </c>
    </row>
    <row r="84" ht="15" customHeight="1">
      <c r="A84" s="29">
        <f>IFERROR(IF(INDEX('Raw Flow Data'!$A:$A,ROW()-13)="","",INDEX('Raw Flow Data'!$A:$A,ROW()-13)),"")</f>
        <v/>
      </c>
      <c r="B84" s="30">
        <f>IFERROR(IF($B$3="","",INDEX('Raw Flow Data'!$A:$ZZ,ROW()-13,MATCH($B$3,'Raw Flow Data'!$1:$1,0))),"")</f>
        <v/>
      </c>
      <c r="C84" s="30">
        <f>IFERROR(IF($B$3="","",INDEX('Raw Pressure Data'!$A:$ZZ,ROW()-13,MATCH($B$3,'Raw Pressure Data'!$1:$1,0))),"")</f>
        <v/>
      </c>
      <c r="D84" s="31">
        <f>IF(OR(B84="",B84=-999),"",B84*$D$3)</f>
        <v/>
      </c>
      <c r="E84" s="32">
        <f>IF(OR(C84="",C84=-999),"",C84+$D$4)</f>
        <v/>
      </c>
    </row>
    <row r="85" ht="15" customHeight="1">
      <c r="A85" s="25">
        <f>IFERROR(IF(INDEX('Raw Flow Data'!$A:$A,ROW()-13)="","",INDEX('Raw Flow Data'!$A:$A,ROW()-13)),"")</f>
        <v/>
      </c>
      <c r="B85" s="26">
        <f>IFERROR(IF($B$3="","",INDEX('Raw Flow Data'!$A:$ZZ,ROW()-13,MATCH($B$3,'Raw Flow Data'!$1:$1,0))),"")</f>
        <v/>
      </c>
      <c r="C85" s="26">
        <f>IFERROR(IF($B$3="","",INDEX('Raw Pressure Data'!$A:$ZZ,ROW()-13,MATCH($B$3,'Raw Pressure Data'!$1:$1,0))),"")</f>
        <v/>
      </c>
      <c r="D85" s="27">
        <f>IF(OR(B85="",B85=-999),"",B85*$D$3)</f>
        <v/>
      </c>
      <c r="E85" s="28">
        <f>IF(OR(C85="",C85=-999),"",C85+$D$4)</f>
        <v/>
      </c>
    </row>
    <row r="86" ht="15" customHeight="1">
      <c r="A86" s="29">
        <f>IFERROR(IF(INDEX('Raw Flow Data'!$A:$A,ROW()-13)="","",INDEX('Raw Flow Data'!$A:$A,ROW()-13)),"")</f>
        <v/>
      </c>
      <c r="B86" s="30">
        <f>IFERROR(IF($B$3="","",INDEX('Raw Flow Data'!$A:$ZZ,ROW()-13,MATCH($B$3,'Raw Flow Data'!$1:$1,0))),"")</f>
        <v/>
      </c>
      <c r="C86" s="30">
        <f>IFERROR(IF($B$3="","",INDEX('Raw Pressure Data'!$A:$ZZ,ROW()-13,MATCH($B$3,'Raw Pressure Data'!$1:$1,0))),"")</f>
        <v/>
      </c>
      <c r="D86" s="31">
        <f>IF(OR(B86="",B86=-999),"",B86*$D$3)</f>
        <v/>
      </c>
      <c r="E86" s="32">
        <f>IF(OR(C86="",C86=-999),"",C86+$D$4)</f>
        <v/>
      </c>
    </row>
    <row r="87" ht="15" customHeight="1">
      <c r="A87" s="25">
        <f>IFERROR(IF(INDEX('Raw Flow Data'!$A:$A,ROW()-13)="","",INDEX('Raw Flow Data'!$A:$A,ROW()-13)),"")</f>
        <v/>
      </c>
      <c r="B87" s="26">
        <f>IFERROR(IF($B$3="","",INDEX('Raw Flow Data'!$A:$ZZ,ROW()-13,MATCH($B$3,'Raw Flow Data'!$1:$1,0))),"")</f>
        <v/>
      </c>
      <c r="C87" s="26">
        <f>IFERROR(IF($B$3="","",INDEX('Raw Pressure Data'!$A:$ZZ,ROW()-13,MATCH($B$3,'Raw Pressure Data'!$1:$1,0))),"")</f>
        <v/>
      </c>
      <c r="D87" s="27">
        <f>IF(OR(B87="",B87=-999),"",B87*$D$3)</f>
        <v/>
      </c>
      <c r="E87" s="28">
        <f>IF(OR(C87="",C87=-999),"",C87+$D$4)</f>
        <v/>
      </c>
    </row>
    <row r="88" ht="15" customHeight="1">
      <c r="A88" s="29">
        <f>IFERROR(IF(INDEX('Raw Flow Data'!$A:$A,ROW()-13)="","",INDEX('Raw Flow Data'!$A:$A,ROW()-13)),"")</f>
        <v/>
      </c>
      <c r="B88" s="30">
        <f>IFERROR(IF($B$3="","",INDEX('Raw Flow Data'!$A:$ZZ,ROW()-13,MATCH($B$3,'Raw Flow Data'!$1:$1,0))),"")</f>
        <v/>
      </c>
      <c r="C88" s="30">
        <f>IFERROR(IF($B$3="","",INDEX('Raw Pressure Data'!$A:$ZZ,ROW()-13,MATCH($B$3,'Raw Pressure Data'!$1:$1,0))),"")</f>
        <v/>
      </c>
      <c r="D88" s="31">
        <f>IF(OR(B88="",B88=-999),"",B88*$D$3)</f>
        <v/>
      </c>
      <c r="E88" s="32">
        <f>IF(OR(C88="",C88=-999),"",C88+$D$4)</f>
        <v/>
      </c>
    </row>
    <row r="89" ht="15" customHeight="1">
      <c r="A89" s="25">
        <f>IFERROR(IF(INDEX('Raw Flow Data'!$A:$A,ROW()-13)="","",INDEX('Raw Flow Data'!$A:$A,ROW()-13)),"")</f>
        <v/>
      </c>
      <c r="B89" s="26">
        <f>IFERROR(IF($B$3="","",INDEX('Raw Flow Data'!$A:$ZZ,ROW()-13,MATCH($B$3,'Raw Flow Data'!$1:$1,0))),"")</f>
        <v/>
      </c>
      <c r="C89" s="26">
        <f>IFERROR(IF($B$3="","",INDEX('Raw Pressure Data'!$A:$ZZ,ROW()-13,MATCH($B$3,'Raw Pressure Data'!$1:$1,0))),"")</f>
        <v/>
      </c>
      <c r="D89" s="27">
        <f>IF(OR(B89="",B89=-999),"",B89*$D$3)</f>
        <v/>
      </c>
      <c r="E89" s="28">
        <f>IF(OR(C89="",C89=-999),"",C89+$D$4)</f>
        <v/>
      </c>
    </row>
    <row r="90" ht="15" customHeight="1">
      <c r="A90" s="29">
        <f>IFERROR(IF(INDEX('Raw Flow Data'!$A:$A,ROW()-13)="","",INDEX('Raw Flow Data'!$A:$A,ROW()-13)),"")</f>
        <v/>
      </c>
      <c r="B90" s="30">
        <f>IFERROR(IF($B$3="","",INDEX('Raw Flow Data'!$A:$ZZ,ROW()-13,MATCH($B$3,'Raw Flow Data'!$1:$1,0))),"")</f>
        <v/>
      </c>
      <c r="C90" s="30">
        <f>IFERROR(IF($B$3="","",INDEX('Raw Pressure Data'!$A:$ZZ,ROW()-13,MATCH($B$3,'Raw Pressure Data'!$1:$1,0))),"")</f>
        <v/>
      </c>
      <c r="D90" s="31">
        <f>IF(OR(B90="",B90=-999),"",B90*$D$3)</f>
        <v/>
      </c>
      <c r="E90" s="32">
        <f>IF(OR(C90="",C90=-999),"",C90+$D$4)</f>
        <v/>
      </c>
    </row>
    <row r="91" ht="15" customHeight="1">
      <c r="A91" s="25">
        <f>IFERROR(IF(INDEX('Raw Flow Data'!$A:$A,ROW()-13)="","",INDEX('Raw Flow Data'!$A:$A,ROW()-13)),"")</f>
        <v/>
      </c>
      <c r="B91" s="26">
        <f>IFERROR(IF($B$3="","",INDEX('Raw Flow Data'!$A:$ZZ,ROW()-13,MATCH($B$3,'Raw Flow Data'!$1:$1,0))),"")</f>
        <v/>
      </c>
      <c r="C91" s="26">
        <f>IFERROR(IF($B$3="","",INDEX('Raw Pressure Data'!$A:$ZZ,ROW()-13,MATCH($B$3,'Raw Pressure Data'!$1:$1,0))),"")</f>
        <v/>
      </c>
      <c r="D91" s="27">
        <f>IF(OR(B91="",B91=-999),"",B91*$D$3)</f>
        <v/>
      </c>
      <c r="E91" s="28">
        <f>IF(OR(C91="",C91=-999),"",C91+$D$4)</f>
        <v/>
      </c>
    </row>
    <row r="92" ht="15" customHeight="1">
      <c r="A92" s="29">
        <f>IFERROR(IF(INDEX('Raw Flow Data'!$A:$A,ROW()-13)="","",INDEX('Raw Flow Data'!$A:$A,ROW()-13)),"")</f>
        <v/>
      </c>
      <c r="B92" s="30">
        <f>IFERROR(IF($B$3="","",INDEX('Raw Flow Data'!$A:$ZZ,ROW()-13,MATCH($B$3,'Raw Flow Data'!$1:$1,0))),"")</f>
        <v/>
      </c>
      <c r="C92" s="30">
        <f>IFERROR(IF($B$3="","",INDEX('Raw Pressure Data'!$A:$ZZ,ROW()-13,MATCH($B$3,'Raw Pressure Data'!$1:$1,0))),"")</f>
        <v/>
      </c>
      <c r="D92" s="31">
        <f>IF(OR(B92="",B92=-999),"",B92*$D$3)</f>
        <v/>
      </c>
      <c r="E92" s="32">
        <f>IF(OR(C92="",C92=-999),"",C92+$D$4)</f>
        <v/>
      </c>
    </row>
    <row r="93" ht="15" customHeight="1">
      <c r="A93" s="25">
        <f>IFERROR(IF(INDEX('Raw Flow Data'!$A:$A,ROW()-13)="","",INDEX('Raw Flow Data'!$A:$A,ROW()-13)),"")</f>
        <v/>
      </c>
      <c r="B93" s="26">
        <f>IFERROR(IF($B$3="","",INDEX('Raw Flow Data'!$A:$ZZ,ROW()-13,MATCH($B$3,'Raw Flow Data'!$1:$1,0))),"")</f>
        <v/>
      </c>
      <c r="C93" s="26">
        <f>IFERROR(IF($B$3="","",INDEX('Raw Pressure Data'!$A:$ZZ,ROW()-13,MATCH($B$3,'Raw Pressure Data'!$1:$1,0))),"")</f>
        <v/>
      </c>
      <c r="D93" s="27">
        <f>IF(OR(B93="",B93=-999),"",B93*$D$3)</f>
        <v/>
      </c>
      <c r="E93" s="28">
        <f>IF(OR(C93="",C93=-999),"",C93+$D$4)</f>
        <v/>
      </c>
    </row>
    <row r="94" ht="15" customHeight="1">
      <c r="A94" s="29">
        <f>IFERROR(IF(INDEX('Raw Flow Data'!$A:$A,ROW()-13)="","",INDEX('Raw Flow Data'!$A:$A,ROW()-13)),"")</f>
        <v/>
      </c>
      <c r="B94" s="30">
        <f>IFERROR(IF($B$3="","",INDEX('Raw Flow Data'!$A:$ZZ,ROW()-13,MATCH($B$3,'Raw Flow Data'!$1:$1,0))),"")</f>
        <v/>
      </c>
      <c r="C94" s="30">
        <f>IFERROR(IF($B$3="","",INDEX('Raw Pressure Data'!$A:$ZZ,ROW()-13,MATCH($B$3,'Raw Pressure Data'!$1:$1,0))),"")</f>
        <v/>
      </c>
      <c r="D94" s="31">
        <f>IF(OR(B94="",B94=-999),"",B94*$D$3)</f>
        <v/>
      </c>
      <c r="E94" s="32">
        <f>IF(OR(C94="",C94=-999),"",C94+$D$4)</f>
        <v/>
      </c>
    </row>
    <row r="95" ht="15" customHeight="1">
      <c r="A95" s="25">
        <f>IFERROR(IF(INDEX('Raw Flow Data'!$A:$A,ROW()-13)="","",INDEX('Raw Flow Data'!$A:$A,ROW()-13)),"")</f>
        <v/>
      </c>
      <c r="B95" s="26">
        <f>IFERROR(IF($B$3="","",INDEX('Raw Flow Data'!$A:$ZZ,ROW()-13,MATCH($B$3,'Raw Flow Data'!$1:$1,0))),"")</f>
        <v/>
      </c>
      <c r="C95" s="26">
        <f>IFERROR(IF($B$3="","",INDEX('Raw Pressure Data'!$A:$ZZ,ROW()-13,MATCH($B$3,'Raw Pressure Data'!$1:$1,0))),"")</f>
        <v/>
      </c>
      <c r="D95" s="27">
        <f>IF(OR(B95="",B95=-999),"",B95*$D$3)</f>
        <v/>
      </c>
      <c r="E95" s="28">
        <f>IF(OR(C95="",C95=-999),"",C95+$D$4)</f>
        <v/>
      </c>
    </row>
    <row r="96" ht="15" customHeight="1">
      <c r="A96" s="29">
        <f>IFERROR(IF(INDEX('Raw Flow Data'!$A:$A,ROW()-13)="","",INDEX('Raw Flow Data'!$A:$A,ROW()-13)),"")</f>
        <v/>
      </c>
      <c r="B96" s="30">
        <f>IFERROR(IF($B$3="","",INDEX('Raw Flow Data'!$A:$ZZ,ROW()-13,MATCH($B$3,'Raw Flow Data'!$1:$1,0))),"")</f>
        <v/>
      </c>
      <c r="C96" s="30">
        <f>IFERROR(IF($B$3="","",INDEX('Raw Pressure Data'!$A:$ZZ,ROW()-13,MATCH($B$3,'Raw Pressure Data'!$1:$1,0))),"")</f>
        <v/>
      </c>
      <c r="D96" s="31">
        <f>IF(OR(B96="",B96=-999),"",B96*$D$3)</f>
        <v/>
      </c>
      <c r="E96" s="32">
        <f>IF(OR(C96="",C96=-999),"",C96+$D$4)</f>
        <v/>
      </c>
    </row>
    <row r="97" ht="15" customHeight="1">
      <c r="A97" s="25">
        <f>IFERROR(IF(INDEX('Raw Flow Data'!$A:$A,ROW()-13)="","",INDEX('Raw Flow Data'!$A:$A,ROW()-13)),"")</f>
        <v/>
      </c>
      <c r="B97" s="26">
        <f>IFERROR(IF($B$3="","",INDEX('Raw Flow Data'!$A:$ZZ,ROW()-13,MATCH($B$3,'Raw Flow Data'!$1:$1,0))),"")</f>
        <v/>
      </c>
      <c r="C97" s="26">
        <f>IFERROR(IF($B$3="","",INDEX('Raw Pressure Data'!$A:$ZZ,ROW()-13,MATCH($B$3,'Raw Pressure Data'!$1:$1,0))),"")</f>
        <v/>
      </c>
      <c r="D97" s="27">
        <f>IF(OR(B97="",B97=-999),"",B97*$D$3)</f>
        <v/>
      </c>
      <c r="E97" s="28">
        <f>IF(OR(C97="",C97=-999),"",C97+$D$4)</f>
        <v/>
      </c>
    </row>
    <row r="98" ht="15" customHeight="1">
      <c r="A98" s="29">
        <f>IFERROR(IF(INDEX('Raw Flow Data'!$A:$A,ROW()-13)="","",INDEX('Raw Flow Data'!$A:$A,ROW()-13)),"")</f>
        <v/>
      </c>
      <c r="B98" s="30">
        <f>IFERROR(IF($B$3="","",INDEX('Raw Flow Data'!$A:$ZZ,ROW()-13,MATCH($B$3,'Raw Flow Data'!$1:$1,0))),"")</f>
        <v/>
      </c>
      <c r="C98" s="30">
        <f>IFERROR(IF($B$3="","",INDEX('Raw Pressure Data'!$A:$ZZ,ROW()-13,MATCH($B$3,'Raw Pressure Data'!$1:$1,0))),"")</f>
        <v/>
      </c>
      <c r="D98" s="31">
        <f>IF(OR(B98="",B98=-999),"",B98*$D$3)</f>
        <v/>
      </c>
      <c r="E98" s="32">
        <f>IF(OR(C98="",C98=-999),"",C98+$D$4)</f>
        <v/>
      </c>
    </row>
    <row r="99" ht="15" customHeight="1">
      <c r="A99" s="25">
        <f>IFERROR(IF(INDEX('Raw Flow Data'!$A:$A,ROW()-13)="","",INDEX('Raw Flow Data'!$A:$A,ROW()-13)),"")</f>
        <v/>
      </c>
      <c r="B99" s="26">
        <f>IFERROR(IF($B$3="","",INDEX('Raw Flow Data'!$A:$ZZ,ROW()-13,MATCH($B$3,'Raw Flow Data'!$1:$1,0))),"")</f>
        <v/>
      </c>
      <c r="C99" s="26">
        <f>IFERROR(IF($B$3="","",INDEX('Raw Pressure Data'!$A:$ZZ,ROW()-13,MATCH($B$3,'Raw Pressure Data'!$1:$1,0))),"")</f>
        <v/>
      </c>
      <c r="D99" s="27">
        <f>IF(OR(B99="",B99=-999),"",B99*$D$3)</f>
        <v/>
      </c>
      <c r="E99" s="28">
        <f>IF(OR(C99="",C99=-999),"",C99+$D$4)</f>
        <v/>
      </c>
    </row>
    <row r="100" ht="15" customHeight="1">
      <c r="A100" s="29">
        <f>IFERROR(IF(INDEX('Raw Flow Data'!$A:$A,ROW()-13)="","",INDEX('Raw Flow Data'!$A:$A,ROW()-13)),"")</f>
        <v/>
      </c>
      <c r="B100" s="30">
        <f>IFERROR(IF($B$3="","",INDEX('Raw Flow Data'!$A:$ZZ,ROW()-13,MATCH($B$3,'Raw Flow Data'!$1:$1,0))),"")</f>
        <v/>
      </c>
      <c r="C100" s="30">
        <f>IFERROR(IF($B$3="","",INDEX('Raw Pressure Data'!$A:$ZZ,ROW()-13,MATCH($B$3,'Raw Pressure Data'!$1:$1,0))),"")</f>
        <v/>
      </c>
      <c r="D100" s="31">
        <f>IF(OR(B100="",B100=-999),"",B100*$D$3)</f>
        <v/>
      </c>
      <c r="E100" s="32">
        <f>IF(OR(C100="",C100=-999),"",C100+$D$4)</f>
        <v/>
      </c>
    </row>
    <row r="101" ht="15" customHeight="1">
      <c r="A101" s="25">
        <f>IFERROR(IF(INDEX('Raw Flow Data'!$A:$A,ROW()-13)="","",INDEX('Raw Flow Data'!$A:$A,ROW()-13)),"")</f>
        <v/>
      </c>
      <c r="B101" s="26">
        <f>IFERROR(IF($B$3="","",INDEX('Raw Flow Data'!$A:$ZZ,ROW()-13,MATCH($B$3,'Raw Flow Data'!$1:$1,0))),"")</f>
        <v/>
      </c>
      <c r="C101" s="26">
        <f>IFERROR(IF($B$3="","",INDEX('Raw Pressure Data'!$A:$ZZ,ROW()-13,MATCH($B$3,'Raw Pressure Data'!$1:$1,0))),"")</f>
        <v/>
      </c>
      <c r="D101" s="27">
        <f>IF(OR(B101="",B101=-999),"",B101*$D$3)</f>
        <v/>
      </c>
      <c r="E101" s="28">
        <f>IF(OR(C101="",C101=-999),"",C101+$D$4)</f>
        <v/>
      </c>
    </row>
    <row r="102" ht="15" customHeight="1">
      <c r="A102" s="29">
        <f>IFERROR(IF(INDEX('Raw Flow Data'!$A:$A,ROW()-13)="","",INDEX('Raw Flow Data'!$A:$A,ROW()-13)),"")</f>
        <v/>
      </c>
      <c r="B102" s="30">
        <f>IFERROR(IF($B$3="","",INDEX('Raw Flow Data'!$A:$ZZ,ROW()-13,MATCH($B$3,'Raw Flow Data'!$1:$1,0))),"")</f>
        <v/>
      </c>
      <c r="C102" s="30">
        <f>IFERROR(IF($B$3="","",INDEX('Raw Pressure Data'!$A:$ZZ,ROW()-13,MATCH($B$3,'Raw Pressure Data'!$1:$1,0))),"")</f>
        <v/>
      </c>
      <c r="D102" s="31">
        <f>IF(OR(B102="",B102=-999),"",B102*$D$3)</f>
        <v/>
      </c>
      <c r="E102" s="32">
        <f>IF(OR(C102="",C102=-999),"",C102+$D$4)</f>
        <v/>
      </c>
    </row>
    <row r="103" ht="15" customHeight="1">
      <c r="A103" s="25">
        <f>IFERROR(IF(INDEX('Raw Flow Data'!$A:$A,ROW()-13)="","",INDEX('Raw Flow Data'!$A:$A,ROW()-13)),"")</f>
        <v/>
      </c>
      <c r="B103" s="26">
        <f>IFERROR(IF($B$3="","",INDEX('Raw Flow Data'!$A:$ZZ,ROW()-13,MATCH($B$3,'Raw Flow Data'!$1:$1,0))),"")</f>
        <v/>
      </c>
      <c r="C103" s="26">
        <f>IFERROR(IF($B$3="","",INDEX('Raw Pressure Data'!$A:$ZZ,ROW()-13,MATCH($B$3,'Raw Pressure Data'!$1:$1,0))),"")</f>
        <v/>
      </c>
      <c r="D103" s="27">
        <f>IF(OR(B103="",B103=-999),"",B103*$D$3)</f>
        <v/>
      </c>
      <c r="E103" s="28">
        <f>IF(OR(C103="",C103=-999),"",C103+$D$4)</f>
        <v/>
      </c>
    </row>
    <row r="104" ht="15" customHeight="1">
      <c r="A104" s="29">
        <f>IFERROR(IF(INDEX('Raw Flow Data'!$A:$A,ROW()-13)="","",INDEX('Raw Flow Data'!$A:$A,ROW()-13)),"")</f>
        <v/>
      </c>
      <c r="B104" s="30">
        <f>IFERROR(IF($B$3="","",INDEX('Raw Flow Data'!$A:$ZZ,ROW()-13,MATCH($B$3,'Raw Flow Data'!$1:$1,0))),"")</f>
        <v/>
      </c>
      <c r="C104" s="30">
        <f>IFERROR(IF($B$3="","",INDEX('Raw Pressure Data'!$A:$ZZ,ROW()-13,MATCH($B$3,'Raw Pressure Data'!$1:$1,0))),"")</f>
        <v/>
      </c>
      <c r="D104" s="31">
        <f>IF(OR(B104="",B104=-999),"",B104*$D$3)</f>
        <v/>
      </c>
      <c r="E104" s="32">
        <f>IF(OR(C104="",C104=-999),"",C104+$D$4)</f>
        <v/>
      </c>
    </row>
    <row r="105" ht="15" customHeight="1">
      <c r="A105" s="25">
        <f>IFERROR(IF(INDEX('Raw Flow Data'!$A:$A,ROW()-13)="","",INDEX('Raw Flow Data'!$A:$A,ROW()-13)),"")</f>
        <v/>
      </c>
      <c r="B105" s="26">
        <f>IFERROR(IF($B$3="","",INDEX('Raw Flow Data'!$A:$ZZ,ROW()-13,MATCH($B$3,'Raw Flow Data'!$1:$1,0))),"")</f>
        <v/>
      </c>
      <c r="C105" s="26">
        <f>IFERROR(IF($B$3="","",INDEX('Raw Pressure Data'!$A:$ZZ,ROW()-13,MATCH($B$3,'Raw Pressure Data'!$1:$1,0))),"")</f>
        <v/>
      </c>
      <c r="D105" s="27">
        <f>IF(OR(B105="",B105=-999),"",B105*$D$3)</f>
        <v/>
      </c>
      <c r="E105" s="28">
        <f>IF(OR(C105="",C105=-999),"",C105+$D$4)</f>
        <v/>
      </c>
    </row>
    <row r="106" ht="15" customHeight="1">
      <c r="A106" s="29">
        <f>IFERROR(IF(INDEX('Raw Flow Data'!$A:$A,ROW()-13)="","",INDEX('Raw Flow Data'!$A:$A,ROW()-13)),"")</f>
        <v/>
      </c>
      <c r="B106" s="30">
        <f>IFERROR(IF($B$3="","",INDEX('Raw Flow Data'!$A:$ZZ,ROW()-13,MATCH($B$3,'Raw Flow Data'!$1:$1,0))),"")</f>
        <v/>
      </c>
      <c r="C106" s="30">
        <f>IFERROR(IF($B$3="","",INDEX('Raw Pressure Data'!$A:$ZZ,ROW()-13,MATCH($B$3,'Raw Pressure Data'!$1:$1,0))),"")</f>
        <v/>
      </c>
      <c r="D106" s="31">
        <f>IF(OR(B106="",B106=-999),"",B106*$D$3)</f>
        <v/>
      </c>
      <c r="E106" s="32">
        <f>IF(OR(C106="",C106=-999),"",C106+$D$4)</f>
        <v/>
      </c>
    </row>
    <row r="107" ht="15" customHeight="1">
      <c r="A107" s="25">
        <f>IFERROR(IF(INDEX('Raw Flow Data'!$A:$A,ROW()-13)="","",INDEX('Raw Flow Data'!$A:$A,ROW()-13)),"")</f>
        <v/>
      </c>
      <c r="B107" s="26">
        <f>IFERROR(IF($B$3="","",INDEX('Raw Flow Data'!$A:$ZZ,ROW()-13,MATCH($B$3,'Raw Flow Data'!$1:$1,0))),"")</f>
        <v/>
      </c>
      <c r="C107" s="26">
        <f>IFERROR(IF($B$3="","",INDEX('Raw Pressure Data'!$A:$ZZ,ROW()-13,MATCH($B$3,'Raw Pressure Data'!$1:$1,0))),"")</f>
        <v/>
      </c>
      <c r="D107" s="27">
        <f>IF(OR(B107="",B107=-999),"",B107*$D$3)</f>
        <v/>
      </c>
      <c r="E107" s="28">
        <f>IF(OR(C107="",C107=-999),"",C107+$D$4)</f>
        <v/>
      </c>
    </row>
    <row r="108" ht="15" customHeight="1">
      <c r="A108" s="29">
        <f>IFERROR(IF(INDEX('Raw Flow Data'!$A:$A,ROW()-13)="","",INDEX('Raw Flow Data'!$A:$A,ROW()-13)),"")</f>
        <v/>
      </c>
      <c r="B108" s="30">
        <f>IFERROR(IF($B$3="","",INDEX('Raw Flow Data'!$A:$ZZ,ROW()-13,MATCH($B$3,'Raw Flow Data'!$1:$1,0))),"")</f>
        <v/>
      </c>
      <c r="C108" s="30">
        <f>IFERROR(IF($B$3="","",INDEX('Raw Pressure Data'!$A:$ZZ,ROW()-13,MATCH($B$3,'Raw Pressure Data'!$1:$1,0))),"")</f>
        <v/>
      </c>
      <c r="D108" s="31">
        <f>IF(OR(B108="",B108=-999),"",B108*$D$3)</f>
        <v/>
      </c>
      <c r="E108" s="32">
        <f>IF(OR(C108="",C108=-999),"",C108+$D$4)</f>
        <v/>
      </c>
    </row>
    <row r="109" ht="15" customHeight="1">
      <c r="A109" s="25">
        <f>IFERROR(IF(INDEX('Raw Flow Data'!$A:$A,ROW()-13)="","",INDEX('Raw Flow Data'!$A:$A,ROW()-13)),"")</f>
        <v/>
      </c>
      <c r="B109" s="26">
        <f>IFERROR(IF($B$3="","",INDEX('Raw Flow Data'!$A:$ZZ,ROW()-13,MATCH($B$3,'Raw Flow Data'!$1:$1,0))),"")</f>
        <v/>
      </c>
      <c r="C109" s="26">
        <f>IFERROR(IF($B$3="","",INDEX('Raw Pressure Data'!$A:$ZZ,ROW()-13,MATCH($B$3,'Raw Pressure Data'!$1:$1,0))),"")</f>
        <v/>
      </c>
      <c r="D109" s="27">
        <f>IF(OR(B109="",B109=-999),"",B109*$D$3)</f>
        <v/>
      </c>
      <c r="E109" s="28">
        <f>IF(OR(C109="",C109=-999),"",C109+$D$4)</f>
        <v/>
      </c>
    </row>
    <row r="110" ht="15" customHeight="1">
      <c r="A110" s="29">
        <f>IFERROR(IF(INDEX('Raw Flow Data'!$A:$A,ROW()-13)="","",INDEX('Raw Flow Data'!$A:$A,ROW()-13)),"")</f>
        <v/>
      </c>
      <c r="B110" s="30">
        <f>IFERROR(IF($B$3="","",INDEX('Raw Flow Data'!$A:$ZZ,ROW()-13,MATCH($B$3,'Raw Flow Data'!$1:$1,0))),"")</f>
        <v/>
      </c>
      <c r="C110" s="30">
        <f>IFERROR(IF($B$3="","",INDEX('Raw Pressure Data'!$A:$ZZ,ROW()-13,MATCH($B$3,'Raw Pressure Data'!$1:$1,0))),"")</f>
        <v/>
      </c>
      <c r="D110" s="31">
        <f>IF(OR(B110="",B110=-999),"",B110*$D$3)</f>
        <v/>
      </c>
      <c r="E110" s="32">
        <f>IF(OR(C110="",C110=-999),"",C110+$D$4)</f>
        <v/>
      </c>
    </row>
    <row r="111" ht="15" customHeight="1">
      <c r="A111" s="25">
        <f>IFERROR(IF(INDEX('Raw Flow Data'!$A:$A,ROW()-13)="","",INDEX('Raw Flow Data'!$A:$A,ROW()-13)),"")</f>
        <v/>
      </c>
      <c r="B111" s="26">
        <f>IFERROR(IF($B$3="","",INDEX('Raw Flow Data'!$A:$ZZ,ROW()-13,MATCH($B$3,'Raw Flow Data'!$1:$1,0))),"")</f>
        <v/>
      </c>
      <c r="C111" s="26">
        <f>IFERROR(IF($B$3="","",INDEX('Raw Pressure Data'!$A:$ZZ,ROW()-13,MATCH($B$3,'Raw Pressure Data'!$1:$1,0))),"")</f>
        <v/>
      </c>
      <c r="D111" s="27">
        <f>IF(OR(B111="",B111=-999),"",B111*$D$3)</f>
        <v/>
      </c>
      <c r="E111" s="28">
        <f>IF(OR(C111="",C111=-999),"",C111+$D$4)</f>
        <v/>
      </c>
    </row>
    <row r="112" ht="15" customHeight="1">
      <c r="A112" s="29">
        <f>IFERROR(IF(INDEX('Raw Flow Data'!$A:$A,ROW()-13)="","",INDEX('Raw Flow Data'!$A:$A,ROW()-13)),"")</f>
        <v/>
      </c>
      <c r="B112" s="30">
        <f>IFERROR(IF($B$3="","",INDEX('Raw Flow Data'!$A:$ZZ,ROW()-13,MATCH($B$3,'Raw Flow Data'!$1:$1,0))),"")</f>
        <v/>
      </c>
      <c r="C112" s="30">
        <f>IFERROR(IF($B$3="","",INDEX('Raw Pressure Data'!$A:$ZZ,ROW()-13,MATCH($B$3,'Raw Pressure Data'!$1:$1,0))),"")</f>
        <v/>
      </c>
      <c r="D112" s="31">
        <f>IF(OR(B112="",B112=-999),"",B112*$D$3)</f>
        <v/>
      </c>
      <c r="E112" s="32">
        <f>IF(OR(C112="",C112=-999),"",C112+$D$4)</f>
        <v/>
      </c>
    </row>
    <row r="113" ht="15" customHeight="1">
      <c r="A113" s="25">
        <f>IFERROR(IF(INDEX('Raw Flow Data'!$A:$A,ROW()-13)="","",INDEX('Raw Flow Data'!$A:$A,ROW()-13)),"")</f>
        <v/>
      </c>
      <c r="B113" s="26">
        <f>IFERROR(IF($B$3="","",INDEX('Raw Flow Data'!$A:$ZZ,ROW()-13,MATCH($B$3,'Raw Flow Data'!$1:$1,0))),"")</f>
        <v/>
      </c>
      <c r="C113" s="26">
        <f>IFERROR(IF($B$3="","",INDEX('Raw Pressure Data'!$A:$ZZ,ROW()-13,MATCH($B$3,'Raw Pressure Data'!$1:$1,0))),"")</f>
        <v/>
      </c>
      <c r="D113" s="27">
        <f>IF(OR(B113="",B113=-999),"",B113*$D$3)</f>
        <v/>
      </c>
      <c r="E113" s="28">
        <f>IF(OR(C113="",C113=-999),"",C113+$D$4)</f>
        <v/>
      </c>
    </row>
    <row r="114" ht="15" customHeight="1">
      <c r="A114" s="29">
        <f>IFERROR(IF(INDEX('Raw Flow Data'!$A:$A,ROW()-13)="","",INDEX('Raw Flow Data'!$A:$A,ROW()-13)),"")</f>
        <v/>
      </c>
      <c r="B114" s="30">
        <f>IFERROR(IF($B$3="","",INDEX('Raw Flow Data'!$A:$ZZ,ROW()-13,MATCH($B$3,'Raw Flow Data'!$1:$1,0))),"")</f>
        <v/>
      </c>
      <c r="C114" s="30">
        <f>IFERROR(IF($B$3="","",INDEX('Raw Pressure Data'!$A:$ZZ,ROW()-13,MATCH($B$3,'Raw Pressure Data'!$1:$1,0))),"")</f>
        <v/>
      </c>
      <c r="D114" s="31">
        <f>IF(OR(B114="",B114=-999),"",B114*$D$3)</f>
        <v/>
      </c>
      <c r="E114" s="32">
        <f>IF(OR(C114="",C114=-999),"",C114+$D$4)</f>
        <v/>
      </c>
    </row>
    <row r="115" ht="28" customHeight="1">
      <c r="A115" s="5" t="inlineStr">
        <is>
          <t>↑ Formula rows cover 100 data points. For more rows: select A15:E114, copy, paste below. For very large datasets use Power Query (see Instructions).</t>
        </is>
      </c>
    </row>
  </sheetData>
  <mergeCells count="8">
    <mergeCell ref="A2:B2"/>
    <mergeCell ref="A115:F115"/>
    <mergeCell ref="C8:F8"/>
    <mergeCell ref="A13:F13"/>
    <mergeCell ref="A1:F1"/>
    <mergeCell ref="A5:F5"/>
    <mergeCell ref="A6:F6"/>
    <mergeCell ref="C2:F2"/>
  </mergeCells>
  <dataValidations count="1">
    <dataValidation sqref="B3" showDropDown="0" showInputMessage="0" showErrorMessage="1" allowBlank="0" errorTitle="Invalid Flow" error="Please select a flow name from the list." type="list">
      <formula1>'Raw Flow Data'!$B$1:$GR$1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Flow Name</t>
        </is>
      </c>
      <c r="C1" s="1" t="inlineStr">
        <is>
          <t>Adjusted Value</t>
        </is>
      </c>
    </row>
    <row r="2" ht="18" customHeight="1">
      <c r="A2" s="5" t="inlineStr">
        <is>
          <t>Data is appended here each time you run the SaveToMOD macro (history is preserved — rows are never overwritten).</t>
        </is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Flow Name</t>
        </is>
      </c>
      <c r="C1" s="1" t="inlineStr">
        <is>
          <t>Adjusted Value</t>
        </is>
      </c>
    </row>
    <row r="2" ht="18" customHeight="1">
      <c r="A2" s="5" t="inlineStr">
        <is>
          <t>Data is appended here each time you run the SaveToMOD macro (history is preserved — rows are never overwritten).</t>
        </is>
      </c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3" t="inlineStr">
        <is>
          <t>Flow &amp; Pressure Dashboard — Instructions &amp; Setup Guide</t>
        </is>
      </c>
    </row>
    <row r="2" ht="8" customHeight="1"/>
    <row r="3" ht="26" customHeight="1">
      <c r="A3" s="34" t="inlineStr">
        <is>
          <t>1.  QUICK START  (Formula-Based — works immediately, no setup needed)</t>
        </is>
      </c>
    </row>
    <row r="4" ht="17" customHeight="1">
      <c r="A4" s="35" t="inlineStr">
        <is>
          <t>Step 1:  Go to the 'Raw Flow Data' sheet.  Delete the sample rows (keep Row 1 headers).  Paste your flow data from Row 2 onwards.</t>
        </is>
      </c>
    </row>
    <row r="5" ht="17" customHeight="1">
      <c r="A5" s="35" t="inlineStr">
        <is>
          <t>Step 2:  Go to the 'Raw Pressure Data' sheet and do the same with your pressure data.</t>
        </is>
      </c>
    </row>
    <row r="6" ht="17" customHeight="1">
      <c r="A6" s="35" t="inlineStr">
        <is>
          <t>Step 3:  Go to the 'Dashboard' sheet.  Click cell B3 and pick a flow from the dropdown.</t>
        </is>
      </c>
    </row>
    <row r="7" ht="17" customHeight="1">
      <c r="A7" s="35" t="inlineStr">
        <is>
          <t>Step 4:  Adjust 'Flow Scaling Factor' (cell D3) and 'Pressure Offset' (cell D4) as needed.</t>
        </is>
      </c>
    </row>
    <row r="8" ht="17" customHeight="1">
      <c r="A8" s="35" t="inlineStr">
        <is>
          <t>Step 5:  The formula table (rows 15 onwards) and chart update automatically.</t>
        </is>
      </c>
    </row>
    <row r="9" ht="17" customHeight="1">
      <c r="A9" s="35" t="inlineStr">
        <is>
          <t>Note:    The formula table covers 100 rows. For more data rows, select A15:E114 and copy-paste downward.</t>
        </is>
      </c>
    </row>
    <row r="10" ht="17" customHeight="1">
      <c r="A10" s="35" t="inlineStr">
        <is>
          <t>Note:    After pasting your own flow names, right-click cell B3 → Data Validation → update the</t>
        </is>
      </c>
    </row>
    <row r="11" ht="17" customHeight="1">
      <c r="A11" s="35" t="inlineStr">
        <is>
          <t xml:space="preserve">         Source range to match your column headers (e.g. 'Raw Flow Data'!$B$1:$BZ$1).</t>
        </is>
      </c>
    </row>
    <row r="12" ht="8" customHeight="1"/>
    <row r="13" ht="26" customHeight="1">
      <c r="A13" s="36" t="inlineStr">
        <is>
          <t>2.  POWER QUERY SETUP  (recommended for large datasets)</t>
        </is>
      </c>
    </row>
    <row r="14" ht="18" customHeight="1">
      <c r="A14" s="35" t="inlineStr">
        <is>
          <t>Power Query loads and transforms your raw data so PivotTables and charts always reflect the latest paste.</t>
        </is>
      </c>
    </row>
    <row r="15" ht="8" customHeight="1"/>
    <row r="16" ht="16" customHeight="1">
      <c r="A16" s="37" t="inlineStr">
        <is>
          <t>2a.  Load the Flow data query</t>
        </is>
      </c>
    </row>
    <row r="17" ht="17" customHeight="1">
      <c r="A17" s="38" t="inlineStr">
        <is>
          <t>1. Go to the 'Raw Flow Data' sheet and click anywhere inside the table.</t>
        </is>
      </c>
    </row>
    <row r="18" ht="17" customHeight="1">
      <c r="A18" s="38" t="inlineStr">
        <is>
          <t>2. Data tab → Get Data → From Table/Range.  Power Query Editor opens.</t>
        </is>
      </c>
    </row>
    <row r="19" ht="17" customHeight="1">
      <c r="A19" s="38" t="inlineStr">
        <is>
          <t>3. In Power Query Editor:  Home → Unpivot Other Columns  (select the Date column first, then Unpivot).</t>
        </is>
      </c>
    </row>
    <row r="20" ht="17" customHeight="1">
      <c r="A20" s="38" t="inlineStr">
        <is>
          <t xml:space="preserve">   This converts wide format (one column per flow) into long format: Date | Flow Name | Value.</t>
        </is>
      </c>
    </row>
    <row r="21" ht="17" customHeight="1">
      <c r="A21" s="38" t="inlineStr">
        <is>
          <t>4. Rename the columns:  'Attribute' → 'Flow Name',  'Value' → 'Flow Value'.</t>
        </is>
      </c>
    </row>
    <row r="22" ht="17" customHeight="1">
      <c r="A22" s="38" t="inlineStr">
        <is>
          <t>5. Home → Close &amp; Load To…  →  'Only Create Connection'  (tick 'Add to Data Model' if you like).</t>
        </is>
      </c>
    </row>
    <row r="23" ht="17" customHeight="1">
      <c r="A23" s="38" t="inlineStr">
        <is>
          <t>6. Name the query  FlowLong.</t>
        </is>
      </c>
    </row>
    <row r="24" ht="8" customHeight="1"/>
    <row r="25" ht="16" customHeight="1">
      <c r="A25" s="37" t="inlineStr">
        <is>
          <t>2b.  Load the Pressure data query  (same steps)</t>
        </is>
      </c>
    </row>
    <row r="26" ht="17" customHeight="1">
      <c r="A26" s="38" t="inlineStr">
        <is>
          <t>1. Go to the 'Raw Pressure Data' sheet and repeat steps 1-5 above.</t>
        </is>
      </c>
    </row>
    <row r="27" ht="17" customHeight="1">
      <c r="A27" s="38" t="inlineStr">
        <is>
          <t>2. Rename columns:  'Attribute' → 'Flow Name',  'Value' → 'Pressure Value'.</t>
        </is>
      </c>
    </row>
    <row r="28" ht="17" customHeight="1">
      <c r="A28" s="38" t="inlineStr">
        <is>
          <t>3. Name the query  PressureLong.</t>
        </is>
      </c>
    </row>
    <row r="29" ht="8" customHeight="1"/>
    <row r="30" ht="16" customHeight="1">
      <c r="A30" s="37" t="inlineStr">
        <is>
          <t>2c.  Load the Parameters table  (scaling factor and offset)</t>
        </is>
      </c>
    </row>
    <row r="31" ht="17" customHeight="1">
      <c r="A31" s="38" t="inlineStr">
        <is>
          <t>1. Go to the 'Dashboard' sheet and click anywhere inside the orange Parameters table (C9:E11).</t>
        </is>
      </c>
    </row>
    <row r="32" ht="17" customHeight="1">
      <c r="A32" s="38" t="inlineStr">
        <is>
          <t>2. Data tab → Get Data → From Table/Range.</t>
        </is>
      </c>
    </row>
    <row r="33" ht="17" customHeight="1">
      <c r="A33" s="38" t="inlineStr">
        <is>
          <t>3. No transformations needed — just click  Close &amp; Load To… → Only Create Connection.</t>
        </is>
      </c>
    </row>
    <row r="34" ht="17" customHeight="1">
      <c r="A34" s="38" t="inlineStr">
        <is>
          <t>4. Name the query  Parameters.</t>
        </is>
      </c>
    </row>
    <row r="35" ht="8" customHeight="1"/>
    <row r="36" ht="16" customHeight="1">
      <c r="A36" s="37" t="inlineStr">
        <is>
          <t>2d.  Merge queries into one combined table</t>
        </is>
      </c>
    </row>
    <row r="37" ht="17" customHeight="1">
      <c r="A37" s="38" t="inlineStr">
        <is>
          <t>1. Data tab → Get Data → Combine Queries → Merge.</t>
        </is>
      </c>
    </row>
    <row r="38" ht="17" customHeight="1">
      <c r="A38" s="38" t="inlineStr">
        <is>
          <t>2. Select FlowLong as the left table; PressureLong as the right table.</t>
        </is>
      </c>
    </row>
    <row r="39" ht="17" customHeight="1">
      <c r="A39" s="38" t="inlineStr">
        <is>
          <t>3. Match on:  Date  AND  Flow Name  (hold Ctrl to select both columns).</t>
        </is>
      </c>
    </row>
    <row r="40" ht="17" customHeight="1">
      <c r="A40" s="38" t="inlineStr">
        <is>
          <t>4. Expand the merged column to include 'Pressure Value'.</t>
        </is>
      </c>
    </row>
    <row r="41" ht="17" customHeight="1">
      <c r="A41" s="38" t="inlineStr">
        <is>
          <t>5. Add a custom column for Flow Adjusted:</t>
        </is>
      </c>
    </row>
    <row r="42" ht="17" customHeight="1">
      <c r="A42" s="38" t="inlineStr">
        <is>
          <t xml:space="preserve">   = if [Flow Value] = -999 then null else [Flow Value] * Parameters{[Parameter="Flow Scaling Factor"]}[Value]</t>
        </is>
      </c>
    </row>
    <row r="43" ht="17" customHeight="1">
      <c r="A43" s="38" t="inlineStr">
        <is>
          <t>6. Add a custom column for Pressure Adjusted:</t>
        </is>
      </c>
    </row>
    <row r="44" ht="17" customHeight="1">
      <c r="A44" s="38" t="inlineStr">
        <is>
          <t xml:space="preserve">   = if [Pressure Value] = -999 then null else [Pressure Value] + Parameters{[Parameter="Pressure Offset"]}[Value]</t>
        </is>
      </c>
    </row>
    <row r="45" ht="17" customHeight="1">
      <c r="A45" s="38" t="inlineStr">
        <is>
          <t>7. Home → Close &amp; Load To… → Table  (load to a new sheet, e.g. 'PQ Output').</t>
        </is>
      </c>
    </row>
    <row r="46" ht="17" customHeight="1">
      <c r="A46" s="38" t="inlineStr">
        <is>
          <t>8. Name the query  CombinedAdjusted.</t>
        </is>
      </c>
    </row>
    <row r="47" ht="17" customHeight="1">
      <c r="A47" s="38" t="inlineStr"/>
    </row>
    <row r="48" ht="17" customHeight="1">
      <c r="A48" s="38" t="inlineStr">
        <is>
          <t>To refresh after pasting new data:  Data tab → Refresh All  (or Ctrl+Alt+F5).</t>
        </is>
      </c>
    </row>
    <row r="49" ht="8" customHeight="1"/>
    <row r="50" ht="26" customHeight="1">
      <c r="A50" s="39" t="inlineStr">
        <is>
          <t>3.  PIVOTTABLE + SLICER SETUP  (interactive filtering)</t>
        </is>
      </c>
    </row>
    <row r="51" ht="18" customHeight="1">
      <c r="A51" s="35" t="inlineStr">
        <is>
          <t>Once you have the CombinedAdjusted Power Query output loaded to a sheet, follow these steps:</t>
        </is>
      </c>
    </row>
    <row r="52" ht="8" customHeight="1"/>
    <row r="53" ht="16" customHeight="1">
      <c r="A53" s="37" t="inlineStr">
        <is>
          <t>3a.  Create the PivotTable</t>
        </is>
      </c>
    </row>
    <row r="54" ht="17" customHeight="1">
      <c r="A54" s="38" t="inlineStr">
        <is>
          <t>1. Click anywhere in the CombinedAdjusted table on the 'PQ Output' sheet.</t>
        </is>
      </c>
    </row>
    <row r="55" ht="17" customHeight="1">
      <c r="A55" s="38" t="inlineStr">
        <is>
          <t>2. Insert → PivotTable → New Worksheet (or Existing Worksheet).</t>
        </is>
      </c>
    </row>
    <row r="56" ht="17" customHeight="1">
      <c r="A56" s="38" t="inlineStr">
        <is>
          <t>3. In the PivotTable Field List:</t>
        </is>
      </c>
    </row>
    <row r="57" ht="17" customHeight="1">
      <c r="A57" s="38" t="inlineStr">
        <is>
          <t xml:space="preserve">   • Drag 'Date' to ROWS.</t>
        </is>
      </c>
    </row>
    <row r="58" ht="17" customHeight="1">
      <c r="A58" s="38" t="inlineStr">
        <is>
          <t xml:space="preserve">   • Drag 'Flow Adjusted' to VALUES  (set to Sum or Average).</t>
        </is>
      </c>
    </row>
    <row r="59" ht="17" customHeight="1">
      <c r="A59" s="38" t="inlineStr">
        <is>
          <t xml:space="preserve">   • Drag 'Pressure Adjusted' to VALUES  (set to Sum or Average).</t>
        </is>
      </c>
    </row>
    <row r="60" ht="17" customHeight="1">
      <c r="A60" s="38" t="inlineStr">
        <is>
          <t>4. Right-click a date cell → Group → by Hours or Minutes to control time grouping.</t>
        </is>
      </c>
    </row>
    <row r="61" ht="8" customHeight="1"/>
    <row r="62" ht="16" customHeight="1">
      <c r="A62" s="37" t="inlineStr">
        <is>
          <t>3b.  Add a Flow Name Slicer</t>
        </is>
      </c>
    </row>
    <row r="63" ht="17" customHeight="1">
      <c r="A63" s="38" t="inlineStr">
        <is>
          <t>1. Click anywhere in the PivotTable.</t>
        </is>
      </c>
    </row>
    <row r="64" ht="17" customHeight="1">
      <c r="A64" s="38" t="inlineStr">
        <is>
          <t>2. PivotTable Analyze tab → Insert Slicer.</t>
        </is>
      </c>
    </row>
    <row r="65" ht="17" customHeight="1">
      <c r="A65" s="38" t="inlineStr">
        <is>
          <t>3. Tick 'Flow Name' → OK.</t>
        </is>
      </c>
    </row>
    <row r="66" ht="17" customHeight="1">
      <c r="A66" s="38" t="inlineStr">
        <is>
          <t>4. Click a flow name in the Slicer to filter the PivotTable (and chart) to that flow.</t>
        </is>
      </c>
    </row>
    <row r="67" ht="17" customHeight="1">
      <c r="A67" s="38" t="inlineStr">
        <is>
          <t xml:space="preserve">   Hold Ctrl to select multiple flows.</t>
        </is>
      </c>
    </row>
    <row r="68" ht="8" customHeight="1"/>
    <row r="69" ht="16" customHeight="1">
      <c r="A69" s="37" t="inlineStr">
        <is>
          <t>3c.  Create a PivotChart</t>
        </is>
      </c>
    </row>
    <row r="70" ht="17" customHeight="1">
      <c r="A70" s="38" t="inlineStr">
        <is>
          <t>1. Click anywhere in the PivotTable.</t>
        </is>
      </c>
    </row>
    <row r="71" ht="17" customHeight="1">
      <c r="A71" s="38" t="inlineStr">
        <is>
          <t>2. PivotTable Analyze tab → PivotChart → Line → Line with Markers.</t>
        </is>
      </c>
    </row>
    <row r="72" ht="17" customHeight="1">
      <c r="A72" s="38" t="inlineStr">
        <is>
          <t>3. To add a secondary axis for Pressure:</t>
        </is>
      </c>
    </row>
    <row r="73" ht="17" customHeight="1">
      <c r="A73" s="38" t="inlineStr">
        <is>
          <t xml:space="preserve">   Right-click the Pressure Adjusted series → Format Data Series → Secondary Axis.</t>
        </is>
      </c>
    </row>
    <row r="74" ht="17" customHeight="1">
      <c r="A74" s="38" t="inlineStr">
        <is>
          <t>4. The chart updates automatically when you click a flow in the Slicer.</t>
        </is>
      </c>
    </row>
    <row r="75" ht="8" customHeight="1"/>
    <row r="76" ht="26" customHeight="1">
      <c r="A76" s="40" t="inlineStr">
        <is>
          <t>4.  VBA SAVE BUTTON CODE  (paste this yourself)</t>
        </is>
      </c>
    </row>
    <row r="77" ht="18" customHeight="1">
      <c r="A77" s="35" t="inlineStr">
        <is>
          <t>Press Alt+F11 to open the VBA editor.  Insert → Module, then paste the code below.</t>
        </is>
      </c>
    </row>
    <row r="78" ht="8" customHeight="1"/>
    <row r="79" ht="18" customHeight="1">
      <c r="A79" s="41" t="inlineStr">
        <is>
          <t>' ─────────────────────────────────────────────────────────────────────────────
' SaveToMOD  —  copies the current adjusted table on Dashboard to the MOD tabs
' Assign this macro to a button on the Dashboard sheet.
' ─────────────────────────────────────────────────────────────────────────────
Sub SaveToMOD()
    Dim wsDash      As Worksheet
    Dim wsModFlow   As Worksheet
    Dim wsModPres   As Worksheet
    Set wsDash    = Worksheets("Dashboard")
    Set wsModFlow = Worksheets("MOD Flow")
    Set wsModPres = Worksheets("MOD Pressure")
    ' ── Validate ──────────────────────────────────────────────────────────────
    Dim flowName As String
    flowName = Trim(wsDash.Range("B3").Value)
    If flowName = "" Then
        MsgBox "Please select a flow from the dropdown (cell B3) before saving.", _
               vbExclamation, "No Flow Selected"
        Exit Sub
    End If
    ' ── Find the last data row on Dashboard ──────────────────────────────────
    Const DATA_START As Long = 15        ' first formula row
    Dim lastRow As Long
    lastRow = wsDash.Cells(wsDash.Rows.Count, "A").End(xlUp).Row
    If lastRow &lt; DATA_START Then
        MsgBox "No data found in the formula table (rows 15 onwards).", _
               vbExclamation, "No Data"
        Exit Sub
    End If
    ' ── Find next empty row in each MOD tab ──────────────────────────────────
    Dim nextFlow As Long
    Dim nextPres As Long
    nextFlow = wsModFlow.Cells(wsModFlow.Rows.Count, "A").End(xlUp).Row + 1
    nextPres = wsModPres.Cells(wsModPres.Rows.Count, "A").End(xlUp).Row + 1
    If nextFlow &lt; 3 Then nextFlow = 3    ' skip header + info rows
    If nextPres &lt; 3 Then nextPres = 3
    ' ── Disable screen updates for speed ─────────────────────────────────────
    Application.ScreenUpdating = False
    Dim i           As Long
    Dim savedRows   As Long
    savedRows = 0
    For i = DATA_START To lastRow
        Dim dateVal     As Variant
        Dim flowAdj     As Variant
        Dim presAdj     As Variant
        dateVal = wsDash.Cells(i, "A").Value
        flowAdj = wsDash.Cells(i, "D").Value   ' Flow Adjusted
        presAdj = wsDash.Cells(i, "E").Value   ' Pressure Adjusted
        ' Skip rows where date or both values are empty
        If dateVal = "" Or (flowAdj = "" And presAdj = "") Then GoTo NextRow
        ' Write to MOD Flow
        If flowAdj &lt;&gt; "" Then
            wsModFlow.Cells(nextFlow, "A").Value = dateVal
            wsModFlow.Cells(nextFlow, "A").NumberFormat = "DD/MM/YYYY HH:MM"
            wsModFlow.Cells(nextFlow, "B").Value = flowName
            wsModFlow.Cells(nextFlow, "C").Value = flowAdj
            wsModFlow.Cells(nextFlow, "C").NumberFormat = "0.000"
            nextFlow = nextFlow + 1
        End If
        ' Write to MOD Pressure
        If presAdj &lt;&gt; "" Then
            wsModPres.Cells(nextPres, "A").Value = dateVal
            wsModPres.Cells(nextPres, "A").NumberFormat = "DD/MM/YYYY HH:MM"
            wsModPres.Cells(nextPres, "B").Value = flowName
            wsModPres.Cells(nextPres, "C").Value = presAdj
            wsModPres.Cells(nextPres, "C").NumberFormat = "0.000"
            nextPres = nextPres + 1
        End If
        savedRows = savedRows + 1
NextRow:
    Next i
    Application.ScreenUpdating = True
    If savedRows = 0 Then
        MsgBox "No data rows were saved. Make sure the formula table has data.", _
               vbExclamation, "Nothing Saved"
    Else
        MsgBox "Saved " &amp; savedRows &amp; " rows for flow: " &amp; flowName &amp; Chr(10) &amp; _
               "  → MOD Flow       (" &amp; (nextFlow - 3) &amp; " rows total)" &amp; Chr(10) &amp; _
               "  → MOD Pressure   (" &amp; (nextPres - 3) &amp; " rows total)", _
               vbInformation, "Save Complete"
    End If
End Sub</t>
        </is>
      </c>
    </row>
    <row r="80" ht="8" customHeight="1"/>
    <row r="81" ht="18" customHeight="1">
      <c r="A81" s="42" t="inlineStr">
        <is>
          <t>To add a button:  Developer tab → Insert → Button (Form Control) → draw on Dashboard → assign macro SaveToMOD.</t>
        </is>
      </c>
    </row>
    <row r="82" ht="18" customHeight="1">
      <c r="A82" s="42" t="inlineStr">
        <is>
          <t>If the Developer tab is not visible:  File → Options → Customise Ribbon → tick Developer.</t>
        </is>
      </c>
    </row>
    <row r="83" ht="8" customHeight="1"/>
    <row r="84" ht="26" customHeight="1">
      <c r="A84" s="43" t="inlineStr">
        <is>
          <t>5.  DATA FORMAT REFERENCE</t>
        </is>
      </c>
    </row>
    <row r="85" ht="17" customHeight="1">
      <c r="A85" s="35" t="inlineStr">
        <is>
          <t>Both Raw Data sheets expect this wide format:</t>
        </is>
      </c>
    </row>
    <row r="86" ht="17" customHeight="1">
      <c r="A86" s="35" t="inlineStr"/>
    </row>
    <row r="87" ht="17" customHeight="1">
      <c r="A87" s="35" t="inlineStr">
        <is>
          <t xml:space="preserve">    Date               | AL012       | AL013       | AL014       | ...  </t>
        </is>
      </c>
    </row>
    <row r="88" ht="17" customHeight="1">
      <c r="A88" s="35" t="inlineStr">
        <is>
          <t xml:space="preserve">    12/01/2026 00:00   | 3.168205    | 2.204250    | 2.665153    | ...  </t>
        </is>
      </c>
    </row>
    <row r="89" ht="17" customHeight="1">
      <c r="A89" s="35" t="inlineStr">
        <is>
          <t xml:space="preserve">    12/01/2026 00:15   | 3.190769    | 2.225250    | 2.681334    | ...  </t>
        </is>
      </c>
    </row>
    <row r="90" ht="17" customHeight="1">
      <c r="A90" s="35" t="inlineStr"/>
    </row>
    <row r="91" ht="17" customHeight="1">
      <c r="A91" s="35" t="inlineStr">
        <is>
          <t>• Column A must be a Date/Time value (not text).</t>
        </is>
      </c>
    </row>
    <row r="92" ht="17" customHeight="1">
      <c r="A92" s="35" t="inlineStr">
        <is>
          <t>• Flow/pressure names can be any combination of letters and numbers (AL012, AM005, AF037, etc.).</t>
        </is>
      </c>
    </row>
    <row r="93" ht="17" customHeight="1">
      <c r="A93" s="35" t="inlineStr">
        <is>
          <t>• Use -999 to represent missing / no-data values — they are excluded from all calculations.</t>
        </is>
      </c>
    </row>
    <row r="94" ht="17" customHeight="1">
      <c r="A94" s="35" t="inlineStr">
        <is>
          <t>• Data can be any length (months of 15-minute intervals = thousands of rows).</t>
        </is>
      </c>
    </row>
    <row r="95" ht="17" customHeight="1">
      <c r="A95" s="35" t="inlineStr">
        <is>
          <t>• Both sheets must use the same flow/pressure names (column headers must match).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2026-03-24T18:47:07Z</dcterms:created>
  <dcterms:modified xsi:type="dcterms:W3CDTF">2026-03-24T18:47:07Z</dcterms:modified>
</cp:coreProperties>
</file>