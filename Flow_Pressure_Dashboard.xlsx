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aw Flow Data" sheetId="1" state="visible" r:id="rId1"/>
    <sheet name="Raw Pressure Data" sheetId="2" state="visible" r:id="rId2"/>
    <sheet name="Dashboard" sheetId="3" state="visible" r:id="rId3"/>
    <sheet name="MOD Flow" sheetId="4" state="visible" r:id="rId4"/>
    <sheet name="MOD Pressure" sheetId="5" state="visible" r:id="rId5"/>
    <sheet name="Instructions" sheetId="6" state="visible" r:id="rId6"/>
  </sheets>
  <definedNames/>
  <calcPr calcId="124519" calcMode="auto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/MM/YYYY HH:MM"/>
    <numFmt numFmtId="166" formatCode="0.000000"/>
    <numFmt numFmtId="167" formatCode="0.000"/>
  </numFmts>
  <fonts count="14">
    <font>
      <name val="Calibri"/>
      <family val="2"/>
      <color theme="1"/>
      <sz val="11"/>
      <scheme val="minor"/>
    </font>
    <font>
      <b val="1"/>
      <color rgb="00FFFFFF"/>
      <sz val="10"/>
    </font>
    <font>
      <i val="1"/>
      <color rgb="00595959"/>
      <sz val="9"/>
    </font>
    <font>
      <b val="1"/>
      <color rgb="00FFFFFF"/>
      <sz val="14"/>
    </font>
    <font>
      <b val="1"/>
      <color rgb="00000000"/>
      <sz val="10"/>
    </font>
    <font>
      <b val="1"/>
      <color rgb="00000000"/>
      <sz val="11"/>
    </font>
    <font>
      <b val="1"/>
      <color rgb="001F4E79"/>
      <sz val="11"/>
    </font>
    <font>
      <b val="1"/>
      <color rgb="00000000"/>
      <sz val="12"/>
    </font>
    <font>
      <b val="1"/>
      <color rgb="00C55A11"/>
      <sz val="11"/>
    </font>
    <font>
      <b val="1"/>
      <color rgb="00FFFFFF"/>
      <sz val="9"/>
    </font>
    <font>
      <b val="1"/>
      <color rgb="00FFFFFF"/>
      <sz val="11"/>
    </font>
    <font>
      <color rgb="00000000"/>
      <sz val="10"/>
    </font>
    <font>
      <i val="1"/>
      <color rgb="00595959"/>
      <sz val="10"/>
    </font>
    <font>
      <color rgb="00000000"/>
      <sz val="9"/>
    </font>
  </fonts>
  <fills count="1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2E75B6"/>
      </patternFill>
    </fill>
    <fill>
      <patternFill patternType="solid">
        <fgColor rgb="00FCE4D6"/>
      </patternFill>
    </fill>
    <fill>
      <patternFill patternType="solid">
        <fgColor rgb="00E2EFDA"/>
      </patternFill>
    </fill>
    <fill>
      <patternFill patternType="solid">
        <fgColor rgb="00BDD7EE"/>
      </patternFill>
    </fill>
    <fill>
      <patternFill patternType="solid">
        <fgColor rgb="00C55A11"/>
      </patternFill>
    </fill>
    <fill>
      <patternFill patternType="solid">
        <fgColor rgb="00375623"/>
      </patternFill>
    </fill>
    <fill>
      <patternFill patternType="solid">
        <fgColor rgb="00FFF2CC"/>
      </patternFill>
    </fill>
    <fill>
      <patternFill patternType="solid">
        <fgColor rgb="00D6E4BC"/>
      </patternFill>
    </fill>
    <fill>
      <patternFill patternType="solid">
        <fgColor rgb="00F2F2F2"/>
      </patternFill>
    </fill>
    <fill>
      <patternFill patternType="solid">
        <fgColor rgb="007030A0"/>
      </patternFill>
    </fill>
    <fill>
      <patternFill patternType="solid">
        <fgColor rgb="00595959"/>
      </patternFill>
    </fill>
  </fills>
  <borders count="6">
    <border>
      <left/>
      <right/>
      <top/>
      <bottom/>
      <diagonal/>
    </border>
    <border>
      <left style="thin"/>
      <right style="thin"/>
      <top style="thin"/>
      <bottom style="thin"/>
    </border>
    <border>
      <left style="medium"/>
      <right style="medium"/>
      <top style="medium"/>
      <bottom style="medium"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/>
      <right style="thin"/>
      <top style="thin"/>
      <bottom style="thin"/>
      <diagonal/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1" fillId="3" borderId="1" applyAlignment="1" pivotButton="0" quotePrefix="0" xfId="0">
      <alignment horizontal="center" vertical="center"/>
    </xf>
    <xf numFmtId="165" fontId="0" fillId="0" borderId="0" applyAlignment="1" pivotButton="0" quotePrefix="0" xfId="0">
      <alignment horizontal="center" vertical="center"/>
    </xf>
    <xf numFmtId="166" fontId="0" fillId="0" borderId="0" applyAlignment="1" pivotButton="0" quotePrefix="0" xfId="0">
      <alignment horizontal="right"/>
    </xf>
    <xf numFmtId="0" fontId="2" fillId="0" borderId="0" applyAlignment="1" pivotButton="0" quotePrefix="0" xfId="0">
      <alignment wrapText="1"/>
    </xf>
    <xf numFmtId="0" fontId="3" fillId="2" borderId="0" applyAlignment="1" pivotButton="0" quotePrefix="0" xfId="0">
      <alignment horizontal="left" vertical="center" indent="1"/>
    </xf>
    <xf numFmtId="0" fontId="4" fillId="0" borderId="0" applyAlignment="1" pivotButton="0" quotePrefix="0" xfId="0">
      <alignment horizontal="left" vertical="center"/>
    </xf>
    <xf numFmtId="167" fontId="5" fillId="4" borderId="2" applyAlignment="1" pivotButton="0" quotePrefix="0" xfId="0">
      <alignment horizontal="center" vertical="center"/>
    </xf>
    <xf numFmtId="167" fontId="5" fillId="5" borderId="2" applyAlignment="1" pivotButton="0" quotePrefix="0" xfId="0">
      <alignment horizontal="center" vertical="center"/>
    </xf>
    <xf numFmtId="0" fontId="6" fillId="0" borderId="0" applyAlignment="1" pivotButton="0" quotePrefix="0" xfId="0">
      <alignment horizontal="left" vertical="center"/>
    </xf>
    <xf numFmtId="0" fontId="7" fillId="6" borderId="2" applyAlignment="1" pivotButton="0" quotePrefix="0" xfId="0">
      <alignment horizontal="center" vertical="center"/>
    </xf>
    <xf numFmtId="0" fontId="8" fillId="0" borderId="0" applyAlignment="1" pivotButton="0" quotePrefix="0" xfId="0">
      <alignment horizontal="left" vertical="center"/>
    </xf>
    <xf numFmtId="0" fontId="7" fillId="4" borderId="2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9" fillId="7" borderId="0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0" fillId="0" borderId="5" pivotButton="0" quotePrefix="0" xfId="0"/>
    <xf numFmtId="0" fontId="9" fillId="2" borderId="0" applyAlignment="1" pivotButton="0" quotePrefix="0" xfId="0">
      <alignment horizontal="left" vertical="center" indent="1"/>
    </xf>
    <xf numFmtId="0" fontId="1" fillId="7" borderId="1" applyAlignment="1" pivotButton="0" quotePrefix="0" xfId="0">
      <alignment horizontal="center" vertical="center"/>
    </xf>
    <xf numFmtId="0" fontId="1" fillId="8" borderId="1" applyAlignment="1" pivotButton="0" quotePrefix="0" xfId="0">
      <alignment horizontal="center" vertical="center"/>
    </xf>
    <xf numFmtId="165" fontId="0" fillId="0" borderId="0" applyAlignment="1" pivotButton="0" quotePrefix="0" xfId="0">
      <alignment horizontal="center"/>
    </xf>
    <xf numFmtId="167" fontId="0" fillId="0" borderId="0" applyAlignment="1" pivotButton="0" quotePrefix="0" xfId="0">
      <alignment horizontal="right"/>
    </xf>
    <xf numFmtId="167" fontId="0" fillId="9" borderId="0" applyAlignment="1" pivotButton="0" quotePrefix="0" xfId="0">
      <alignment horizontal="right"/>
    </xf>
    <xf numFmtId="167" fontId="0" fillId="10" borderId="0" applyAlignment="1" pivotButton="0" quotePrefix="0" xfId="0">
      <alignment horizontal="right"/>
    </xf>
    <xf numFmtId="165" fontId="0" fillId="11" borderId="0" applyAlignment="1" pivotButton="0" quotePrefix="0" xfId="0">
      <alignment horizontal="center"/>
    </xf>
    <xf numFmtId="167" fontId="0" fillId="11" borderId="0" applyAlignment="1" pivotButton="0" quotePrefix="0" xfId="0">
      <alignment horizontal="right"/>
    </xf>
    <xf numFmtId="167" fontId="0" fillId="4" borderId="0" applyAlignment="1" pivotButton="0" quotePrefix="0" xfId="0">
      <alignment horizontal="right"/>
    </xf>
    <xf numFmtId="167" fontId="0" fillId="5" borderId="0" applyAlignment="1" pivotButton="0" quotePrefix="0" xfId="0">
      <alignment horizontal="right"/>
    </xf>
    <xf numFmtId="0" fontId="10" fillId="3" borderId="0" applyAlignment="1" pivotButton="0" quotePrefix="0" xfId="0">
      <alignment horizontal="left" vertical="center" indent="1"/>
    </xf>
    <xf numFmtId="0" fontId="11" fillId="0" borderId="0" applyAlignment="1" pivotButton="0" quotePrefix="0" xfId="0">
      <alignment horizontal="left" vertical="center" wrapText="1" indent="2"/>
    </xf>
    <xf numFmtId="0" fontId="10" fillId="7" borderId="0" applyAlignment="1" pivotButton="0" quotePrefix="0" xfId="0">
      <alignment horizontal="left" vertical="center" indent="1"/>
    </xf>
    <xf numFmtId="0" fontId="10" fillId="8" borderId="0" applyAlignment="1" pivotButton="0" quotePrefix="0" xfId="0">
      <alignment horizontal="left" vertical="center" indent="1"/>
    </xf>
    <xf numFmtId="0" fontId="10" fillId="12" borderId="0" applyAlignment="1" pivotButton="0" quotePrefix="0" xfId="0">
      <alignment horizontal="left" vertical="center" indent="1"/>
    </xf>
    <xf numFmtId="0" fontId="12" fillId="0" borderId="0" applyAlignment="1" pivotButton="0" quotePrefix="0" xfId="0">
      <alignment horizontal="left" vertical="center" wrapText="1" indent="2"/>
    </xf>
    <xf numFmtId="0" fontId="13" fillId="11" borderId="0" applyAlignment="1" pivotButton="0" quotePrefix="0" xfId="0">
      <alignment horizontal="left" vertical="center" wrapText="1"/>
    </xf>
    <xf numFmtId="0" fontId="10" fillId="13" borderId="0" applyAlignment="1" pivotButton="0" quotePrefix="0" xfId="0">
      <alignment horizontal="left" vertical="center" indent="1"/>
    </xf>
  </cellXfs>
  <cellStyles count="1">
    <cellStyle name="Normal" xfId="0" builtinId="0" hidden="0"/>
  </cellStyles>
  <dxfs count="2">
    <dxf>
      <font>
        <b val="1"/>
        <color rgb="001F4E79"/>
        <sz val="10"/>
      </font>
      <fill>
        <patternFill patternType="solid">
          <fgColor rgb="00BDD7EE"/>
        </patternFill>
      </fill>
    </dxf>
    <dxf>
      <font>
        <b val="1"/>
        <color rgb="00C55A11"/>
        <sz val="10"/>
      </font>
      <fill>
        <patternFill patternType="solid">
          <fgColor rgb="00FCE4D6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style val="10"/>
  <c:chart>
    <c:title>
      <c:tx>
        <c:rich>
          <a:bodyPr/>
          <a:lstStyle/>
          <a:p>
            <a:pPr>
              <a:defRPr/>
            </a:pPr>
            <a:r>
              <a:t>Flow &amp; Pressure Analysis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Dashboard!$C$24</c:f>
            </c:strRef>
          </c:tx>
          <c:spPr>
            <a:ln w="20000">
              <a:solidFill>
                <a:srgbClr val="2E75B6"/>
              </a:solidFill>
            </a:ln>
          </c:spPr>
          <c:marker>
            <c:symbol val="none"/>
          </c:marker>
          <c:smooth val="0"/>
          <c:cat>
            <c:numRef>
              <c:f>Dashboard!$A$25:$A$124</c:f>
            </c:numRef>
          </c:cat>
          <c:val>
            <c:numRef>
              <c:f>Dashboard!$C$25:$C$124</c:f>
            </c:numRef>
          </c:val>
        </c:ser>
        <c:marker>
          <c:symbol val="none"/>
        </c:marker>
        <c:smooth val="0"/>
        <c:axId val="1001"/>
        <c:axId val="1002"/>
      </c:lineChart>
      <c:lineChart>
        <c:grouping val="standard"/>
        <c:varyColors val="0"/>
        <c:ser>
          <c:idx val="1"/>
          <c:order val="1"/>
          <c:tx>
            <c:strRef>
              <c:f>Dashboard!$E$24</c:f>
            </c:strRef>
          </c:tx>
          <c:spPr>
            <a:ln w="20000">
              <a:solidFill>
                <a:srgbClr val="C55A11"/>
              </a:solidFill>
            </a:ln>
          </c:spPr>
          <c:marker>
            <c:symbol val="none"/>
          </c:marker>
          <c:smooth val="0"/>
          <c:cat>
            <c:numRef>
              <c:f>Dashboard!$A$25:$A$124</c:f>
            </c:numRef>
          </c:cat>
          <c:val>
            <c:numRef>
              <c:f>Dashboard!$E$25:$E$124</c:f>
            </c:numRef>
          </c:val>
        </c:ser>
        <c:marker>
          <c:symbol val="none"/>
        </c:marker>
        <c:smooth val="0"/>
        <c:axId val="1001"/>
        <c:axId val="1003"/>
      </c:lineChart>
      <c:catAx>
        <c:axId val="1001"/>
        <c:scaling>
          <c:orientation val="minMax"/>
        </c:scaling>
        <c:delete val="0"/>
        <c:axPos val="b"/>
        <c:numFmt formatCode="m/d/yy" sourceLinked="1"/>
        <c:majorTickMark val="out"/>
        <c:minorTickMark val="none"/>
        <c:tickLblPos val="nextTo"/>
        <c:crossAx val="1002"/>
        <c:auto val="1"/>
        <c:lblAlign val="ctr"/>
        <c:lblOffset val="100"/>
        <c:noMultiLvlLbl val="0"/>
      </c:catAx>
      <c:valAx>
        <c:axId val="1002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Flow Adjusted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1001"/>
        <c:crosses val="autoZero"/>
        <c:crossBetween val="between"/>
      </c:valAx>
      <c:valAx>
        <c:axId val="1003"/>
        <c:scaling>
          <c:orientation val="minMax"/>
        </c:scaling>
        <c:delete val="0"/>
        <c:axPos val="r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Pressure Adjusted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1001"/>
        <c:crosses val="max"/>
        <c:crossBetween val="between"/>
      </c:valAx>
    </c:plotArea>
    <c:legend>
      <c:legendPos val="r"/>
      <c:overlay val="0"/>
    </c:legend>
    <c:plotVisOnly val="1"/>
    <c:dispBlanksAs val="gap"/>
    <c:showDLblsOverMax val="0"/>
  </c:chart>
</c: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0</row>
      <rowOff>0</rowOff>
    </from>
    <ext cx="720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FlowData" displayName="FlowData" ref="A1:Q29" headerRowCount="1">
  <autoFilter ref="A1:Q29"/>
  <tableColumns count="17">
    <tableColumn id="1" name="Date"/>
    <tableColumn id="2" name="AL012"/>
    <tableColumn id="3" name="AL013"/>
    <tableColumn id="4" name="AL014"/>
    <tableColumn id="5" name="AL023"/>
    <tableColumn id="6" name="AL028"/>
    <tableColumn id="7" name="AL029"/>
    <tableColumn id="8" name="AL035"/>
    <tableColumn id="9" name="AL036"/>
    <tableColumn id="10" name="AL038"/>
    <tableColumn id="11" name="AL063"/>
    <tableColumn id="12" name="AM005"/>
    <tableColumn id="13" name="AM014"/>
    <tableColumn id="14" name="AM015"/>
    <tableColumn id="15" name="AM022"/>
    <tableColumn id="16" name="AM024"/>
    <tableColumn id="17" name="AM026"/>
  </tableColumns>
  <tableStyleInfo name="TableStyleMedium2" showRowStripes="1" showColumnStripes="0"/>
</table>
</file>

<file path=xl/tables/table2.xml><?xml version="1.0" encoding="utf-8"?>
<table xmlns="http://schemas.openxmlformats.org/spreadsheetml/2006/main" id="2" name="PressureData" displayName="PressureData" ref="A1:Q29" headerRowCount="1">
  <autoFilter ref="A1:Q29"/>
  <tableColumns count="17">
    <tableColumn id="1" name="Date"/>
    <tableColumn id="2" name="AL012"/>
    <tableColumn id="3" name="AL013"/>
    <tableColumn id="4" name="AL014"/>
    <tableColumn id="5" name="AL023"/>
    <tableColumn id="6" name="AL028"/>
    <tableColumn id="7" name="AL029"/>
    <tableColumn id="8" name="AL035"/>
    <tableColumn id="9" name="AL036"/>
    <tableColumn id="10" name="AL038"/>
    <tableColumn id="11" name="AL063"/>
    <tableColumn id="12" name="AM005"/>
    <tableColumn id="13" name="AM014"/>
    <tableColumn id="14" name="AM015"/>
    <tableColumn id="15" name="AM022"/>
    <tableColumn id="16" name="AM024"/>
    <tableColumn id="17" name="AM026"/>
  </tableColumns>
  <tableStyleInfo name="TableStyleMedium2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cols>
    <col width="21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</cols>
  <sheetData>
    <row r="1" ht="22" customHeight="1">
      <c r="A1" s="1" t="inlineStr">
        <is>
          <t>Date</t>
        </is>
      </c>
      <c r="B1" s="2" t="inlineStr">
        <is>
          <t>AL012</t>
        </is>
      </c>
      <c r="C1" s="2" t="inlineStr">
        <is>
          <t>AL013</t>
        </is>
      </c>
      <c r="D1" s="2" t="inlineStr">
        <is>
          <t>AL014</t>
        </is>
      </c>
      <c r="E1" s="2" t="inlineStr">
        <is>
          <t>AL023</t>
        </is>
      </c>
      <c r="F1" s="2" t="inlineStr">
        <is>
          <t>AL028</t>
        </is>
      </c>
      <c r="G1" s="2" t="inlineStr">
        <is>
          <t>AL029</t>
        </is>
      </c>
      <c r="H1" s="2" t="inlineStr">
        <is>
          <t>AL035</t>
        </is>
      </c>
      <c r="I1" s="2" t="inlineStr">
        <is>
          <t>AL036</t>
        </is>
      </c>
      <c r="J1" s="2" t="inlineStr">
        <is>
          <t>AL038</t>
        </is>
      </c>
      <c r="K1" s="2" t="inlineStr">
        <is>
          <t>AL063</t>
        </is>
      </c>
      <c r="L1" s="2" t="inlineStr">
        <is>
          <t>AM005</t>
        </is>
      </c>
      <c r="M1" s="2" t="inlineStr">
        <is>
          <t>AM014</t>
        </is>
      </c>
      <c r="N1" s="2" t="inlineStr">
        <is>
          <t>AM015</t>
        </is>
      </c>
      <c r="O1" s="2" t="inlineStr">
        <is>
          <t>AM022</t>
        </is>
      </c>
      <c r="P1" s="2" t="inlineStr">
        <is>
          <t>AM024</t>
        </is>
      </c>
      <c r="Q1" s="2" t="inlineStr">
        <is>
          <t>AM026</t>
        </is>
      </c>
    </row>
    <row r="2">
      <c r="A2" s="3" t="n">
        <v>46357</v>
      </c>
      <c r="B2" s="4" t="n">
        <v>3.168205</v>
      </c>
      <c r="C2" s="4" t="n">
        <v>2.20425</v>
      </c>
      <c r="D2" s="4" t="n">
        <v>2.665153</v>
      </c>
      <c r="E2" s="4" t="n">
        <v>3.43625</v>
      </c>
      <c r="F2" s="4" t="n">
        <v>3.225157</v>
      </c>
      <c r="G2" s="4" t="n">
        <v>2.57455</v>
      </c>
      <c r="H2" s="4" t="n">
        <v>3.67</v>
      </c>
      <c r="I2" s="4" t="n">
        <v>2.038</v>
      </c>
      <c r="J2" s="4" t="n">
        <v>3.130835</v>
      </c>
      <c r="K2" s="4" t="n">
        <v>4.02125</v>
      </c>
      <c r="L2" s="4" t="n">
        <v>22.68599</v>
      </c>
      <c r="M2" s="4" t="n">
        <v>19.81207</v>
      </c>
      <c r="N2" s="4" t="n">
        <v>-999</v>
      </c>
      <c r="O2" s="4" t="n">
        <v>16.92209</v>
      </c>
      <c r="P2" s="4" t="n">
        <v>16.58575</v>
      </c>
      <c r="Q2" s="4" t="n">
        <v>18.88019</v>
      </c>
    </row>
    <row r="3">
      <c r="A3" s="3" t="n">
        <v>46357.01041666666</v>
      </c>
      <c r="B3" s="4" t="n">
        <v>3.190769</v>
      </c>
      <c r="C3" s="4" t="n">
        <v>2.22525</v>
      </c>
      <c r="D3" s="4" t="n">
        <v>2.681334</v>
      </c>
      <c r="E3" s="4" t="n">
        <v>3.41125</v>
      </c>
      <c r="F3" s="4" t="n">
        <v>3.236456</v>
      </c>
      <c r="G3" s="4" t="n">
        <v>2.583137</v>
      </c>
      <c r="H3" s="4" t="n">
        <v>3.68375</v>
      </c>
      <c r="I3" s="4" t="n">
        <v>2.049</v>
      </c>
      <c r="J3" s="4" t="n">
        <v>3.145557</v>
      </c>
      <c r="K3" s="4" t="n">
        <v>4.04875</v>
      </c>
      <c r="L3" s="4" t="n">
        <v>22.45106</v>
      </c>
      <c r="M3" s="4" t="n">
        <v>19.72593</v>
      </c>
      <c r="N3" s="4" t="n">
        <v>-999</v>
      </c>
      <c r="O3" s="4" t="n">
        <v>17.1022</v>
      </c>
      <c r="P3" s="4" t="n">
        <v>18.43384</v>
      </c>
      <c r="Q3" s="4" t="n">
        <v>15.47377</v>
      </c>
    </row>
    <row r="4">
      <c r="A4" s="3" t="n">
        <v>46357.02083333334</v>
      </c>
      <c r="B4" s="4" t="n">
        <v>3.21641</v>
      </c>
      <c r="C4" s="4" t="n">
        <v>2.24625</v>
      </c>
      <c r="D4" s="4" t="n">
        <v>2.674793</v>
      </c>
      <c r="E4" s="4" t="n">
        <v>3.3875</v>
      </c>
      <c r="F4" s="4" t="n">
        <v>3.262896</v>
      </c>
      <c r="G4" s="4" t="n">
        <v>2.597148</v>
      </c>
      <c r="H4" s="4" t="n">
        <v>3.7075</v>
      </c>
      <c r="I4" s="4" t="n">
        <v>2.06</v>
      </c>
      <c r="J4" s="4" t="n">
        <v>3.148535</v>
      </c>
      <c r="K4" s="4" t="n">
        <v>4.07375</v>
      </c>
      <c r="L4" s="4" t="n">
        <v>22.20831</v>
      </c>
      <c r="M4" s="4" t="n">
        <v>19.66328</v>
      </c>
      <c r="N4" s="4" t="n">
        <v>-999</v>
      </c>
      <c r="O4" s="4" t="n">
        <v>16.90642</v>
      </c>
      <c r="P4" s="4" t="n">
        <v>18.70008</v>
      </c>
      <c r="Q4" s="4" t="n">
        <v>16.69538</v>
      </c>
    </row>
    <row r="5">
      <c r="A5" s="3" t="n">
        <v>46357.03125</v>
      </c>
      <c r="B5" s="4" t="n">
        <v>3.242051</v>
      </c>
      <c r="C5" s="4" t="n">
        <v>2.26575</v>
      </c>
      <c r="D5" s="4" t="n">
        <v>2.707717</v>
      </c>
      <c r="E5" s="4" t="n">
        <v>3.3925</v>
      </c>
      <c r="F5" s="4" t="n">
        <v>3.289562</v>
      </c>
      <c r="G5" s="4" t="n">
        <v>2.612967</v>
      </c>
      <c r="H5" s="4" t="n">
        <v>3.73125</v>
      </c>
      <c r="I5" s="4" t="n">
        <v>2.072</v>
      </c>
      <c r="J5" s="4" t="n">
        <v>3.148144</v>
      </c>
      <c r="K5" s="4" t="n">
        <v>4.12375</v>
      </c>
      <c r="L5" s="4" t="n">
        <v>21.40173</v>
      </c>
      <c r="M5" s="4" t="n">
        <v>19.91387</v>
      </c>
      <c r="N5" s="4" t="n">
        <v>-999</v>
      </c>
      <c r="O5" s="4" t="n">
        <v>16.70282</v>
      </c>
      <c r="P5" s="4" t="n">
        <v>18.12843</v>
      </c>
      <c r="Q5" s="4" t="n">
        <v>13.89194</v>
      </c>
    </row>
    <row r="6">
      <c r="A6" s="3" t="n">
        <v>46357.04166666666</v>
      </c>
      <c r="B6" s="4" t="n">
        <v>3.265641</v>
      </c>
      <c r="C6" s="4" t="n">
        <v>2.28675</v>
      </c>
      <c r="D6" s="4" t="n">
        <v>2.73515</v>
      </c>
      <c r="E6" s="4" t="n">
        <v>3.43375</v>
      </c>
      <c r="F6" s="4" t="n">
        <v>3.29363</v>
      </c>
      <c r="G6" s="4" t="n">
        <v>2.629012</v>
      </c>
      <c r="H6" s="4" t="n">
        <v>3.7575</v>
      </c>
      <c r="I6" s="4" t="n">
        <v>2.084</v>
      </c>
      <c r="J6" s="4" t="n">
        <v>3.140112</v>
      </c>
      <c r="K6" s="4" t="n">
        <v>4.15</v>
      </c>
      <c r="L6" s="4" t="n">
        <v>21.87158</v>
      </c>
      <c r="M6" s="4" t="n">
        <v>19.90604</v>
      </c>
      <c r="N6" s="4" t="n">
        <v>-999</v>
      </c>
      <c r="O6" s="4" t="n">
        <v>16.92992</v>
      </c>
      <c r="P6" s="4" t="n">
        <v>18.02663</v>
      </c>
      <c r="Q6" s="4" t="n">
        <v>13.51606</v>
      </c>
    </row>
    <row r="7">
      <c r="A7" s="3" t="n">
        <v>46357.05208333334</v>
      </c>
      <c r="B7" s="4" t="n">
        <v>3.289231</v>
      </c>
      <c r="C7" s="4" t="n">
        <v>2.3085</v>
      </c>
      <c r="D7" s="4" t="n">
        <v>2.76107</v>
      </c>
      <c r="E7" s="4" t="n">
        <v>3.4725</v>
      </c>
      <c r="F7" s="4" t="n">
        <v>3.295212</v>
      </c>
      <c r="G7" s="4" t="n">
        <v>2.642345</v>
      </c>
      <c r="H7" s="4" t="n">
        <v>3.78375</v>
      </c>
      <c r="I7" s="4" t="n">
        <v>2.096</v>
      </c>
      <c r="J7" s="4" t="n">
        <v>3.131763</v>
      </c>
      <c r="K7" s="4" t="n">
        <v>4.20125</v>
      </c>
      <c r="L7" s="4" t="n">
        <v>21.9264</v>
      </c>
      <c r="M7" s="4" t="n">
        <v>19.55365</v>
      </c>
      <c r="N7" s="4" t="n">
        <v>-999</v>
      </c>
      <c r="O7" s="4" t="n">
        <v>17.04738</v>
      </c>
      <c r="P7" s="4" t="n">
        <v>19.00549</v>
      </c>
      <c r="Q7" s="4" t="n">
        <v>14.4401</v>
      </c>
    </row>
    <row r="8">
      <c r="A8" s="3" t="n">
        <v>46357.0625</v>
      </c>
      <c r="B8" s="4" t="n">
        <v>3.31282</v>
      </c>
      <c r="C8" s="4" t="n">
        <v>2.331</v>
      </c>
      <c r="D8" s="4" t="n">
        <v>2.780839</v>
      </c>
      <c r="E8" s="4" t="n">
        <v>3.52</v>
      </c>
      <c r="F8" s="4" t="n">
        <v>3.299054</v>
      </c>
      <c r="G8" s="4" t="n">
        <v>2.654774</v>
      </c>
      <c r="H8" s="4" t="n">
        <v>3.81125</v>
      </c>
      <c r="I8" s="4" t="n">
        <v>2.109</v>
      </c>
      <c r="J8" s="4" t="n">
        <v>3.122534</v>
      </c>
      <c r="K8" s="4" t="n">
        <v>4.22875</v>
      </c>
      <c r="L8" s="4" t="n">
        <v>21.77761</v>
      </c>
      <c r="M8" s="4" t="n">
        <v>19.82773</v>
      </c>
      <c r="N8" s="4" t="n">
        <v>-999</v>
      </c>
      <c r="O8" s="4" t="n">
        <v>16.8751</v>
      </c>
      <c r="P8" s="4" t="n">
        <v>18.58262</v>
      </c>
      <c r="Q8" s="4" t="n">
        <v>13.68834</v>
      </c>
    </row>
    <row r="9">
      <c r="A9" s="3" t="n">
        <v>46357.07291666666</v>
      </c>
      <c r="B9" s="4" t="n">
        <v>3.33641</v>
      </c>
      <c r="C9" s="4" t="n">
        <v>2.3535</v>
      </c>
      <c r="D9" s="4" t="n">
        <v>2.799314</v>
      </c>
      <c r="E9" s="4" t="n">
        <v>3.5475</v>
      </c>
      <c r="F9" s="4" t="n">
        <v>3.304251</v>
      </c>
      <c r="G9" s="4" t="n">
        <v>2.667655</v>
      </c>
      <c r="H9" s="4" t="n">
        <v>3.83625</v>
      </c>
      <c r="I9" s="4" t="n">
        <v>2.122</v>
      </c>
      <c r="J9" s="4" t="n">
        <v>3.124414</v>
      </c>
      <c r="K9" s="4" t="n">
        <v>4.27875</v>
      </c>
      <c r="L9" s="4" t="n">
        <v>22.25529</v>
      </c>
      <c r="M9" s="4" t="n">
        <v>20.39155</v>
      </c>
      <c r="N9" s="4" t="n">
        <v>-999</v>
      </c>
      <c r="O9" s="4" t="n">
        <v>16.96907</v>
      </c>
      <c r="P9" s="4" t="n">
        <v>18.61395</v>
      </c>
      <c r="Q9" s="4" t="n">
        <v>13.22632</v>
      </c>
    </row>
    <row r="10">
      <c r="A10" s="3" t="n">
        <v>46357.08333333334</v>
      </c>
      <c r="B10" s="4" t="n">
        <v>3.361026</v>
      </c>
      <c r="C10" s="4" t="n">
        <v>2.376</v>
      </c>
      <c r="D10" s="4" t="n">
        <v>2.818888</v>
      </c>
      <c r="E10" s="4" t="n">
        <v>3.56875</v>
      </c>
      <c r="F10" s="4" t="n">
        <v>3.311031</v>
      </c>
      <c r="G10" s="4" t="n">
        <v>2.679632</v>
      </c>
      <c r="H10" s="4" t="n">
        <v>3.86375</v>
      </c>
      <c r="I10" s="4" t="n">
        <v>2.134</v>
      </c>
      <c r="J10" s="4" t="n">
        <v>3.126025</v>
      </c>
      <c r="K10" s="4" t="n">
        <v>4.305</v>
      </c>
      <c r="L10" s="4" t="n">
        <v>21.56618</v>
      </c>
      <c r="M10" s="4" t="n">
        <v>19.71027</v>
      </c>
      <c r="N10" s="4" t="n">
        <v>-999</v>
      </c>
      <c r="O10" s="4" t="n">
        <v>17.07087</v>
      </c>
      <c r="P10" s="4" t="n">
        <v>18.55913</v>
      </c>
      <c r="Q10" s="4" t="n">
        <v>15.30149</v>
      </c>
    </row>
    <row r="11">
      <c r="A11" s="3" t="n">
        <v>46357.09375</v>
      </c>
      <c r="B11" s="4" t="n">
        <v>3.386667</v>
      </c>
      <c r="C11" s="4" t="n">
        <v>2.39925</v>
      </c>
      <c r="D11" s="4" t="n">
        <v>2.838779</v>
      </c>
      <c r="E11" s="4" t="n">
        <v>3.5625</v>
      </c>
      <c r="F11" s="4" t="n">
        <v>3.319166</v>
      </c>
      <c r="G11" s="4" t="n">
        <v>2.690253</v>
      </c>
      <c r="H11" s="4" t="n">
        <v>3.89125</v>
      </c>
      <c r="I11" s="4" t="n">
        <v>2.132</v>
      </c>
      <c r="J11" s="4" t="n">
        <v>3.146167</v>
      </c>
      <c r="K11" s="4" t="n">
        <v>4.35625</v>
      </c>
      <c r="L11" s="4" t="n">
        <v>22.04386</v>
      </c>
      <c r="M11" s="4" t="n">
        <v>20.29758</v>
      </c>
      <c r="N11" s="4" t="n">
        <v>-999</v>
      </c>
      <c r="O11" s="4" t="n">
        <v>17.27448</v>
      </c>
      <c r="P11" s="4" t="n">
        <v>18.80189</v>
      </c>
      <c r="Q11" s="4" t="n">
        <v>13.704</v>
      </c>
    </row>
    <row r="12">
      <c r="A12" s="3" t="n">
        <v>46357.10416666666</v>
      </c>
      <c r="B12" s="4" t="n">
        <v>3.408205</v>
      </c>
      <c r="C12" s="4" t="n">
        <v>2.42175</v>
      </c>
      <c r="D12" s="4" t="n">
        <v>2.859207</v>
      </c>
      <c r="E12" s="4" t="n">
        <v>3.5325</v>
      </c>
      <c r="F12" s="4" t="n">
        <v>3.327754</v>
      </c>
      <c r="G12" s="4" t="n">
        <v>2.700649</v>
      </c>
      <c r="H12" s="4" t="n">
        <v>3.92</v>
      </c>
      <c r="I12" s="4" t="n">
        <v>2.126</v>
      </c>
      <c r="J12" s="4" t="n">
        <v>3.177197</v>
      </c>
      <c r="K12" s="4" t="n">
        <v>4.3825</v>
      </c>
      <c r="L12" s="4" t="n">
        <v>21.87158</v>
      </c>
      <c r="M12" s="4" t="n">
        <v>20.21144</v>
      </c>
      <c r="N12" s="4" t="n">
        <v>-999</v>
      </c>
      <c r="O12" s="4" t="n">
        <v>17.17267</v>
      </c>
      <c r="P12" s="4" t="n">
        <v>18.28505</v>
      </c>
      <c r="Q12" s="4" t="n">
        <v>14.43227</v>
      </c>
    </row>
    <row r="13">
      <c r="A13" s="3" t="n">
        <v>46357.11458333334</v>
      </c>
      <c r="B13" s="4" t="n">
        <v>3.43282</v>
      </c>
      <c r="C13" s="4" t="n">
        <v>2.4435</v>
      </c>
      <c r="D13" s="4" t="n">
        <v>2.879171</v>
      </c>
      <c r="E13" s="4" t="n">
        <v>3.48625</v>
      </c>
      <c r="F13" s="4" t="n">
        <v>3.337245</v>
      </c>
      <c r="G13" s="4" t="n">
        <v>2.711044</v>
      </c>
      <c r="H13" s="4" t="n">
        <v>3.94625</v>
      </c>
      <c r="I13" s="4" t="n">
        <v>2.122</v>
      </c>
      <c r="J13" s="4" t="n">
        <v>3.214893</v>
      </c>
      <c r="K13" s="4" t="n">
        <v>4.43375</v>
      </c>
      <c r="L13" s="4" t="n">
        <v>21.9029</v>
      </c>
      <c r="M13" s="4" t="n">
        <v>19.25608</v>
      </c>
      <c r="N13" s="4" t="n">
        <v>-999</v>
      </c>
      <c r="O13" s="4" t="n">
        <v>16.8751</v>
      </c>
      <c r="P13" s="4" t="n">
        <v>17.63509</v>
      </c>
      <c r="Q13" s="4" t="n">
        <v>15.83399</v>
      </c>
    </row>
    <row r="14">
      <c r="A14" s="3" t="n">
        <v>46357.125</v>
      </c>
      <c r="B14" s="4" t="n">
        <v>3.459487</v>
      </c>
      <c r="C14" s="4" t="n">
        <v>2.466</v>
      </c>
      <c r="D14" s="4" t="n">
        <v>2.899551</v>
      </c>
      <c r="E14" s="4" t="n">
        <v>3.43375</v>
      </c>
      <c r="F14" s="4" t="n">
        <v>3.346736</v>
      </c>
      <c r="G14" s="4" t="n">
        <v>2.721213</v>
      </c>
      <c r="H14" s="4" t="n">
        <v>3.98375</v>
      </c>
      <c r="I14" s="4" t="n">
        <v>2.118</v>
      </c>
      <c r="J14" s="4" t="n">
        <v>3.255225</v>
      </c>
      <c r="K14" s="4" t="n">
        <v>4.4625</v>
      </c>
      <c r="L14" s="4" t="n">
        <v>22.41191</v>
      </c>
      <c r="M14" s="4" t="n">
        <v>19.23259</v>
      </c>
      <c r="N14" s="4" t="n">
        <v>-999</v>
      </c>
      <c r="O14" s="4" t="n">
        <v>16.89076</v>
      </c>
      <c r="P14" s="4" t="n">
        <v>18.30854</v>
      </c>
      <c r="Q14" s="4" t="n">
        <v>13.99374</v>
      </c>
    </row>
    <row r="15">
      <c r="A15" s="3" t="n">
        <v>46357.13541666666</v>
      </c>
      <c r="B15" s="4" t="n">
        <v>3.483077</v>
      </c>
      <c r="C15" s="4" t="n">
        <v>2.4885</v>
      </c>
      <c r="D15" s="4" t="n">
        <v>2.920345</v>
      </c>
      <c r="E15" s="4" t="n">
        <v>3.40125</v>
      </c>
      <c r="F15" s="4" t="n">
        <v>3.356454</v>
      </c>
      <c r="G15" s="4" t="n">
        <v>2.731382</v>
      </c>
      <c r="H15" s="4" t="n">
        <v>4.02</v>
      </c>
      <c r="I15" s="4" t="n">
        <v>2.114</v>
      </c>
      <c r="J15" s="4" t="n">
        <v>3.294092</v>
      </c>
      <c r="K15" s="4" t="n">
        <v>4.51625</v>
      </c>
      <c r="L15" s="4" t="n">
        <v>21.76195</v>
      </c>
      <c r="M15" s="4" t="n">
        <v>20.37589</v>
      </c>
      <c r="N15" s="4" t="n">
        <v>-999</v>
      </c>
      <c r="O15" s="4" t="n">
        <v>16.99256</v>
      </c>
      <c r="P15" s="4" t="n">
        <v>18.44167</v>
      </c>
      <c r="Q15" s="4" t="n">
        <v>14.43227</v>
      </c>
    </row>
    <row r="16">
      <c r="A16" s="3" t="n">
        <v>46357.14583333334</v>
      </c>
      <c r="B16" s="4" t="n">
        <v>3.509743</v>
      </c>
      <c r="C16" s="4" t="n">
        <v>2.51025</v>
      </c>
      <c r="D16" s="4" t="n">
        <v>2.940358</v>
      </c>
      <c r="E16" s="4" t="n">
        <v>3.39625</v>
      </c>
      <c r="F16" s="4" t="n">
        <v>3.366623</v>
      </c>
      <c r="G16" s="4" t="n">
        <v>2.741778</v>
      </c>
      <c r="H16" s="4" t="n">
        <v>4.05625</v>
      </c>
      <c r="I16" s="4" t="n">
        <v>2.109</v>
      </c>
      <c r="J16" s="4" t="n">
        <v>3.317798</v>
      </c>
      <c r="K16" s="4" t="n">
        <v>4.54125</v>
      </c>
      <c r="L16" s="4" t="n">
        <v>21.66015</v>
      </c>
      <c r="M16" s="4" t="n">
        <v>19.3892</v>
      </c>
      <c r="N16" s="4" t="n">
        <v>-999</v>
      </c>
      <c r="O16" s="4" t="n">
        <v>16.71848</v>
      </c>
      <c r="P16" s="4" t="n">
        <v>17.90134</v>
      </c>
      <c r="Q16" s="4" t="n">
        <v>18.26155</v>
      </c>
    </row>
    <row r="17">
      <c r="A17" s="3" t="n">
        <v>46357.15625</v>
      </c>
      <c r="B17" s="4" t="n">
        <v>3.53641</v>
      </c>
      <c r="C17" s="4" t="n">
        <v>2.532</v>
      </c>
      <c r="D17" s="4" t="n">
        <v>2.960762</v>
      </c>
      <c r="E17" s="4" t="n">
        <v>3.4375</v>
      </c>
      <c r="F17" s="4" t="n">
        <v>3.375436</v>
      </c>
      <c r="G17" s="4" t="n">
        <v>2.750817</v>
      </c>
      <c r="H17" s="4" t="n">
        <v>4.09</v>
      </c>
      <c r="I17" s="4" t="n">
        <v>2.106</v>
      </c>
      <c r="J17" s="4" t="n">
        <v>3.326123</v>
      </c>
      <c r="K17" s="4" t="n">
        <v>4.59875</v>
      </c>
      <c r="L17" s="4" t="n">
        <v>21.96555</v>
      </c>
      <c r="M17" s="4" t="n">
        <v>19.57714</v>
      </c>
      <c r="N17" s="4" t="n">
        <v>-999</v>
      </c>
      <c r="O17" s="4" t="n">
        <v>16.86727</v>
      </c>
      <c r="P17" s="4" t="n">
        <v>18.25373</v>
      </c>
      <c r="Q17" s="4" t="n">
        <v>14.0094</v>
      </c>
    </row>
    <row r="18">
      <c r="A18" s="3" t="n">
        <v>46357.16666666666</v>
      </c>
      <c r="B18" s="4" t="n">
        <v>3.557949</v>
      </c>
      <c r="C18" s="4" t="n">
        <v>2.55375</v>
      </c>
      <c r="D18" s="4" t="n">
        <v>2.980775</v>
      </c>
      <c r="E18" s="4" t="n">
        <v>3.505</v>
      </c>
      <c r="F18" s="4" t="n">
        <v>3.382216</v>
      </c>
      <c r="G18" s="4" t="n">
        <v>2.759856</v>
      </c>
      <c r="H18" s="4" t="n">
        <v>4.12625</v>
      </c>
      <c r="I18" s="4" t="n">
        <v>2.101</v>
      </c>
      <c r="J18" s="4" t="n">
        <v>3.323169</v>
      </c>
      <c r="K18" s="4" t="n">
        <v>4.63</v>
      </c>
      <c r="L18" s="4" t="n">
        <v>21.89507</v>
      </c>
      <c r="M18" s="4" t="n">
        <v>19.89038</v>
      </c>
      <c r="N18" s="4" t="n">
        <v>-999</v>
      </c>
      <c r="O18" s="4" t="n">
        <v>16.89076</v>
      </c>
      <c r="P18" s="4" t="n">
        <v>18.1206</v>
      </c>
      <c r="Q18" s="4" t="n">
        <v>14.1347</v>
      </c>
    </row>
    <row r="19">
      <c r="A19" s="3" t="n">
        <v>46357.17708333334</v>
      </c>
      <c r="B19" s="4" t="n">
        <v>3.582564</v>
      </c>
      <c r="C19" s="4" t="n">
        <v>2.57625</v>
      </c>
      <c r="D19" s="4" t="n">
        <v>3.000666</v>
      </c>
      <c r="E19" s="4" t="n">
        <v>3.5425</v>
      </c>
      <c r="F19" s="4" t="n">
        <v>3.384476</v>
      </c>
      <c r="G19" s="4" t="n">
        <v>2.77093</v>
      </c>
      <c r="H19" s="4" t="n">
        <v>4.16125</v>
      </c>
      <c r="I19" s="4" t="n">
        <v>2.097</v>
      </c>
      <c r="J19" s="4" t="n">
        <v>3.337646</v>
      </c>
      <c r="K19" s="4" t="n">
        <v>4.64</v>
      </c>
      <c r="L19" s="4" t="n">
        <v>21.56618</v>
      </c>
      <c r="M19" s="4" t="n">
        <v>20.18012</v>
      </c>
      <c r="N19" s="4" t="n">
        <v>-999</v>
      </c>
      <c r="O19" s="4" t="n">
        <v>17.06304</v>
      </c>
      <c r="P19" s="4" t="n">
        <v>18.63744</v>
      </c>
      <c r="Q19" s="4" t="n">
        <v>13.35944</v>
      </c>
    </row>
    <row r="20">
      <c r="A20" s="3" t="n">
        <v>46357.1875</v>
      </c>
      <c r="B20" s="4" t="n">
        <v>3.608205</v>
      </c>
      <c r="C20" s="4" t="n">
        <v>2.59725</v>
      </c>
      <c r="D20" s="4" t="n">
        <v>3.020386</v>
      </c>
      <c r="E20" s="4" t="n">
        <v>3.56625</v>
      </c>
      <c r="F20" s="4" t="n">
        <v>3.388544</v>
      </c>
      <c r="G20" s="4" t="n">
        <v>2.780873</v>
      </c>
      <c r="H20" s="4" t="n">
        <v>4.1975</v>
      </c>
      <c r="I20" s="4" t="n">
        <v>2.092</v>
      </c>
      <c r="J20" s="4" t="n">
        <v>3.355957</v>
      </c>
      <c r="K20" s="4" t="n">
        <v>4.62125</v>
      </c>
      <c r="L20" s="4" t="n">
        <v>21.82459</v>
      </c>
      <c r="M20" s="4" t="n">
        <v>20.15663</v>
      </c>
      <c r="N20" s="4" t="n">
        <v>-999</v>
      </c>
      <c r="O20" s="4" t="n">
        <v>17.01606</v>
      </c>
      <c r="P20" s="4" t="n">
        <v>18.47299</v>
      </c>
      <c r="Q20" s="4" t="n">
        <v>12.7643</v>
      </c>
    </row>
    <row r="21">
      <c r="A21" s="3" t="n">
        <v>46357.19791666666</v>
      </c>
      <c r="B21" s="4" t="n">
        <v>3.630769</v>
      </c>
      <c r="C21" s="4" t="n">
        <v>2.61975</v>
      </c>
      <c r="D21" s="4" t="n">
        <v>3.036445</v>
      </c>
      <c r="E21" s="4" t="n">
        <v>3.565</v>
      </c>
      <c r="F21" s="4" t="n">
        <v>3.394193</v>
      </c>
      <c r="G21" s="4" t="n">
        <v>2.791042</v>
      </c>
      <c r="H21" s="4" t="n">
        <v>4.23125</v>
      </c>
      <c r="I21" s="4" t="n">
        <v>2.088</v>
      </c>
      <c r="J21" s="4" t="n">
        <v>3.357056</v>
      </c>
      <c r="K21" s="4" t="n">
        <v>4.585</v>
      </c>
      <c r="L21" s="4" t="n">
        <v>22.4354</v>
      </c>
      <c r="M21" s="4" t="n">
        <v>19.6163</v>
      </c>
      <c r="N21" s="4" t="n">
        <v>-999</v>
      </c>
      <c r="O21" s="4" t="n">
        <v>16.89076</v>
      </c>
      <c r="P21" s="4" t="n">
        <v>18.33204</v>
      </c>
      <c r="Q21" s="4" t="n">
        <v>13.22632</v>
      </c>
    </row>
    <row r="22">
      <c r="A22" s="3" t="n">
        <v>46357.20833333334</v>
      </c>
      <c r="B22" s="4" t="n">
        <v>3.655385</v>
      </c>
      <c r="C22" s="4" t="n">
        <v>2.64</v>
      </c>
      <c r="D22" s="4" t="n">
        <v>3.027903</v>
      </c>
      <c r="E22" s="4" t="n">
        <v>3.53375</v>
      </c>
      <c r="F22" s="4" t="n">
        <v>3.398035</v>
      </c>
      <c r="G22" s="4" t="n">
        <v>2.799856</v>
      </c>
      <c r="H22" s="4" t="n">
        <v>4.265</v>
      </c>
      <c r="I22" s="4" t="n">
        <v>2.083</v>
      </c>
      <c r="J22" s="4" t="n">
        <v>3.353101</v>
      </c>
      <c r="K22" s="4" t="n">
        <v>4.5675</v>
      </c>
      <c r="L22" s="4" t="n">
        <v>21.37041</v>
      </c>
      <c r="M22" s="4" t="n">
        <v>20.14096</v>
      </c>
      <c r="N22" s="4" t="n">
        <v>-999</v>
      </c>
      <c r="O22" s="4" t="n">
        <v>17.11786</v>
      </c>
      <c r="P22" s="4" t="n">
        <v>18.79405</v>
      </c>
      <c r="Q22" s="4" t="n">
        <v>14.00157</v>
      </c>
    </row>
    <row r="23">
      <c r="A23" s="3" t="n">
        <v>46357.21875</v>
      </c>
      <c r="B23" s="4" t="n">
        <v>3.678974</v>
      </c>
      <c r="C23" s="4" t="n">
        <v>2.661</v>
      </c>
      <c r="D23" s="4" t="n">
        <v>3.017896</v>
      </c>
      <c r="E23" s="4" t="n">
        <v>3.4875</v>
      </c>
      <c r="F23" s="4" t="n">
        <v>3.399164</v>
      </c>
      <c r="G23" s="4" t="n">
        <v>2.807991</v>
      </c>
      <c r="H23" s="4" t="n">
        <v>4.2975</v>
      </c>
      <c r="I23" s="4" t="n">
        <v>2.078</v>
      </c>
      <c r="J23" s="4" t="n">
        <v>3.355786</v>
      </c>
      <c r="K23" s="4" t="n">
        <v>4.53125</v>
      </c>
      <c r="L23" s="4" t="n">
        <v>22.05169</v>
      </c>
      <c r="M23" s="4" t="n">
        <v>20.10181</v>
      </c>
      <c r="N23" s="4" t="n">
        <v>-999</v>
      </c>
      <c r="O23" s="4" t="n">
        <v>17.24315</v>
      </c>
      <c r="P23" s="4" t="n">
        <v>17.46281</v>
      </c>
      <c r="Q23" s="4" t="n">
        <v>18.08145</v>
      </c>
    </row>
    <row r="24">
      <c r="A24" s="3" t="n">
        <v>46357.22916666666</v>
      </c>
      <c r="B24" s="4" t="n">
        <v>3.700513</v>
      </c>
      <c r="C24" s="4" t="n">
        <v>2.6775</v>
      </c>
      <c r="D24" s="4" t="n">
        <v>3.007158</v>
      </c>
      <c r="E24" s="4" t="n">
        <v>3.435</v>
      </c>
      <c r="F24" s="4" t="n">
        <v>3.406622</v>
      </c>
      <c r="G24" s="4" t="n">
        <v>2.8446</v>
      </c>
      <c r="H24" s="4" t="n">
        <v>4.32875</v>
      </c>
      <c r="I24" s="4" t="n">
        <v>2.073</v>
      </c>
      <c r="J24" s="4" t="n">
        <v>3.358057</v>
      </c>
      <c r="K24" s="4" t="n">
        <v>4.5125</v>
      </c>
      <c r="L24" s="4" t="n">
        <v>21.56618</v>
      </c>
      <c r="M24" s="4" t="n">
        <v>19.55365</v>
      </c>
      <c r="N24" s="4" t="n">
        <v>-999</v>
      </c>
      <c r="O24" s="4" t="n">
        <v>16.91426</v>
      </c>
      <c r="P24" s="4" t="n">
        <v>17.43932</v>
      </c>
      <c r="Q24" s="4" t="n">
        <v>17.95615</v>
      </c>
    </row>
    <row r="25">
      <c r="A25" s="3" t="n">
        <v>46357.23958333334</v>
      </c>
      <c r="B25" s="4" t="n">
        <v>3.72</v>
      </c>
      <c r="C25" s="4" t="n">
        <v>2.69625</v>
      </c>
      <c r="D25" s="4" t="n">
        <v>2.99637</v>
      </c>
      <c r="E25" s="4" t="n">
        <v>3.39625</v>
      </c>
      <c r="F25" s="4" t="n">
        <v>3.372951</v>
      </c>
      <c r="G25" s="4" t="n">
        <v>2.861775</v>
      </c>
      <c r="H25" s="4" t="n">
        <v>4.3525</v>
      </c>
      <c r="I25" s="4" t="n">
        <v>2.07</v>
      </c>
      <c r="J25" s="4" t="n">
        <v>3.367798</v>
      </c>
      <c r="K25" s="4" t="n">
        <v>4.47625</v>
      </c>
      <c r="L25" s="4" t="n">
        <v>21.23728</v>
      </c>
      <c r="M25" s="4" t="n">
        <v>19.95302</v>
      </c>
      <c r="N25" s="4" t="n">
        <v>-999</v>
      </c>
      <c r="O25" s="4" t="n">
        <v>17.01606</v>
      </c>
      <c r="P25" s="4" t="n">
        <v>17.3845</v>
      </c>
      <c r="Q25" s="4" t="n">
        <v>19.17776</v>
      </c>
    </row>
    <row r="26">
      <c r="A26" s="3" t="n">
        <v>46357.25</v>
      </c>
      <c r="B26" s="4" t="n">
        <v>3.737436</v>
      </c>
      <c r="C26" s="4" t="n">
        <v>2.712</v>
      </c>
      <c r="D26" s="4" t="n">
        <v>2.986949</v>
      </c>
      <c r="E26" s="4" t="n">
        <v>3.3875</v>
      </c>
      <c r="F26" s="4" t="n">
        <v>3.340183</v>
      </c>
      <c r="G26" s="4" t="n">
        <v>2.857933</v>
      </c>
      <c r="H26" s="4" t="n">
        <v>4.37125</v>
      </c>
      <c r="I26" s="4" t="n">
        <v>2.062</v>
      </c>
      <c r="J26" s="4" t="n">
        <v>3.381812</v>
      </c>
      <c r="K26" s="4" t="n">
        <v>4.45625</v>
      </c>
      <c r="L26" s="4" t="n">
        <v>20.77526</v>
      </c>
      <c r="M26" s="4" t="n">
        <v>19.89821</v>
      </c>
      <c r="N26" s="4" t="n">
        <v>-999</v>
      </c>
      <c r="O26" s="4" t="n">
        <v>16.66367</v>
      </c>
      <c r="P26" s="4" t="n">
        <v>17.36101</v>
      </c>
      <c r="Q26" s="4" t="n">
        <v>18.64527</v>
      </c>
    </row>
    <row r="27">
      <c r="A27" s="3" t="n">
        <v>46357.26041666666</v>
      </c>
      <c r="B27" s="4" t="n">
        <v>3.744615</v>
      </c>
      <c r="C27" s="4" t="n">
        <v>2.72325</v>
      </c>
      <c r="D27" s="4" t="n">
        <v>2.94419</v>
      </c>
      <c r="E27" s="4" t="n">
        <v>3.40875</v>
      </c>
      <c r="F27" s="4" t="n">
        <v>3.320748</v>
      </c>
      <c r="G27" s="4" t="n">
        <v>2.852058</v>
      </c>
      <c r="H27" s="4" t="n">
        <v>4.3825</v>
      </c>
      <c r="I27" s="4" t="n">
        <v>2.053</v>
      </c>
      <c r="J27" s="4" t="n">
        <v>3.390039</v>
      </c>
      <c r="K27" s="4" t="n">
        <v>4.4175</v>
      </c>
      <c r="L27" s="4" t="n">
        <v>21.5975</v>
      </c>
      <c r="M27" s="4" t="n">
        <v>19.35005</v>
      </c>
      <c r="N27" s="4" t="n">
        <v>-999</v>
      </c>
      <c r="O27" s="4" t="n">
        <v>16.69499</v>
      </c>
      <c r="P27" s="4" t="n">
        <v>17.40799</v>
      </c>
      <c r="Q27" s="4" t="n">
        <v>18.93501</v>
      </c>
    </row>
    <row r="28">
      <c r="A28" s="3" t="n">
        <v>46357.27083333334</v>
      </c>
      <c r="B28" s="4" t="n">
        <v>3.749743</v>
      </c>
      <c r="C28" s="4" t="n">
        <v>2.73075</v>
      </c>
      <c r="D28" s="4" t="n">
        <v>2.942969</v>
      </c>
      <c r="E28" s="4" t="n">
        <v>3.4475</v>
      </c>
      <c r="F28" s="4" t="n">
        <v>3.304025</v>
      </c>
      <c r="G28" s="4" t="n">
        <v>2.842115</v>
      </c>
      <c r="H28" s="4" t="n">
        <v>4.38625</v>
      </c>
      <c r="I28" s="4" t="n">
        <v>2.056</v>
      </c>
      <c r="J28" s="4" t="n">
        <v>3.391602</v>
      </c>
      <c r="K28" s="4" t="n">
        <v>4.39625</v>
      </c>
      <c r="L28" s="4" t="n">
        <v>21.48004</v>
      </c>
      <c r="M28" s="4" t="n">
        <v>19.64762</v>
      </c>
      <c r="N28" s="4" t="n">
        <v>-999</v>
      </c>
      <c r="O28" s="4" t="n">
        <v>16.38959</v>
      </c>
      <c r="P28" s="4" t="n">
        <v>17.84652</v>
      </c>
      <c r="Q28" s="4" t="n">
        <v>20.49335</v>
      </c>
    </row>
    <row r="29">
      <c r="A29" s="3" t="n">
        <v>46357.28125</v>
      </c>
      <c r="B29" s="4" t="n">
        <v>3.746667</v>
      </c>
      <c r="C29" s="4" t="n">
        <v>2.73225</v>
      </c>
      <c r="D29" s="4" t="n">
        <v>2.938479</v>
      </c>
      <c r="E29" s="4" t="n">
        <v>3.48875</v>
      </c>
      <c r="F29" s="4" t="n">
        <v>3.288884</v>
      </c>
      <c r="G29" s="4" t="n">
        <v>2.830589</v>
      </c>
      <c r="H29" s="4" t="n">
        <v>4.38625</v>
      </c>
      <c r="I29" s="4" t="n">
        <v>2.062</v>
      </c>
      <c r="J29" s="4" t="n">
        <v>3.384717</v>
      </c>
      <c r="K29" s="4" t="n">
        <v>4.35125</v>
      </c>
      <c r="L29" s="4" t="n">
        <v>21.62099</v>
      </c>
      <c r="M29" s="4" t="n">
        <v>18.58262</v>
      </c>
      <c r="N29" s="4" t="n">
        <v>-999</v>
      </c>
      <c r="O29" s="4" t="n">
        <v>16.37393</v>
      </c>
      <c r="P29" s="4" t="n">
        <v>18.44167</v>
      </c>
      <c r="Q29" s="4" t="n">
        <v>20.41504</v>
      </c>
    </row>
    <row r="31" ht="30" customHeight="1">
      <c r="A31" s="5" t="inlineStr">
        <is>
          <t>INSTRUCTIONS: Delete the sample rows above (keep Row 1 headers), then paste your data from Row 2. Date in Column A; flow/pressure names as column headers. -999 = no-data.</t>
        </is>
      </c>
    </row>
  </sheetData>
  <mergeCells count="1">
    <mergeCell ref="A31:Q3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cols>
    <col width="21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</cols>
  <sheetData>
    <row r="1" ht="22" customHeight="1">
      <c r="A1" s="1" t="inlineStr">
        <is>
          <t>Date</t>
        </is>
      </c>
      <c r="B1" s="2" t="inlineStr">
        <is>
          <t>AL012</t>
        </is>
      </c>
      <c r="C1" s="2" t="inlineStr">
        <is>
          <t>AL013</t>
        </is>
      </c>
      <c r="D1" s="2" t="inlineStr">
        <is>
          <t>AL014</t>
        </is>
      </c>
      <c r="E1" s="2" t="inlineStr">
        <is>
          <t>AL023</t>
        </is>
      </c>
      <c r="F1" s="2" t="inlineStr">
        <is>
          <t>AL028</t>
        </is>
      </c>
      <c r="G1" s="2" t="inlineStr">
        <is>
          <t>AL029</t>
        </is>
      </c>
      <c r="H1" s="2" t="inlineStr">
        <is>
          <t>AL035</t>
        </is>
      </c>
      <c r="I1" s="2" t="inlineStr">
        <is>
          <t>AL036</t>
        </is>
      </c>
      <c r="J1" s="2" t="inlineStr">
        <is>
          <t>AL038</t>
        </is>
      </c>
      <c r="K1" s="2" t="inlineStr">
        <is>
          <t>AL063</t>
        </is>
      </c>
      <c r="L1" s="2" t="inlineStr">
        <is>
          <t>AM005</t>
        </is>
      </c>
      <c r="M1" s="2" t="inlineStr">
        <is>
          <t>AM014</t>
        </is>
      </c>
      <c r="N1" s="2" t="inlineStr">
        <is>
          <t>AM015</t>
        </is>
      </c>
      <c r="O1" s="2" t="inlineStr">
        <is>
          <t>AM022</t>
        </is>
      </c>
      <c r="P1" s="2" t="inlineStr">
        <is>
          <t>AM024</t>
        </is>
      </c>
      <c r="Q1" s="2" t="inlineStr">
        <is>
          <t>AM026</t>
        </is>
      </c>
    </row>
    <row r="2">
      <c r="A2" s="3" t="n">
        <v>46357</v>
      </c>
      <c r="B2" s="4" t="n">
        <v>3.373159</v>
      </c>
      <c r="C2" s="4" t="n">
        <v>2.438122</v>
      </c>
      <c r="D2" s="4" t="n">
        <v>2.885198</v>
      </c>
      <c r="E2" s="4" t="n">
        <v>3.633162</v>
      </c>
      <c r="F2" s="4" t="n">
        <v>3.428402</v>
      </c>
      <c r="G2" s="4" t="n">
        <v>2.797313</v>
      </c>
      <c r="H2" s="4" t="n">
        <v>3.8599</v>
      </c>
      <c r="I2" s="4" t="n">
        <v>2.27686</v>
      </c>
      <c r="J2" s="4" t="n">
        <v>3.33691</v>
      </c>
      <c r="K2" s="4" t="n">
        <v>4.200613</v>
      </c>
      <c r="L2" s="4" t="n">
        <v>22.30541</v>
      </c>
      <c r="M2" s="4" t="n">
        <v>19.517708</v>
      </c>
      <c r="N2" s="4" t="n">
        <v>-999</v>
      </c>
      <c r="O2" s="4" t="n">
        <v>16.714427</v>
      </c>
      <c r="P2" s="4" t="n">
        <v>16.388178</v>
      </c>
      <c r="Q2" s="4" t="n">
        <v>18.613784</v>
      </c>
    </row>
    <row r="3">
      <c r="A3" s="3" t="n">
        <v>46357.01041666666</v>
      </c>
      <c r="B3" s="4" t="n">
        <v>3.395046</v>
      </c>
      <c r="C3" s="4" t="n">
        <v>2.458492</v>
      </c>
      <c r="D3" s="4" t="n">
        <v>2.900894</v>
      </c>
      <c r="E3" s="4" t="n">
        <v>3.608912</v>
      </c>
      <c r="F3" s="4" t="n">
        <v>3.439362</v>
      </c>
      <c r="G3" s="4" t="n">
        <v>2.805643</v>
      </c>
      <c r="H3" s="4" t="n">
        <v>3.873237</v>
      </c>
      <c r="I3" s="4" t="n">
        <v>2.28753</v>
      </c>
      <c r="J3" s="4" t="n">
        <v>3.35119</v>
      </c>
      <c r="K3" s="4" t="n">
        <v>4.227288</v>
      </c>
      <c r="L3" s="4" t="n">
        <v>22.077528</v>
      </c>
      <c r="M3" s="4" t="n">
        <v>19.434152</v>
      </c>
      <c r="N3" s="4" t="n">
        <v>-999</v>
      </c>
      <c r="O3" s="4" t="n">
        <v>16.889134</v>
      </c>
      <c r="P3" s="4" t="n">
        <v>18.180825</v>
      </c>
      <c r="Q3" s="4" t="n">
        <v>15.309557</v>
      </c>
    </row>
    <row r="4">
      <c r="A4" s="3" t="n">
        <v>46357.02083333334</v>
      </c>
      <c r="B4" s="4" t="n">
        <v>3.419918</v>
      </c>
      <c r="C4" s="4" t="n">
        <v>2.478862</v>
      </c>
      <c r="D4" s="4" t="n">
        <v>2.894549</v>
      </c>
      <c r="E4" s="4" t="n">
        <v>3.585875</v>
      </c>
      <c r="F4" s="4" t="n">
        <v>3.465009</v>
      </c>
      <c r="G4" s="4" t="n">
        <v>2.819234</v>
      </c>
      <c r="H4" s="4" t="n">
        <v>3.896275</v>
      </c>
      <c r="I4" s="4" t="n">
        <v>2.2982</v>
      </c>
      <c r="J4" s="4" t="n">
        <v>3.354079</v>
      </c>
      <c r="K4" s="4" t="n">
        <v>4.251538</v>
      </c>
      <c r="L4" s="4" t="n">
        <v>21.842061</v>
      </c>
      <c r="M4" s="4" t="n">
        <v>19.373382</v>
      </c>
      <c r="N4" s="4" t="n">
        <v>-999</v>
      </c>
      <c r="O4" s="4" t="n">
        <v>16.699227</v>
      </c>
      <c r="P4" s="4" t="n">
        <v>18.439078</v>
      </c>
      <c r="Q4" s="4" t="n">
        <v>16.494519</v>
      </c>
    </row>
    <row r="5">
      <c r="A5" s="3" t="n">
        <v>46357.03125</v>
      </c>
      <c r="B5" s="4" t="n">
        <v>3.444789</v>
      </c>
      <c r="C5" s="4" t="n">
        <v>2.497777</v>
      </c>
      <c r="D5" s="4" t="n">
        <v>2.926485</v>
      </c>
      <c r="E5" s="4" t="n">
        <v>3.590725</v>
      </c>
      <c r="F5" s="4" t="n">
        <v>3.490875</v>
      </c>
      <c r="G5" s="4" t="n">
        <v>2.834578</v>
      </c>
      <c r="H5" s="4" t="n">
        <v>3.919312</v>
      </c>
      <c r="I5" s="4" t="n">
        <v>2.30984</v>
      </c>
      <c r="J5" s="4" t="n">
        <v>3.3537</v>
      </c>
      <c r="K5" s="4" t="n">
        <v>4.300038</v>
      </c>
      <c r="L5" s="4" t="n">
        <v>21.059678</v>
      </c>
      <c r="M5" s="4" t="n">
        <v>19.616454</v>
      </c>
      <c r="N5" s="4" t="n">
        <v>-999</v>
      </c>
      <c r="O5" s="4" t="n">
        <v>16.501735</v>
      </c>
      <c r="P5" s="4" t="n">
        <v>17.884577</v>
      </c>
      <c r="Q5" s="4" t="n">
        <v>13.775182</v>
      </c>
    </row>
    <row r="6">
      <c r="A6" s="3" t="n">
        <v>46357.04166666666</v>
      </c>
      <c r="B6" s="4" t="n">
        <v>3.467672</v>
      </c>
      <c r="C6" s="4" t="n">
        <v>2.518147</v>
      </c>
      <c r="D6" s="4" t="n">
        <v>2.953095</v>
      </c>
      <c r="E6" s="4" t="n">
        <v>3.630737</v>
      </c>
      <c r="F6" s="4" t="n">
        <v>3.494821</v>
      </c>
      <c r="G6" s="4" t="n">
        <v>2.850142</v>
      </c>
      <c r="H6" s="4" t="n">
        <v>3.944775</v>
      </c>
      <c r="I6" s="4" t="n">
        <v>2.32148</v>
      </c>
      <c r="J6" s="4" t="n">
        <v>3.345909</v>
      </c>
      <c r="K6" s="4" t="n">
        <v>4.3255</v>
      </c>
      <c r="L6" s="4" t="n">
        <v>21.515433</v>
      </c>
      <c r="M6" s="4" t="n">
        <v>19.608859</v>
      </c>
      <c r="N6" s="4" t="n">
        <v>-999</v>
      </c>
      <c r="O6" s="4" t="n">
        <v>16.722022</v>
      </c>
      <c r="P6" s="4" t="n">
        <v>17.785831</v>
      </c>
      <c r="Q6" s="4" t="n">
        <v>13.410578</v>
      </c>
    </row>
    <row r="7">
      <c r="A7" s="3" t="n">
        <v>46357.05208333334</v>
      </c>
      <c r="B7" s="4" t="n">
        <v>3.490554</v>
      </c>
      <c r="C7" s="4" t="n">
        <v>2.539245</v>
      </c>
      <c r="D7" s="4" t="n">
        <v>2.978238</v>
      </c>
      <c r="E7" s="4" t="n">
        <v>3.668325</v>
      </c>
      <c r="F7" s="4" t="n">
        <v>3.496356</v>
      </c>
      <c r="G7" s="4" t="n">
        <v>2.863075</v>
      </c>
      <c r="H7" s="4" t="n">
        <v>3.970237</v>
      </c>
      <c r="I7" s="4" t="n">
        <v>2.33312</v>
      </c>
      <c r="J7" s="4" t="n">
        <v>3.33781</v>
      </c>
      <c r="K7" s="4" t="n">
        <v>4.375212</v>
      </c>
      <c r="L7" s="4" t="n">
        <v>21.568608</v>
      </c>
      <c r="M7" s="4" t="n">
        <v>19.267041</v>
      </c>
      <c r="N7" s="4" t="n">
        <v>-999</v>
      </c>
      <c r="O7" s="4" t="n">
        <v>16.835959</v>
      </c>
      <c r="P7" s="4" t="n">
        <v>18.735325</v>
      </c>
      <c r="Q7" s="4" t="n">
        <v>14.306897</v>
      </c>
    </row>
    <row r="8">
      <c r="A8" s="3" t="n">
        <v>46357.0625</v>
      </c>
      <c r="B8" s="4" t="n">
        <v>3.513435</v>
      </c>
      <c r="C8" s="4" t="n">
        <v>2.56107</v>
      </c>
      <c r="D8" s="4" t="n">
        <v>2.997414</v>
      </c>
      <c r="E8" s="4" t="n">
        <v>3.7144</v>
      </c>
      <c r="F8" s="4" t="n">
        <v>3.500082</v>
      </c>
      <c r="G8" s="4" t="n">
        <v>2.875131</v>
      </c>
      <c r="H8" s="4" t="n">
        <v>3.996912</v>
      </c>
      <c r="I8" s="4" t="n">
        <v>2.34573</v>
      </c>
      <c r="J8" s="4" t="n">
        <v>3.328858</v>
      </c>
      <c r="K8" s="4" t="n">
        <v>4.401887</v>
      </c>
      <c r="L8" s="4" t="n">
        <v>21.424282</v>
      </c>
      <c r="M8" s="4" t="n">
        <v>19.532898</v>
      </c>
      <c r="N8" s="4" t="n">
        <v>-999</v>
      </c>
      <c r="O8" s="4" t="n">
        <v>16.668847</v>
      </c>
      <c r="P8" s="4" t="n">
        <v>18.325141</v>
      </c>
      <c r="Q8" s="4" t="n">
        <v>13.57769</v>
      </c>
    </row>
    <row r="9">
      <c r="A9" s="3" t="n">
        <v>46357.07291666666</v>
      </c>
      <c r="B9" s="4" t="n">
        <v>3.536318</v>
      </c>
      <c r="C9" s="4" t="n">
        <v>2.582895</v>
      </c>
      <c r="D9" s="4" t="n">
        <v>3.015335</v>
      </c>
      <c r="E9" s="4" t="n">
        <v>3.741075</v>
      </c>
      <c r="F9" s="4" t="n">
        <v>3.505123</v>
      </c>
      <c r="G9" s="4" t="n">
        <v>2.887625</v>
      </c>
      <c r="H9" s="4" t="n">
        <v>4.021162</v>
      </c>
      <c r="I9" s="4" t="n">
        <v>2.35834</v>
      </c>
      <c r="J9" s="4" t="n">
        <v>3.330682</v>
      </c>
      <c r="K9" s="4" t="n">
        <v>4.450387</v>
      </c>
      <c r="L9" s="4" t="n">
        <v>21.887631</v>
      </c>
      <c r="M9" s="4" t="n">
        <v>20.079804</v>
      </c>
      <c r="N9" s="4" t="n">
        <v>-999</v>
      </c>
      <c r="O9" s="4" t="n">
        <v>16.759998</v>
      </c>
      <c r="P9" s="4" t="n">
        <v>18.355531</v>
      </c>
      <c r="Q9" s="4" t="n">
        <v>13.12953</v>
      </c>
    </row>
    <row r="10">
      <c r="A10" s="3" t="n">
        <v>46357.08333333334</v>
      </c>
      <c r="B10" s="4" t="n">
        <v>3.560195</v>
      </c>
      <c r="C10" s="4" t="n">
        <v>2.60472</v>
      </c>
      <c r="D10" s="4" t="n">
        <v>3.034321</v>
      </c>
      <c r="E10" s="4" t="n">
        <v>3.761687</v>
      </c>
      <c r="F10" s="4" t="n">
        <v>3.5117</v>
      </c>
      <c r="G10" s="4" t="n">
        <v>2.899243</v>
      </c>
      <c r="H10" s="4" t="n">
        <v>4.047837</v>
      </c>
      <c r="I10" s="4" t="n">
        <v>2.36998</v>
      </c>
      <c r="J10" s="4" t="n">
        <v>3.332244</v>
      </c>
      <c r="K10" s="4" t="n">
        <v>4.47585</v>
      </c>
      <c r="L10" s="4" t="n">
        <v>21.219195</v>
      </c>
      <c r="M10" s="4" t="n">
        <v>19.418962</v>
      </c>
      <c r="N10" s="4" t="n">
        <v>-999</v>
      </c>
      <c r="O10" s="4" t="n">
        <v>16.858744</v>
      </c>
      <c r="P10" s="4" t="n">
        <v>18.302356</v>
      </c>
      <c r="Q10" s="4" t="n">
        <v>15.142445</v>
      </c>
    </row>
    <row r="11">
      <c r="A11" s="3" t="n">
        <v>46357.09375</v>
      </c>
      <c r="B11" s="4" t="n">
        <v>3.585067</v>
      </c>
      <c r="C11" s="4" t="n">
        <v>2.627272</v>
      </c>
      <c r="D11" s="4" t="n">
        <v>3.053616</v>
      </c>
      <c r="E11" s="4" t="n">
        <v>3.755625</v>
      </c>
      <c r="F11" s="4" t="n">
        <v>3.519591</v>
      </c>
      <c r="G11" s="4" t="n">
        <v>2.909545</v>
      </c>
      <c r="H11" s="4" t="n">
        <v>4.074512</v>
      </c>
      <c r="I11" s="4" t="n">
        <v>2.36804</v>
      </c>
      <c r="J11" s="4" t="n">
        <v>3.351782</v>
      </c>
      <c r="K11" s="4" t="n">
        <v>4.525562</v>
      </c>
      <c r="L11" s="4" t="n">
        <v>21.682544</v>
      </c>
      <c r="M11" s="4" t="n">
        <v>19.988653</v>
      </c>
      <c r="N11" s="4" t="n">
        <v>-999</v>
      </c>
      <c r="O11" s="4" t="n">
        <v>17.056246</v>
      </c>
      <c r="P11" s="4" t="n">
        <v>18.537833</v>
      </c>
      <c r="Q11" s="4" t="n">
        <v>13.59288</v>
      </c>
    </row>
    <row r="12">
      <c r="A12" s="3" t="n">
        <v>46357.10416666666</v>
      </c>
      <c r="B12" s="4" t="n">
        <v>3.605959</v>
      </c>
      <c r="C12" s="4" t="n">
        <v>2.649097</v>
      </c>
      <c r="D12" s="4" t="n">
        <v>3.073431</v>
      </c>
      <c r="E12" s="4" t="n">
        <v>3.726525</v>
      </c>
      <c r="F12" s="4" t="n">
        <v>3.527921</v>
      </c>
      <c r="G12" s="4" t="n">
        <v>2.91963</v>
      </c>
      <c r="H12" s="4" t="n">
        <v>4.1024</v>
      </c>
      <c r="I12" s="4" t="n">
        <v>2.36222</v>
      </c>
      <c r="J12" s="4" t="n">
        <v>3.381881</v>
      </c>
      <c r="K12" s="4" t="n">
        <v>4.551025</v>
      </c>
      <c r="L12" s="4" t="n">
        <v>21.515433</v>
      </c>
      <c r="M12" s="4" t="n">
        <v>19.905097</v>
      </c>
      <c r="N12" s="4" t="n">
        <v>-999</v>
      </c>
      <c r="O12" s="4" t="n">
        <v>16.95749</v>
      </c>
      <c r="P12" s="4" t="n">
        <v>18.036498</v>
      </c>
      <c r="Q12" s="4" t="n">
        <v>14.299302</v>
      </c>
    </row>
    <row r="13">
      <c r="A13" s="3" t="n">
        <v>46357.11458333334</v>
      </c>
      <c r="B13" s="4" t="n">
        <v>3.629835</v>
      </c>
      <c r="C13" s="4" t="n">
        <v>2.670195</v>
      </c>
      <c r="D13" s="4" t="n">
        <v>3.092796</v>
      </c>
      <c r="E13" s="4" t="n">
        <v>3.681662</v>
      </c>
      <c r="F13" s="4" t="n">
        <v>3.537128</v>
      </c>
      <c r="G13" s="4" t="n">
        <v>2.929713</v>
      </c>
      <c r="H13" s="4" t="n">
        <v>4.127862</v>
      </c>
      <c r="I13" s="4" t="n">
        <v>2.35834</v>
      </c>
      <c r="J13" s="4" t="n">
        <v>3.418446</v>
      </c>
      <c r="K13" s="4" t="n">
        <v>4.600737</v>
      </c>
      <c r="L13" s="4" t="n">
        <v>21.545813</v>
      </c>
      <c r="M13" s="4" t="n">
        <v>18.978398</v>
      </c>
      <c r="N13" s="4" t="n">
        <v>-999</v>
      </c>
      <c r="O13" s="4" t="n">
        <v>16.668847</v>
      </c>
      <c r="P13" s="4" t="n">
        <v>17.406037</v>
      </c>
      <c r="Q13" s="4" t="n">
        <v>15.65897</v>
      </c>
    </row>
    <row r="14">
      <c r="A14" s="3" t="n">
        <v>46357.125</v>
      </c>
      <c r="B14" s="4" t="n">
        <v>3.655702</v>
      </c>
      <c r="C14" s="4" t="n">
        <v>2.69202</v>
      </c>
      <c r="D14" s="4" t="n">
        <v>3.112564</v>
      </c>
      <c r="E14" s="4" t="n">
        <v>3.630737</v>
      </c>
      <c r="F14" s="4" t="n">
        <v>3.546334</v>
      </c>
      <c r="G14" s="4" t="n">
        <v>2.939577</v>
      </c>
      <c r="H14" s="4" t="n">
        <v>4.164238</v>
      </c>
      <c r="I14" s="4" t="n">
        <v>2.35446</v>
      </c>
      <c r="J14" s="4" t="n">
        <v>3.457568</v>
      </c>
      <c r="K14" s="4" t="n">
        <v>4.628625</v>
      </c>
      <c r="L14" s="4" t="n">
        <v>22.039553</v>
      </c>
      <c r="M14" s="4" t="n">
        <v>18.955612</v>
      </c>
      <c r="N14" s="4" t="n">
        <v>-999</v>
      </c>
      <c r="O14" s="4" t="n">
        <v>16.684037</v>
      </c>
      <c r="P14" s="4" t="n">
        <v>18.059284</v>
      </c>
      <c r="Q14" s="4" t="n">
        <v>13.873928</v>
      </c>
    </row>
    <row r="15">
      <c r="A15" s="3" t="n">
        <v>46357.13541666666</v>
      </c>
      <c r="B15" s="4" t="n">
        <v>3.678585</v>
      </c>
      <c r="C15" s="4" t="n">
        <v>2.713845</v>
      </c>
      <c r="D15" s="4" t="n">
        <v>3.132735</v>
      </c>
      <c r="E15" s="4" t="n">
        <v>3.599212</v>
      </c>
      <c r="F15" s="4" t="n">
        <v>3.55576</v>
      </c>
      <c r="G15" s="4" t="n">
        <v>2.949441</v>
      </c>
      <c r="H15" s="4" t="n">
        <v>4.1994</v>
      </c>
      <c r="I15" s="4" t="n">
        <v>2.35058</v>
      </c>
      <c r="J15" s="4" t="n">
        <v>3.495269</v>
      </c>
      <c r="K15" s="4" t="n">
        <v>4.680763</v>
      </c>
      <c r="L15" s="4" t="n">
        <v>21.409091</v>
      </c>
      <c r="M15" s="4" t="n">
        <v>20.064613</v>
      </c>
      <c r="N15" s="4" t="n">
        <v>-999</v>
      </c>
      <c r="O15" s="4" t="n">
        <v>16.782783</v>
      </c>
      <c r="P15" s="4" t="n">
        <v>18.18842</v>
      </c>
      <c r="Q15" s="4" t="n">
        <v>14.299302</v>
      </c>
    </row>
    <row r="16">
      <c r="A16" s="3" t="n">
        <v>46357.14583333334</v>
      </c>
      <c r="B16" s="4" t="n">
        <v>3.704451</v>
      </c>
      <c r="C16" s="4" t="n">
        <v>2.734942</v>
      </c>
      <c r="D16" s="4" t="n">
        <v>3.152147</v>
      </c>
      <c r="E16" s="4" t="n">
        <v>3.594362</v>
      </c>
      <c r="F16" s="4" t="n">
        <v>3.565624</v>
      </c>
      <c r="G16" s="4" t="n">
        <v>2.959525</v>
      </c>
      <c r="H16" s="4" t="n">
        <v>4.234563</v>
      </c>
      <c r="I16" s="4" t="n">
        <v>2.34573</v>
      </c>
      <c r="J16" s="4" t="n">
        <v>3.518264</v>
      </c>
      <c r="K16" s="4" t="n">
        <v>4.705012</v>
      </c>
      <c r="L16" s="4" t="n">
        <v>21.310346</v>
      </c>
      <c r="M16" s="4" t="n">
        <v>19.107524</v>
      </c>
      <c r="N16" s="4" t="n">
        <v>-999</v>
      </c>
      <c r="O16" s="4" t="n">
        <v>16.516926</v>
      </c>
      <c r="P16" s="4" t="n">
        <v>17.6643</v>
      </c>
      <c r="Q16" s="4" t="n">
        <v>18.013703</v>
      </c>
    </row>
    <row r="17">
      <c r="A17" s="3" t="n">
        <v>46357.15625</v>
      </c>
      <c r="B17" s="4" t="n">
        <v>3.730318</v>
      </c>
      <c r="C17" s="4" t="n">
        <v>2.75604</v>
      </c>
      <c r="D17" s="4" t="n">
        <v>3.171939</v>
      </c>
      <c r="E17" s="4" t="n">
        <v>3.634375</v>
      </c>
      <c r="F17" s="4" t="n">
        <v>3.574173</v>
      </c>
      <c r="G17" s="4" t="n">
        <v>2.968292</v>
      </c>
      <c r="H17" s="4" t="n">
        <v>4.2673</v>
      </c>
      <c r="I17" s="4" t="n">
        <v>2.34282</v>
      </c>
      <c r="J17" s="4" t="n">
        <v>3.526339</v>
      </c>
      <c r="K17" s="4" t="n">
        <v>4.760787</v>
      </c>
      <c r="L17" s="4" t="n">
        <v>21.606583</v>
      </c>
      <c r="M17" s="4" t="n">
        <v>19.289826</v>
      </c>
      <c r="N17" s="4" t="n">
        <v>-999</v>
      </c>
      <c r="O17" s="4" t="n">
        <v>16.661252</v>
      </c>
      <c r="P17" s="4" t="n">
        <v>18.006118</v>
      </c>
      <c r="Q17" s="4" t="n">
        <v>13.889118</v>
      </c>
    </row>
    <row r="18">
      <c r="A18" s="3" t="n">
        <v>46357.16666666666</v>
      </c>
      <c r="B18" s="4" t="n">
        <v>3.751211</v>
      </c>
      <c r="C18" s="4" t="n">
        <v>2.777137</v>
      </c>
      <c r="D18" s="4" t="n">
        <v>3.191352</v>
      </c>
      <c r="E18" s="4" t="n">
        <v>3.69985</v>
      </c>
      <c r="F18" s="4" t="n">
        <v>3.58075</v>
      </c>
      <c r="G18" s="4" t="n">
        <v>2.97706</v>
      </c>
      <c r="H18" s="4" t="n">
        <v>4.302462</v>
      </c>
      <c r="I18" s="4" t="n">
        <v>2.33797</v>
      </c>
      <c r="J18" s="4" t="n">
        <v>3.523474</v>
      </c>
      <c r="K18" s="4" t="n">
        <v>4.7911</v>
      </c>
      <c r="L18" s="4" t="n">
        <v>21.538218</v>
      </c>
      <c r="M18" s="4" t="n">
        <v>19.593669</v>
      </c>
      <c r="N18" s="4" t="n">
        <v>-999</v>
      </c>
      <c r="O18" s="4" t="n">
        <v>16.684037</v>
      </c>
      <c r="P18" s="4" t="n">
        <v>17.876982</v>
      </c>
      <c r="Q18" s="4" t="n">
        <v>14.010659</v>
      </c>
    </row>
    <row r="19">
      <c r="A19" s="3" t="n">
        <v>46357.17708333334</v>
      </c>
      <c r="B19" s="4" t="n">
        <v>3.775087</v>
      </c>
      <c r="C19" s="4" t="n">
        <v>2.798962</v>
      </c>
      <c r="D19" s="4" t="n">
        <v>3.210646</v>
      </c>
      <c r="E19" s="4" t="n">
        <v>3.736225</v>
      </c>
      <c r="F19" s="4" t="n">
        <v>3.582942</v>
      </c>
      <c r="G19" s="4" t="n">
        <v>2.987802</v>
      </c>
      <c r="H19" s="4" t="n">
        <v>4.336412</v>
      </c>
      <c r="I19" s="4" t="n">
        <v>2.33409</v>
      </c>
      <c r="J19" s="4" t="n">
        <v>3.537517</v>
      </c>
      <c r="K19" s="4" t="n">
        <v>4.8008</v>
      </c>
      <c r="L19" s="4" t="n">
        <v>21.219195</v>
      </c>
      <c r="M19" s="4" t="n">
        <v>19.874716</v>
      </c>
      <c r="N19" s="4" t="n">
        <v>-999</v>
      </c>
      <c r="O19" s="4" t="n">
        <v>16.851149</v>
      </c>
      <c r="P19" s="4" t="n">
        <v>18.378317</v>
      </c>
      <c r="Q19" s="4" t="n">
        <v>13.258657</v>
      </c>
    </row>
    <row r="20">
      <c r="A20" s="3" t="n">
        <v>46357.1875</v>
      </c>
      <c r="B20" s="4" t="n">
        <v>3.799959</v>
      </c>
      <c r="C20" s="4" t="n">
        <v>2.819332</v>
      </c>
      <c r="D20" s="4" t="n">
        <v>3.229774</v>
      </c>
      <c r="E20" s="4" t="n">
        <v>3.759262</v>
      </c>
      <c r="F20" s="4" t="n">
        <v>3.586888</v>
      </c>
      <c r="G20" s="4" t="n">
        <v>2.997447</v>
      </c>
      <c r="H20" s="4" t="n">
        <v>4.371575</v>
      </c>
      <c r="I20" s="4" t="n">
        <v>2.32924</v>
      </c>
      <c r="J20" s="4" t="n">
        <v>3.555278</v>
      </c>
      <c r="K20" s="4" t="n">
        <v>4.782612</v>
      </c>
      <c r="L20" s="4" t="n">
        <v>21.469852</v>
      </c>
      <c r="M20" s="4" t="n">
        <v>19.851931</v>
      </c>
      <c r="N20" s="4" t="n">
        <v>-999</v>
      </c>
      <c r="O20" s="4" t="n">
        <v>16.805578</v>
      </c>
      <c r="P20" s="4" t="n">
        <v>18.2188</v>
      </c>
      <c r="Q20" s="4" t="n">
        <v>12.681371</v>
      </c>
    </row>
    <row r="21">
      <c r="A21" s="3" t="n">
        <v>46357.19791666666</v>
      </c>
      <c r="B21" s="4" t="n">
        <v>3.821846</v>
      </c>
      <c r="C21" s="4" t="n">
        <v>2.841157</v>
      </c>
      <c r="D21" s="4" t="n">
        <v>3.245352</v>
      </c>
      <c r="E21" s="4" t="n">
        <v>3.75805</v>
      </c>
      <c r="F21" s="4" t="n">
        <v>3.592367</v>
      </c>
      <c r="G21" s="4" t="n">
        <v>3.007311</v>
      </c>
      <c r="H21" s="4" t="n">
        <v>4.404312</v>
      </c>
      <c r="I21" s="4" t="n">
        <v>2.32536</v>
      </c>
      <c r="J21" s="4" t="n">
        <v>3.556344</v>
      </c>
      <c r="K21" s="4" t="n">
        <v>4.74745</v>
      </c>
      <c r="L21" s="4" t="n">
        <v>22.062338</v>
      </c>
      <c r="M21" s="4" t="n">
        <v>19.327811</v>
      </c>
      <c r="N21" s="4" t="n">
        <v>-999</v>
      </c>
      <c r="O21" s="4" t="n">
        <v>16.684037</v>
      </c>
      <c r="P21" s="4" t="n">
        <v>18.082079</v>
      </c>
      <c r="Q21" s="4" t="n">
        <v>13.12953</v>
      </c>
    </row>
    <row r="22">
      <c r="A22" s="3" t="n">
        <v>46357.20833333334</v>
      </c>
      <c r="B22" s="4" t="n">
        <v>3.845723</v>
      </c>
      <c r="C22" s="4" t="n">
        <v>2.8608</v>
      </c>
      <c r="D22" s="4" t="n">
        <v>3.237066</v>
      </c>
      <c r="E22" s="4" t="n">
        <v>3.727737</v>
      </c>
      <c r="F22" s="4" t="n">
        <v>3.596094</v>
      </c>
      <c r="G22" s="4" t="n">
        <v>3.01586</v>
      </c>
      <c r="H22" s="4" t="n">
        <v>4.43705</v>
      </c>
      <c r="I22" s="4" t="n">
        <v>2.32051</v>
      </c>
      <c r="J22" s="4" t="n">
        <v>3.552508</v>
      </c>
      <c r="K22" s="4" t="n">
        <v>4.730475</v>
      </c>
      <c r="L22" s="4" t="n">
        <v>21.029298</v>
      </c>
      <c r="M22" s="4" t="n">
        <v>19.836731</v>
      </c>
      <c r="N22" s="4" t="n">
        <v>-999</v>
      </c>
      <c r="O22" s="4" t="n">
        <v>16.904324</v>
      </c>
      <c r="P22" s="4" t="n">
        <v>18.530228</v>
      </c>
      <c r="Q22" s="4" t="n">
        <v>13.881523</v>
      </c>
    </row>
    <row r="23">
      <c r="A23" s="3" t="n">
        <v>46357.21875</v>
      </c>
      <c r="B23" s="4" t="n">
        <v>3.868605</v>
      </c>
      <c r="C23" s="4" t="n">
        <v>2.88117</v>
      </c>
      <c r="D23" s="4" t="n">
        <v>3.227359</v>
      </c>
      <c r="E23" s="4" t="n">
        <v>3.682875</v>
      </c>
      <c r="F23" s="4" t="n">
        <v>3.597189</v>
      </c>
      <c r="G23" s="4" t="n">
        <v>3.023751</v>
      </c>
      <c r="H23" s="4" t="n">
        <v>4.468575</v>
      </c>
      <c r="I23" s="4" t="n">
        <v>2.31566</v>
      </c>
      <c r="J23" s="4" t="n">
        <v>3.555112</v>
      </c>
      <c r="K23" s="4" t="n">
        <v>4.695312</v>
      </c>
      <c r="L23" s="4" t="n">
        <v>21.690139</v>
      </c>
      <c r="M23" s="4" t="n">
        <v>19.798756</v>
      </c>
      <c r="N23" s="4" t="n">
        <v>-999</v>
      </c>
      <c r="O23" s="4" t="n">
        <v>17.025855</v>
      </c>
      <c r="P23" s="4" t="n">
        <v>17.238926</v>
      </c>
      <c r="Q23" s="4" t="n">
        <v>17.839006</v>
      </c>
    </row>
    <row r="24">
      <c r="A24" s="3" t="n">
        <v>46357.22916666666</v>
      </c>
      <c r="B24" s="4" t="n">
        <v>3.889498</v>
      </c>
      <c r="C24" s="4" t="n">
        <v>2.897175</v>
      </c>
      <c r="D24" s="4" t="n">
        <v>3.216943</v>
      </c>
      <c r="E24" s="4" t="n">
        <v>3.63195</v>
      </c>
      <c r="F24" s="4" t="n">
        <v>3.604423</v>
      </c>
      <c r="G24" s="4" t="n">
        <v>3.059262</v>
      </c>
      <c r="H24" s="4" t="n">
        <v>4.498888</v>
      </c>
      <c r="I24" s="4" t="n">
        <v>2.31081</v>
      </c>
      <c r="J24" s="4" t="n">
        <v>3.557315</v>
      </c>
      <c r="K24" s="4" t="n">
        <v>4.677125</v>
      </c>
      <c r="L24" s="4" t="n">
        <v>21.219195</v>
      </c>
      <c r="M24" s="4" t="n">
        <v>19.267041</v>
      </c>
      <c r="N24" s="4" t="n">
        <v>-999</v>
      </c>
      <c r="O24" s="4" t="n">
        <v>16.706832</v>
      </c>
      <c r="P24" s="4" t="n">
        <v>17.21614</v>
      </c>
      <c r="Q24" s="4" t="n">
        <v>17.717465</v>
      </c>
    </row>
    <row r="25">
      <c r="A25" s="3" t="n">
        <v>46357.23958333334</v>
      </c>
      <c r="B25" s="4" t="n">
        <v>3.9084</v>
      </c>
      <c r="C25" s="4" t="n">
        <v>2.915362</v>
      </c>
      <c r="D25" s="4" t="n">
        <v>3.206479</v>
      </c>
      <c r="E25" s="4" t="n">
        <v>3.594362</v>
      </c>
      <c r="F25" s="4" t="n">
        <v>3.571762</v>
      </c>
      <c r="G25" s="4" t="n">
        <v>3.075922</v>
      </c>
      <c r="H25" s="4" t="n">
        <v>4.521925</v>
      </c>
      <c r="I25" s="4" t="n">
        <v>2.3079</v>
      </c>
      <c r="J25" s="4" t="n">
        <v>3.566764</v>
      </c>
      <c r="K25" s="4" t="n">
        <v>4.641962</v>
      </c>
      <c r="L25" s="4" t="n">
        <v>20.900162</v>
      </c>
      <c r="M25" s="4" t="n">
        <v>19.654429</v>
      </c>
      <c r="N25" s="4" t="n">
        <v>-999</v>
      </c>
      <c r="O25" s="4" t="n">
        <v>16.805578</v>
      </c>
      <c r="P25" s="4" t="n">
        <v>17.162965</v>
      </c>
      <c r="Q25" s="4" t="n">
        <v>18.902427</v>
      </c>
    </row>
    <row r="26">
      <c r="A26" s="3" t="n">
        <v>46357.25</v>
      </c>
      <c r="B26" s="4" t="n">
        <v>3.925313</v>
      </c>
      <c r="C26" s="4" t="n">
        <v>2.93064</v>
      </c>
      <c r="D26" s="4" t="n">
        <v>3.197341</v>
      </c>
      <c r="E26" s="4" t="n">
        <v>3.585875</v>
      </c>
      <c r="F26" s="4" t="n">
        <v>3.539978</v>
      </c>
      <c r="G26" s="4" t="n">
        <v>3.072195</v>
      </c>
      <c r="H26" s="4" t="n">
        <v>4.540112</v>
      </c>
      <c r="I26" s="4" t="n">
        <v>2.30014</v>
      </c>
      <c r="J26" s="4" t="n">
        <v>3.580358</v>
      </c>
      <c r="K26" s="4" t="n">
        <v>4.622562</v>
      </c>
      <c r="L26" s="4" t="n">
        <v>20.452002</v>
      </c>
      <c r="M26" s="4" t="n">
        <v>19.601264</v>
      </c>
      <c r="N26" s="4" t="n">
        <v>-999</v>
      </c>
      <c r="O26" s="4" t="n">
        <v>16.46376</v>
      </c>
      <c r="P26" s="4" t="n">
        <v>17.14018</v>
      </c>
      <c r="Q26" s="4" t="n">
        <v>18.385912</v>
      </c>
    </row>
    <row r="27">
      <c r="A27" s="3" t="n">
        <v>46357.26041666666</v>
      </c>
      <c r="B27" s="4" t="n">
        <v>3.932277</v>
      </c>
      <c r="C27" s="4" t="n">
        <v>2.941552</v>
      </c>
      <c r="D27" s="4" t="n">
        <v>3.155864</v>
      </c>
      <c r="E27" s="4" t="n">
        <v>3.606487</v>
      </c>
      <c r="F27" s="4" t="n">
        <v>3.521126</v>
      </c>
      <c r="G27" s="4" t="n">
        <v>3.066496</v>
      </c>
      <c r="H27" s="4" t="n">
        <v>4.551025</v>
      </c>
      <c r="I27" s="4" t="n">
        <v>2.29141</v>
      </c>
      <c r="J27" s="4" t="n">
        <v>3.588338</v>
      </c>
      <c r="K27" s="4" t="n">
        <v>4.584975</v>
      </c>
      <c r="L27" s="4" t="n">
        <v>21.249575</v>
      </c>
      <c r="M27" s="4" t="n">
        <v>19.069548</v>
      </c>
      <c r="N27" s="4" t="n">
        <v>-999</v>
      </c>
      <c r="O27" s="4" t="n">
        <v>16.49414</v>
      </c>
      <c r="P27" s="4" t="n">
        <v>17.18575</v>
      </c>
      <c r="Q27" s="4" t="n">
        <v>18.66696</v>
      </c>
    </row>
    <row r="28">
      <c r="A28" s="3" t="n">
        <v>46357.27083333334</v>
      </c>
      <c r="B28" s="4" t="n">
        <v>3.937251</v>
      </c>
      <c r="C28" s="4" t="n">
        <v>2.948827</v>
      </c>
      <c r="D28" s="4" t="n">
        <v>3.15468</v>
      </c>
      <c r="E28" s="4" t="n">
        <v>3.644075</v>
      </c>
      <c r="F28" s="4" t="n">
        <v>3.504904</v>
      </c>
      <c r="G28" s="4" t="n">
        <v>3.056852</v>
      </c>
      <c r="H28" s="4" t="n">
        <v>4.554663</v>
      </c>
      <c r="I28" s="4" t="n">
        <v>2.29432</v>
      </c>
      <c r="J28" s="4" t="n">
        <v>3.589854</v>
      </c>
      <c r="K28" s="4" t="n">
        <v>4.564362</v>
      </c>
      <c r="L28" s="4" t="n">
        <v>21.135639</v>
      </c>
      <c r="M28" s="4" t="n">
        <v>19.358191</v>
      </c>
      <c r="N28" s="4" t="n">
        <v>-999</v>
      </c>
      <c r="O28" s="4" t="n">
        <v>16.197902</v>
      </c>
      <c r="P28" s="4" t="n">
        <v>17.611124</v>
      </c>
      <c r="Q28" s="4" t="n">
        <v>20.178549</v>
      </c>
    </row>
    <row r="29">
      <c r="A29" s="3" t="n">
        <v>46357.28125</v>
      </c>
      <c r="B29" s="4" t="n">
        <v>3.934267</v>
      </c>
      <c r="C29" s="4" t="n">
        <v>2.950282</v>
      </c>
      <c r="D29" s="4" t="n">
        <v>3.150325</v>
      </c>
      <c r="E29" s="4" t="n">
        <v>3.684087</v>
      </c>
      <c r="F29" s="4" t="n">
        <v>3.490217</v>
      </c>
      <c r="G29" s="4" t="n">
        <v>3.045671</v>
      </c>
      <c r="H29" s="4" t="n">
        <v>4.554663</v>
      </c>
      <c r="I29" s="4" t="n">
        <v>2.30014</v>
      </c>
      <c r="J29" s="4" t="n">
        <v>3.583175</v>
      </c>
      <c r="K29" s="4" t="n">
        <v>4.520713</v>
      </c>
      <c r="L29" s="4" t="n">
        <v>21.27236</v>
      </c>
      <c r="M29" s="4" t="n">
        <v>18.325141</v>
      </c>
      <c r="N29" s="4" t="n">
        <v>-999</v>
      </c>
      <c r="O29" s="4" t="n">
        <v>16.182712</v>
      </c>
      <c r="P29" s="4" t="n">
        <v>18.18842</v>
      </c>
      <c r="Q29" s="4" t="n">
        <v>20.102589</v>
      </c>
    </row>
    <row r="31" ht="30" customHeight="1">
      <c r="A31" s="5" t="inlineStr">
        <is>
          <t>INSTRUCTIONS: Delete the sample rows above (keep Row 1 headers), then paste your data from Row 2. Date in Column A; flow/pressure names as column headers. -999 = no-data.</t>
        </is>
      </c>
    </row>
  </sheetData>
  <mergeCells count="1">
    <mergeCell ref="A31:Q3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25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22" customWidth="1" min="4" max="4"/>
    <col width="14" customWidth="1" min="5" max="5"/>
    <col width="2" customWidth="1" min="6" max="6"/>
  </cols>
  <sheetData>
    <row r="1" ht="30" customHeight="1">
      <c r="A1" s="6" t="inlineStr">
        <is>
          <t>Flow &amp; Pressure Analysis Dashboard</t>
        </is>
      </c>
    </row>
    <row r="2" ht="26" customHeight="1">
      <c r="A2" s="7" t="inlineStr">
        <is>
          <t>Flow Scaling Factor:</t>
        </is>
      </c>
      <c r="B2" s="8" t="n">
        <v>1</v>
      </c>
      <c r="D2" s="7" t="inlineStr">
        <is>
          <t>Pressure Offset:</t>
        </is>
      </c>
      <c r="E2" s="9" t="n">
        <v>0</v>
      </c>
    </row>
    <row r="3" ht="30" customHeight="1">
      <c r="A3" s="10" t="inlineStr">
        <is>
          <t>Select Flow  ▼</t>
        </is>
      </c>
      <c r="B3" s="11" t="inlineStr">
        <is>
          <t>AL012</t>
        </is>
      </c>
      <c r="D3" s="12" t="inlineStr">
        <is>
          <t>Select Pressure  ▼</t>
        </is>
      </c>
      <c r="E3" s="13" t="inlineStr">
        <is>
          <t>AL012</t>
        </is>
      </c>
    </row>
    <row r="4" ht="20" customHeight="1">
      <c r="A4" s="14" t="inlineStr">
        <is>
          <t>All Flows  (current selection highlighted)</t>
        </is>
      </c>
      <c r="D4" s="15" t="inlineStr">
        <is>
          <t>All Pressures  (current selection highlighted)</t>
        </is>
      </c>
    </row>
    <row r="5" ht="18" customHeight="1">
      <c r="A5" s="16" t="inlineStr">
        <is>
          <t>AL012</t>
        </is>
      </c>
      <c r="B5" s="17" t="n"/>
      <c r="D5" s="16" t="inlineStr">
        <is>
          <t>AL012</t>
        </is>
      </c>
      <c r="E5" s="17" t="n"/>
    </row>
    <row r="6" ht="18" customHeight="1">
      <c r="A6" s="16" t="inlineStr">
        <is>
          <t>AL013</t>
        </is>
      </c>
      <c r="B6" s="17" t="n"/>
      <c r="D6" s="16" t="inlineStr">
        <is>
          <t>AL013</t>
        </is>
      </c>
      <c r="E6" s="17" t="n"/>
    </row>
    <row r="7" ht="18" customHeight="1">
      <c r="A7" s="16" t="inlineStr">
        <is>
          <t>AL014</t>
        </is>
      </c>
      <c r="B7" s="17" t="n"/>
      <c r="D7" s="16" t="inlineStr">
        <is>
          <t>AL014</t>
        </is>
      </c>
      <c r="E7" s="17" t="n"/>
    </row>
    <row r="8" ht="18" customHeight="1">
      <c r="A8" s="16" t="inlineStr">
        <is>
          <t>AL023</t>
        </is>
      </c>
      <c r="B8" s="17" t="n"/>
      <c r="D8" s="16" t="inlineStr">
        <is>
          <t>AL023</t>
        </is>
      </c>
      <c r="E8" s="17" t="n"/>
    </row>
    <row r="9" ht="18" customHeight="1">
      <c r="A9" s="16" t="inlineStr">
        <is>
          <t>AL028</t>
        </is>
      </c>
      <c r="B9" s="17" t="n"/>
      <c r="D9" s="16" t="inlineStr">
        <is>
          <t>AL028</t>
        </is>
      </c>
      <c r="E9" s="17" t="n"/>
    </row>
    <row r="10" ht="18" customHeight="1">
      <c r="A10" s="16" t="inlineStr">
        <is>
          <t>AL029</t>
        </is>
      </c>
      <c r="B10" s="17" t="n"/>
      <c r="D10" s="16" t="inlineStr">
        <is>
          <t>AL029</t>
        </is>
      </c>
      <c r="E10" s="17" t="n"/>
    </row>
    <row r="11" ht="18" customHeight="1">
      <c r="A11" s="16" t="inlineStr">
        <is>
          <t>AL035</t>
        </is>
      </c>
      <c r="B11" s="17" t="n"/>
      <c r="D11" s="16" t="inlineStr">
        <is>
          <t>AL035</t>
        </is>
      </c>
      <c r="E11" s="17" t="n"/>
    </row>
    <row r="12" ht="18" customHeight="1">
      <c r="A12" s="16" t="inlineStr">
        <is>
          <t>AL036</t>
        </is>
      </c>
      <c r="B12" s="17" t="n"/>
      <c r="D12" s="16" t="inlineStr">
        <is>
          <t>AL036</t>
        </is>
      </c>
      <c r="E12" s="17" t="n"/>
    </row>
    <row r="13" ht="18" customHeight="1">
      <c r="A13" s="16" t="inlineStr">
        <is>
          <t>AL038</t>
        </is>
      </c>
      <c r="B13" s="17" t="n"/>
      <c r="D13" s="16" t="inlineStr">
        <is>
          <t>AL038</t>
        </is>
      </c>
      <c r="E13" s="17" t="n"/>
    </row>
    <row r="14" ht="18" customHeight="1">
      <c r="A14" s="16" t="inlineStr">
        <is>
          <t>AL063</t>
        </is>
      </c>
      <c r="B14" s="17" t="n"/>
      <c r="D14" s="16" t="inlineStr">
        <is>
          <t>AL063</t>
        </is>
      </c>
      <c r="E14" s="17" t="n"/>
    </row>
    <row r="15" ht="18" customHeight="1">
      <c r="A15" s="16" t="inlineStr">
        <is>
          <t>AM005</t>
        </is>
      </c>
      <c r="B15" s="17" t="n"/>
      <c r="D15" s="16" t="inlineStr">
        <is>
          <t>AM005</t>
        </is>
      </c>
      <c r="E15" s="17" t="n"/>
    </row>
    <row r="16" ht="18" customHeight="1">
      <c r="A16" s="16" t="inlineStr">
        <is>
          <t>AM014</t>
        </is>
      </c>
      <c r="B16" s="17" t="n"/>
      <c r="D16" s="16" t="inlineStr">
        <is>
          <t>AM014</t>
        </is>
      </c>
      <c r="E16" s="17" t="n"/>
    </row>
    <row r="17" ht="18" customHeight="1">
      <c r="A17" s="16" t="inlineStr">
        <is>
          <t>AM015</t>
        </is>
      </c>
      <c r="B17" s="17" t="n"/>
      <c r="D17" s="16" t="inlineStr">
        <is>
          <t>AM015</t>
        </is>
      </c>
      <c r="E17" s="17" t="n"/>
    </row>
    <row r="18" ht="18" customHeight="1">
      <c r="A18" s="16" t="inlineStr">
        <is>
          <t>AM022</t>
        </is>
      </c>
      <c r="B18" s="17" t="n"/>
      <c r="D18" s="16" t="inlineStr">
        <is>
          <t>AM022</t>
        </is>
      </c>
      <c r="E18" s="17" t="n"/>
    </row>
    <row r="19" ht="18" customHeight="1">
      <c r="A19" s="16" t="inlineStr">
        <is>
          <t>AM024</t>
        </is>
      </c>
      <c r="B19" s="17" t="n"/>
      <c r="D19" s="16" t="inlineStr">
        <is>
          <t>AM024</t>
        </is>
      </c>
      <c r="E19" s="17" t="n"/>
    </row>
    <row r="20" ht="18" customHeight="1">
      <c r="A20" s="16" t="inlineStr">
        <is>
          <t>AM026</t>
        </is>
      </c>
      <c r="B20" s="17" t="n"/>
      <c r="D20" s="16" t="inlineStr">
        <is>
          <t>AM026</t>
        </is>
      </c>
      <c r="E20" s="17" t="n"/>
    </row>
    <row r="21" ht="28" customHeight="1">
      <c r="A21" s="5" t="inlineStr">
        <is>
          <t>ℹ  After pasting your own data the lists above update automatically. If the dropdown (B3 / E3) doesn't show your names, right-click the cell → Data Validation → update the Source range to match your column headers. Values of -999 are treated as no-data and excluded from calculations.</t>
        </is>
      </c>
    </row>
    <row r="23" ht="20" customHeight="1">
      <c r="A23" s="18" t="inlineStr">
        <is>
          <t>FORMULA TABLE  —  updates automatically when you change the selections or adjustments above</t>
        </is>
      </c>
    </row>
    <row r="24" ht="22" customHeight="1">
      <c r="A24" s="1" t="inlineStr">
        <is>
          <t>Date</t>
        </is>
      </c>
      <c r="B24" s="2" t="inlineStr">
        <is>
          <t>Flow (Raw)</t>
        </is>
      </c>
      <c r="C24" s="19" t="inlineStr">
        <is>
          <t>Flow Adjusted</t>
        </is>
      </c>
      <c r="D24" s="2" t="inlineStr">
        <is>
          <t>Pressure (Raw)</t>
        </is>
      </c>
      <c r="E24" s="20" t="inlineStr">
        <is>
          <t>Pressure Adjusted</t>
        </is>
      </c>
    </row>
    <row r="25" ht="15" customHeight="1">
      <c r="A25" s="21">
        <f>IFERROR(IF(INDEX('Raw Flow Data'!$A:$A,ROW()-23)="","",INDEX('Raw Flow Data'!$A:$A,ROW()-23)),"")</f>
        <v/>
      </c>
      <c r="B25" s="22">
        <f>IFERROR(IF($B$3="","",INDEX('Raw Flow Data'!$A:$ZZ,ROW()-23,MATCH($B$3,'Raw Flow Data'!$1:$1,0))),"")</f>
        <v/>
      </c>
      <c r="C25" s="23">
        <f>IF(OR(B25="",B25=-999),"",B25*$B$2)</f>
        <v/>
      </c>
      <c r="D25" s="22">
        <f>IFERROR(IF($E$3="","",INDEX('Raw Pressure Data'!$A:$ZZ,ROW()-23,MATCH($E$3,'Raw Pressure Data'!$1:$1,0))),"")</f>
        <v/>
      </c>
      <c r="E25" s="24">
        <f>IF(OR(D25="",D25=-999),"",D25+$E$2)</f>
        <v/>
      </c>
    </row>
    <row r="26" ht="15" customHeight="1">
      <c r="A26" s="25">
        <f>IFERROR(IF(INDEX('Raw Flow Data'!$A:$A,ROW()-23)="","",INDEX('Raw Flow Data'!$A:$A,ROW()-23)),"")</f>
        <v/>
      </c>
      <c r="B26" s="26">
        <f>IFERROR(IF($B$3="","",INDEX('Raw Flow Data'!$A:$ZZ,ROW()-23,MATCH($B$3,'Raw Flow Data'!$1:$1,0))),"")</f>
        <v/>
      </c>
      <c r="C26" s="27">
        <f>IF(OR(B26="",B26=-999),"",B26*$B$2)</f>
        <v/>
      </c>
      <c r="D26" s="26">
        <f>IFERROR(IF($E$3="","",INDEX('Raw Pressure Data'!$A:$ZZ,ROW()-23,MATCH($E$3,'Raw Pressure Data'!$1:$1,0))),"")</f>
        <v/>
      </c>
      <c r="E26" s="28">
        <f>IF(OR(D26="",D26=-999),"",D26+$E$2)</f>
        <v/>
      </c>
    </row>
    <row r="27" ht="15" customHeight="1">
      <c r="A27" s="21">
        <f>IFERROR(IF(INDEX('Raw Flow Data'!$A:$A,ROW()-23)="","",INDEX('Raw Flow Data'!$A:$A,ROW()-23)),"")</f>
        <v/>
      </c>
      <c r="B27" s="22">
        <f>IFERROR(IF($B$3="","",INDEX('Raw Flow Data'!$A:$ZZ,ROW()-23,MATCH($B$3,'Raw Flow Data'!$1:$1,0))),"")</f>
        <v/>
      </c>
      <c r="C27" s="23">
        <f>IF(OR(B27="",B27=-999),"",B27*$B$2)</f>
        <v/>
      </c>
      <c r="D27" s="22">
        <f>IFERROR(IF($E$3="","",INDEX('Raw Pressure Data'!$A:$ZZ,ROW()-23,MATCH($E$3,'Raw Pressure Data'!$1:$1,0))),"")</f>
        <v/>
      </c>
      <c r="E27" s="24">
        <f>IF(OR(D27="",D27=-999),"",D27+$E$2)</f>
        <v/>
      </c>
    </row>
    <row r="28" ht="15" customHeight="1">
      <c r="A28" s="25">
        <f>IFERROR(IF(INDEX('Raw Flow Data'!$A:$A,ROW()-23)="","",INDEX('Raw Flow Data'!$A:$A,ROW()-23)),"")</f>
        <v/>
      </c>
      <c r="B28" s="26">
        <f>IFERROR(IF($B$3="","",INDEX('Raw Flow Data'!$A:$ZZ,ROW()-23,MATCH($B$3,'Raw Flow Data'!$1:$1,0))),"")</f>
        <v/>
      </c>
      <c r="C28" s="27">
        <f>IF(OR(B28="",B28=-999),"",B28*$B$2)</f>
        <v/>
      </c>
      <c r="D28" s="26">
        <f>IFERROR(IF($E$3="","",INDEX('Raw Pressure Data'!$A:$ZZ,ROW()-23,MATCH($E$3,'Raw Pressure Data'!$1:$1,0))),"")</f>
        <v/>
      </c>
      <c r="E28" s="28">
        <f>IF(OR(D28="",D28=-999),"",D28+$E$2)</f>
        <v/>
      </c>
    </row>
    <row r="29" ht="15" customHeight="1">
      <c r="A29" s="21">
        <f>IFERROR(IF(INDEX('Raw Flow Data'!$A:$A,ROW()-23)="","",INDEX('Raw Flow Data'!$A:$A,ROW()-23)),"")</f>
        <v/>
      </c>
      <c r="B29" s="22">
        <f>IFERROR(IF($B$3="","",INDEX('Raw Flow Data'!$A:$ZZ,ROW()-23,MATCH($B$3,'Raw Flow Data'!$1:$1,0))),"")</f>
        <v/>
      </c>
      <c r="C29" s="23">
        <f>IF(OR(B29="",B29=-999),"",B29*$B$2)</f>
        <v/>
      </c>
      <c r="D29" s="22">
        <f>IFERROR(IF($E$3="","",INDEX('Raw Pressure Data'!$A:$ZZ,ROW()-23,MATCH($E$3,'Raw Pressure Data'!$1:$1,0))),"")</f>
        <v/>
      </c>
      <c r="E29" s="24">
        <f>IF(OR(D29="",D29=-999),"",D29+$E$2)</f>
        <v/>
      </c>
    </row>
    <row r="30" ht="15" customHeight="1">
      <c r="A30" s="25">
        <f>IFERROR(IF(INDEX('Raw Flow Data'!$A:$A,ROW()-23)="","",INDEX('Raw Flow Data'!$A:$A,ROW()-23)),"")</f>
        <v/>
      </c>
      <c r="B30" s="26">
        <f>IFERROR(IF($B$3="","",INDEX('Raw Flow Data'!$A:$ZZ,ROW()-23,MATCH($B$3,'Raw Flow Data'!$1:$1,0))),"")</f>
        <v/>
      </c>
      <c r="C30" s="27">
        <f>IF(OR(B30="",B30=-999),"",B30*$B$2)</f>
        <v/>
      </c>
      <c r="D30" s="26">
        <f>IFERROR(IF($E$3="","",INDEX('Raw Pressure Data'!$A:$ZZ,ROW()-23,MATCH($E$3,'Raw Pressure Data'!$1:$1,0))),"")</f>
        <v/>
      </c>
      <c r="E30" s="28">
        <f>IF(OR(D30="",D30=-999),"",D30+$E$2)</f>
        <v/>
      </c>
    </row>
    <row r="31" ht="15" customHeight="1">
      <c r="A31" s="21">
        <f>IFERROR(IF(INDEX('Raw Flow Data'!$A:$A,ROW()-23)="","",INDEX('Raw Flow Data'!$A:$A,ROW()-23)),"")</f>
        <v/>
      </c>
      <c r="B31" s="22">
        <f>IFERROR(IF($B$3="","",INDEX('Raw Flow Data'!$A:$ZZ,ROW()-23,MATCH($B$3,'Raw Flow Data'!$1:$1,0))),"")</f>
        <v/>
      </c>
      <c r="C31" s="23">
        <f>IF(OR(B31="",B31=-999),"",B31*$B$2)</f>
        <v/>
      </c>
      <c r="D31" s="22">
        <f>IFERROR(IF($E$3="","",INDEX('Raw Pressure Data'!$A:$ZZ,ROW()-23,MATCH($E$3,'Raw Pressure Data'!$1:$1,0))),"")</f>
        <v/>
      </c>
      <c r="E31" s="24">
        <f>IF(OR(D31="",D31=-999),"",D31+$E$2)</f>
        <v/>
      </c>
    </row>
    <row r="32" ht="15" customHeight="1">
      <c r="A32" s="25">
        <f>IFERROR(IF(INDEX('Raw Flow Data'!$A:$A,ROW()-23)="","",INDEX('Raw Flow Data'!$A:$A,ROW()-23)),"")</f>
        <v/>
      </c>
      <c r="B32" s="26">
        <f>IFERROR(IF($B$3="","",INDEX('Raw Flow Data'!$A:$ZZ,ROW()-23,MATCH($B$3,'Raw Flow Data'!$1:$1,0))),"")</f>
        <v/>
      </c>
      <c r="C32" s="27">
        <f>IF(OR(B32="",B32=-999),"",B32*$B$2)</f>
        <v/>
      </c>
      <c r="D32" s="26">
        <f>IFERROR(IF($E$3="","",INDEX('Raw Pressure Data'!$A:$ZZ,ROW()-23,MATCH($E$3,'Raw Pressure Data'!$1:$1,0))),"")</f>
        <v/>
      </c>
      <c r="E32" s="28">
        <f>IF(OR(D32="",D32=-999),"",D32+$E$2)</f>
        <v/>
      </c>
    </row>
    <row r="33" ht="15" customHeight="1">
      <c r="A33" s="21">
        <f>IFERROR(IF(INDEX('Raw Flow Data'!$A:$A,ROW()-23)="","",INDEX('Raw Flow Data'!$A:$A,ROW()-23)),"")</f>
        <v/>
      </c>
      <c r="B33" s="22">
        <f>IFERROR(IF($B$3="","",INDEX('Raw Flow Data'!$A:$ZZ,ROW()-23,MATCH($B$3,'Raw Flow Data'!$1:$1,0))),"")</f>
        <v/>
      </c>
      <c r="C33" s="23">
        <f>IF(OR(B33="",B33=-999),"",B33*$B$2)</f>
        <v/>
      </c>
      <c r="D33" s="22">
        <f>IFERROR(IF($E$3="","",INDEX('Raw Pressure Data'!$A:$ZZ,ROW()-23,MATCH($E$3,'Raw Pressure Data'!$1:$1,0))),"")</f>
        <v/>
      </c>
      <c r="E33" s="24">
        <f>IF(OR(D33="",D33=-999),"",D33+$E$2)</f>
        <v/>
      </c>
    </row>
    <row r="34" ht="15" customHeight="1">
      <c r="A34" s="25">
        <f>IFERROR(IF(INDEX('Raw Flow Data'!$A:$A,ROW()-23)="","",INDEX('Raw Flow Data'!$A:$A,ROW()-23)),"")</f>
        <v/>
      </c>
      <c r="B34" s="26">
        <f>IFERROR(IF($B$3="","",INDEX('Raw Flow Data'!$A:$ZZ,ROW()-23,MATCH($B$3,'Raw Flow Data'!$1:$1,0))),"")</f>
        <v/>
      </c>
      <c r="C34" s="27">
        <f>IF(OR(B34="",B34=-999),"",B34*$B$2)</f>
        <v/>
      </c>
      <c r="D34" s="26">
        <f>IFERROR(IF($E$3="","",INDEX('Raw Pressure Data'!$A:$ZZ,ROW()-23,MATCH($E$3,'Raw Pressure Data'!$1:$1,0))),"")</f>
        <v/>
      </c>
      <c r="E34" s="28">
        <f>IF(OR(D34="",D34=-999),"",D34+$E$2)</f>
        <v/>
      </c>
    </row>
    <row r="35" ht="15" customHeight="1">
      <c r="A35" s="21">
        <f>IFERROR(IF(INDEX('Raw Flow Data'!$A:$A,ROW()-23)="","",INDEX('Raw Flow Data'!$A:$A,ROW()-23)),"")</f>
        <v/>
      </c>
      <c r="B35" s="22">
        <f>IFERROR(IF($B$3="","",INDEX('Raw Flow Data'!$A:$ZZ,ROW()-23,MATCH($B$3,'Raw Flow Data'!$1:$1,0))),"")</f>
        <v/>
      </c>
      <c r="C35" s="23">
        <f>IF(OR(B35="",B35=-999),"",B35*$B$2)</f>
        <v/>
      </c>
      <c r="D35" s="22">
        <f>IFERROR(IF($E$3="","",INDEX('Raw Pressure Data'!$A:$ZZ,ROW()-23,MATCH($E$3,'Raw Pressure Data'!$1:$1,0))),"")</f>
        <v/>
      </c>
      <c r="E35" s="24">
        <f>IF(OR(D35="",D35=-999),"",D35+$E$2)</f>
        <v/>
      </c>
    </row>
    <row r="36" ht="15" customHeight="1">
      <c r="A36" s="25">
        <f>IFERROR(IF(INDEX('Raw Flow Data'!$A:$A,ROW()-23)="","",INDEX('Raw Flow Data'!$A:$A,ROW()-23)),"")</f>
        <v/>
      </c>
      <c r="B36" s="26">
        <f>IFERROR(IF($B$3="","",INDEX('Raw Flow Data'!$A:$ZZ,ROW()-23,MATCH($B$3,'Raw Flow Data'!$1:$1,0))),"")</f>
        <v/>
      </c>
      <c r="C36" s="27">
        <f>IF(OR(B36="",B36=-999),"",B36*$B$2)</f>
        <v/>
      </c>
      <c r="D36" s="26">
        <f>IFERROR(IF($E$3="","",INDEX('Raw Pressure Data'!$A:$ZZ,ROW()-23,MATCH($E$3,'Raw Pressure Data'!$1:$1,0))),"")</f>
        <v/>
      </c>
      <c r="E36" s="28">
        <f>IF(OR(D36="",D36=-999),"",D36+$E$2)</f>
        <v/>
      </c>
    </row>
    <row r="37" ht="15" customHeight="1">
      <c r="A37" s="21">
        <f>IFERROR(IF(INDEX('Raw Flow Data'!$A:$A,ROW()-23)="","",INDEX('Raw Flow Data'!$A:$A,ROW()-23)),"")</f>
        <v/>
      </c>
      <c r="B37" s="22">
        <f>IFERROR(IF($B$3="","",INDEX('Raw Flow Data'!$A:$ZZ,ROW()-23,MATCH($B$3,'Raw Flow Data'!$1:$1,0))),"")</f>
        <v/>
      </c>
      <c r="C37" s="23">
        <f>IF(OR(B37="",B37=-999),"",B37*$B$2)</f>
        <v/>
      </c>
      <c r="D37" s="22">
        <f>IFERROR(IF($E$3="","",INDEX('Raw Pressure Data'!$A:$ZZ,ROW()-23,MATCH($E$3,'Raw Pressure Data'!$1:$1,0))),"")</f>
        <v/>
      </c>
      <c r="E37" s="24">
        <f>IF(OR(D37="",D37=-999),"",D37+$E$2)</f>
        <v/>
      </c>
    </row>
    <row r="38" ht="15" customHeight="1">
      <c r="A38" s="25">
        <f>IFERROR(IF(INDEX('Raw Flow Data'!$A:$A,ROW()-23)="","",INDEX('Raw Flow Data'!$A:$A,ROW()-23)),"")</f>
        <v/>
      </c>
      <c r="B38" s="26">
        <f>IFERROR(IF($B$3="","",INDEX('Raw Flow Data'!$A:$ZZ,ROW()-23,MATCH($B$3,'Raw Flow Data'!$1:$1,0))),"")</f>
        <v/>
      </c>
      <c r="C38" s="27">
        <f>IF(OR(B38="",B38=-999),"",B38*$B$2)</f>
        <v/>
      </c>
      <c r="D38" s="26">
        <f>IFERROR(IF($E$3="","",INDEX('Raw Pressure Data'!$A:$ZZ,ROW()-23,MATCH($E$3,'Raw Pressure Data'!$1:$1,0))),"")</f>
        <v/>
      </c>
      <c r="E38" s="28">
        <f>IF(OR(D38="",D38=-999),"",D38+$E$2)</f>
        <v/>
      </c>
    </row>
    <row r="39" ht="15" customHeight="1">
      <c r="A39" s="21">
        <f>IFERROR(IF(INDEX('Raw Flow Data'!$A:$A,ROW()-23)="","",INDEX('Raw Flow Data'!$A:$A,ROW()-23)),"")</f>
        <v/>
      </c>
      <c r="B39" s="22">
        <f>IFERROR(IF($B$3="","",INDEX('Raw Flow Data'!$A:$ZZ,ROW()-23,MATCH($B$3,'Raw Flow Data'!$1:$1,0))),"")</f>
        <v/>
      </c>
      <c r="C39" s="23">
        <f>IF(OR(B39="",B39=-999),"",B39*$B$2)</f>
        <v/>
      </c>
      <c r="D39" s="22">
        <f>IFERROR(IF($E$3="","",INDEX('Raw Pressure Data'!$A:$ZZ,ROW()-23,MATCH($E$3,'Raw Pressure Data'!$1:$1,0))),"")</f>
        <v/>
      </c>
      <c r="E39" s="24">
        <f>IF(OR(D39="",D39=-999),"",D39+$E$2)</f>
        <v/>
      </c>
    </row>
    <row r="40" ht="15" customHeight="1">
      <c r="A40" s="25">
        <f>IFERROR(IF(INDEX('Raw Flow Data'!$A:$A,ROW()-23)="","",INDEX('Raw Flow Data'!$A:$A,ROW()-23)),"")</f>
        <v/>
      </c>
      <c r="B40" s="26">
        <f>IFERROR(IF($B$3="","",INDEX('Raw Flow Data'!$A:$ZZ,ROW()-23,MATCH($B$3,'Raw Flow Data'!$1:$1,0))),"")</f>
        <v/>
      </c>
      <c r="C40" s="27">
        <f>IF(OR(B40="",B40=-999),"",B40*$B$2)</f>
        <v/>
      </c>
      <c r="D40" s="26">
        <f>IFERROR(IF($E$3="","",INDEX('Raw Pressure Data'!$A:$ZZ,ROW()-23,MATCH($E$3,'Raw Pressure Data'!$1:$1,0))),"")</f>
        <v/>
      </c>
      <c r="E40" s="28">
        <f>IF(OR(D40="",D40=-999),"",D40+$E$2)</f>
        <v/>
      </c>
    </row>
    <row r="41" ht="15" customHeight="1">
      <c r="A41" s="21">
        <f>IFERROR(IF(INDEX('Raw Flow Data'!$A:$A,ROW()-23)="","",INDEX('Raw Flow Data'!$A:$A,ROW()-23)),"")</f>
        <v/>
      </c>
      <c r="B41" s="22">
        <f>IFERROR(IF($B$3="","",INDEX('Raw Flow Data'!$A:$ZZ,ROW()-23,MATCH($B$3,'Raw Flow Data'!$1:$1,0))),"")</f>
        <v/>
      </c>
      <c r="C41" s="23">
        <f>IF(OR(B41="",B41=-999),"",B41*$B$2)</f>
        <v/>
      </c>
      <c r="D41" s="22">
        <f>IFERROR(IF($E$3="","",INDEX('Raw Pressure Data'!$A:$ZZ,ROW()-23,MATCH($E$3,'Raw Pressure Data'!$1:$1,0))),"")</f>
        <v/>
      </c>
      <c r="E41" s="24">
        <f>IF(OR(D41="",D41=-999),"",D41+$E$2)</f>
        <v/>
      </c>
    </row>
    <row r="42" ht="15" customHeight="1">
      <c r="A42" s="25">
        <f>IFERROR(IF(INDEX('Raw Flow Data'!$A:$A,ROW()-23)="","",INDEX('Raw Flow Data'!$A:$A,ROW()-23)),"")</f>
        <v/>
      </c>
      <c r="B42" s="26">
        <f>IFERROR(IF($B$3="","",INDEX('Raw Flow Data'!$A:$ZZ,ROW()-23,MATCH($B$3,'Raw Flow Data'!$1:$1,0))),"")</f>
        <v/>
      </c>
      <c r="C42" s="27">
        <f>IF(OR(B42="",B42=-999),"",B42*$B$2)</f>
        <v/>
      </c>
      <c r="D42" s="26">
        <f>IFERROR(IF($E$3="","",INDEX('Raw Pressure Data'!$A:$ZZ,ROW()-23,MATCH($E$3,'Raw Pressure Data'!$1:$1,0))),"")</f>
        <v/>
      </c>
      <c r="E42" s="28">
        <f>IF(OR(D42="",D42=-999),"",D42+$E$2)</f>
        <v/>
      </c>
    </row>
    <row r="43" ht="15" customHeight="1">
      <c r="A43" s="21">
        <f>IFERROR(IF(INDEX('Raw Flow Data'!$A:$A,ROW()-23)="","",INDEX('Raw Flow Data'!$A:$A,ROW()-23)),"")</f>
        <v/>
      </c>
      <c r="B43" s="22">
        <f>IFERROR(IF($B$3="","",INDEX('Raw Flow Data'!$A:$ZZ,ROW()-23,MATCH($B$3,'Raw Flow Data'!$1:$1,0))),"")</f>
        <v/>
      </c>
      <c r="C43" s="23">
        <f>IF(OR(B43="",B43=-999),"",B43*$B$2)</f>
        <v/>
      </c>
      <c r="D43" s="22">
        <f>IFERROR(IF($E$3="","",INDEX('Raw Pressure Data'!$A:$ZZ,ROW()-23,MATCH($E$3,'Raw Pressure Data'!$1:$1,0))),"")</f>
        <v/>
      </c>
      <c r="E43" s="24">
        <f>IF(OR(D43="",D43=-999),"",D43+$E$2)</f>
        <v/>
      </c>
    </row>
    <row r="44" ht="15" customHeight="1">
      <c r="A44" s="25">
        <f>IFERROR(IF(INDEX('Raw Flow Data'!$A:$A,ROW()-23)="","",INDEX('Raw Flow Data'!$A:$A,ROW()-23)),"")</f>
        <v/>
      </c>
      <c r="B44" s="26">
        <f>IFERROR(IF($B$3="","",INDEX('Raw Flow Data'!$A:$ZZ,ROW()-23,MATCH($B$3,'Raw Flow Data'!$1:$1,0))),"")</f>
        <v/>
      </c>
      <c r="C44" s="27">
        <f>IF(OR(B44="",B44=-999),"",B44*$B$2)</f>
        <v/>
      </c>
      <c r="D44" s="26">
        <f>IFERROR(IF($E$3="","",INDEX('Raw Pressure Data'!$A:$ZZ,ROW()-23,MATCH($E$3,'Raw Pressure Data'!$1:$1,0))),"")</f>
        <v/>
      </c>
      <c r="E44" s="28">
        <f>IF(OR(D44="",D44=-999),"",D44+$E$2)</f>
        <v/>
      </c>
    </row>
    <row r="45" ht="15" customHeight="1">
      <c r="A45" s="21">
        <f>IFERROR(IF(INDEX('Raw Flow Data'!$A:$A,ROW()-23)="","",INDEX('Raw Flow Data'!$A:$A,ROW()-23)),"")</f>
        <v/>
      </c>
      <c r="B45" s="22">
        <f>IFERROR(IF($B$3="","",INDEX('Raw Flow Data'!$A:$ZZ,ROW()-23,MATCH($B$3,'Raw Flow Data'!$1:$1,0))),"")</f>
        <v/>
      </c>
      <c r="C45" s="23">
        <f>IF(OR(B45="",B45=-999),"",B45*$B$2)</f>
        <v/>
      </c>
      <c r="D45" s="22">
        <f>IFERROR(IF($E$3="","",INDEX('Raw Pressure Data'!$A:$ZZ,ROW()-23,MATCH($E$3,'Raw Pressure Data'!$1:$1,0))),"")</f>
        <v/>
      </c>
      <c r="E45" s="24">
        <f>IF(OR(D45="",D45=-999),"",D45+$E$2)</f>
        <v/>
      </c>
    </row>
    <row r="46" ht="15" customHeight="1">
      <c r="A46" s="25">
        <f>IFERROR(IF(INDEX('Raw Flow Data'!$A:$A,ROW()-23)="","",INDEX('Raw Flow Data'!$A:$A,ROW()-23)),"")</f>
        <v/>
      </c>
      <c r="B46" s="26">
        <f>IFERROR(IF($B$3="","",INDEX('Raw Flow Data'!$A:$ZZ,ROW()-23,MATCH($B$3,'Raw Flow Data'!$1:$1,0))),"")</f>
        <v/>
      </c>
      <c r="C46" s="27">
        <f>IF(OR(B46="",B46=-999),"",B46*$B$2)</f>
        <v/>
      </c>
      <c r="D46" s="26">
        <f>IFERROR(IF($E$3="","",INDEX('Raw Pressure Data'!$A:$ZZ,ROW()-23,MATCH($E$3,'Raw Pressure Data'!$1:$1,0))),"")</f>
        <v/>
      </c>
      <c r="E46" s="28">
        <f>IF(OR(D46="",D46=-999),"",D46+$E$2)</f>
        <v/>
      </c>
    </row>
    <row r="47" ht="15" customHeight="1">
      <c r="A47" s="21">
        <f>IFERROR(IF(INDEX('Raw Flow Data'!$A:$A,ROW()-23)="","",INDEX('Raw Flow Data'!$A:$A,ROW()-23)),"")</f>
        <v/>
      </c>
      <c r="B47" s="22">
        <f>IFERROR(IF($B$3="","",INDEX('Raw Flow Data'!$A:$ZZ,ROW()-23,MATCH($B$3,'Raw Flow Data'!$1:$1,0))),"")</f>
        <v/>
      </c>
      <c r="C47" s="23">
        <f>IF(OR(B47="",B47=-999),"",B47*$B$2)</f>
        <v/>
      </c>
      <c r="D47" s="22">
        <f>IFERROR(IF($E$3="","",INDEX('Raw Pressure Data'!$A:$ZZ,ROW()-23,MATCH($E$3,'Raw Pressure Data'!$1:$1,0))),"")</f>
        <v/>
      </c>
      <c r="E47" s="24">
        <f>IF(OR(D47="",D47=-999),"",D47+$E$2)</f>
        <v/>
      </c>
    </row>
    <row r="48" ht="15" customHeight="1">
      <c r="A48" s="25">
        <f>IFERROR(IF(INDEX('Raw Flow Data'!$A:$A,ROW()-23)="","",INDEX('Raw Flow Data'!$A:$A,ROW()-23)),"")</f>
        <v/>
      </c>
      <c r="B48" s="26">
        <f>IFERROR(IF($B$3="","",INDEX('Raw Flow Data'!$A:$ZZ,ROW()-23,MATCH($B$3,'Raw Flow Data'!$1:$1,0))),"")</f>
        <v/>
      </c>
      <c r="C48" s="27">
        <f>IF(OR(B48="",B48=-999),"",B48*$B$2)</f>
        <v/>
      </c>
      <c r="D48" s="26">
        <f>IFERROR(IF($E$3="","",INDEX('Raw Pressure Data'!$A:$ZZ,ROW()-23,MATCH($E$3,'Raw Pressure Data'!$1:$1,0))),"")</f>
        <v/>
      </c>
      <c r="E48" s="28">
        <f>IF(OR(D48="",D48=-999),"",D48+$E$2)</f>
        <v/>
      </c>
    </row>
    <row r="49" ht="15" customHeight="1">
      <c r="A49" s="21">
        <f>IFERROR(IF(INDEX('Raw Flow Data'!$A:$A,ROW()-23)="","",INDEX('Raw Flow Data'!$A:$A,ROW()-23)),"")</f>
        <v/>
      </c>
      <c r="B49" s="22">
        <f>IFERROR(IF($B$3="","",INDEX('Raw Flow Data'!$A:$ZZ,ROW()-23,MATCH($B$3,'Raw Flow Data'!$1:$1,0))),"")</f>
        <v/>
      </c>
      <c r="C49" s="23">
        <f>IF(OR(B49="",B49=-999),"",B49*$B$2)</f>
        <v/>
      </c>
      <c r="D49" s="22">
        <f>IFERROR(IF($E$3="","",INDEX('Raw Pressure Data'!$A:$ZZ,ROW()-23,MATCH($E$3,'Raw Pressure Data'!$1:$1,0))),"")</f>
        <v/>
      </c>
      <c r="E49" s="24">
        <f>IF(OR(D49="",D49=-999),"",D49+$E$2)</f>
        <v/>
      </c>
    </row>
    <row r="50" ht="15" customHeight="1">
      <c r="A50" s="25">
        <f>IFERROR(IF(INDEX('Raw Flow Data'!$A:$A,ROW()-23)="","",INDEX('Raw Flow Data'!$A:$A,ROW()-23)),"")</f>
        <v/>
      </c>
      <c r="B50" s="26">
        <f>IFERROR(IF($B$3="","",INDEX('Raw Flow Data'!$A:$ZZ,ROW()-23,MATCH($B$3,'Raw Flow Data'!$1:$1,0))),"")</f>
        <v/>
      </c>
      <c r="C50" s="27">
        <f>IF(OR(B50="",B50=-999),"",B50*$B$2)</f>
        <v/>
      </c>
      <c r="D50" s="26">
        <f>IFERROR(IF($E$3="","",INDEX('Raw Pressure Data'!$A:$ZZ,ROW()-23,MATCH($E$3,'Raw Pressure Data'!$1:$1,0))),"")</f>
        <v/>
      </c>
      <c r="E50" s="28">
        <f>IF(OR(D50="",D50=-999),"",D50+$E$2)</f>
        <v/>
      </c>
    </row>
    <row r="51" ht="15" customHeight="1">
      <c r="A51" s="21">
        <f>IFERROR(IF(INDEX('Raw Flow Data'!$A:$A,ROW()-23)="","",INDEX('Raw Flow Data'!$A:$A,ROW()-23)),"")</f>
        <v/>
      </c>
      <c r="B51" s="22">
        <f>IFERROR(IF($B$3="","",INDEX('Raw Flow Data'!$A:$ZZ,ROW()-23,MATCH($B$3,'Raw Flow Data'!$1:$1,0))),"")</f>
        <v/>
      </c>
      <c r="C51" s="23">
        <f>IF(OR(B51="",B51=-999),"",B51*$B$2)</f>
        <v/>
      </c>
      <c r="D51" s="22">
        <f>IFERROR(IF($E$3="","",INDEX('Raw Pressure Data'!$A:$ZZ,ROW()-23,MATCH($E$3,'Raw Pressure Data'!$1:$1,0))),"")</f>
        <v/>
      </c>
      <c r="E51" s="24">
        <f>IF(OR(D51="",D51=-999),"",D51+$E$2)</f>
        <v/>
      </c>
    </row>
    <row r="52" ht="15" customHeight="1">
      <c r="A52" s="25">
        <f>IFERROR(IF(INDEX('Raw Flow Data'!$A:$A,ROW()-23)="","",INDEX('Raw Flow Data'!$A:$A,ROW()-23)),"")</f>
        <v/>
      </c>
      <c r="B52" s="26">
        <f>IFERROR(IF($B$3="","",INDEX('Raw Flow Data'!$A:$ZZ,ROW()-23,MATCH($B$3,'Raw Flow Data'!$1:$1,0))),"")</f>
        <v/>
      </c>
      <c r="C52" s="27">
        <f>IF(OR(B52="",B52=-999),"",B52*$B$2)</f>
        <v/>
      </c>
      <c r="D52" s="26">
        <f>IFERROR(IF($E$3="","",INDEX('Raw Pressure Data'!$A:$ZZ,ROW()-23,MATCH($E$3,'Raw Pressure Data'!$1:$1,0))),"")</f>
        <v/>
      </c>
      <c r="E52" s="28">
        <f>IF(OR(D52="",D52=-999),"",D52+$E$2)</f>
        <v/>
      </c>
    </row>
    <row r="53" ht="15" customHeight="1">
      <c r="A53" s="21">
        <f>IFERROR(IF(INDEX('Raw Flow Data'!$A:$A,ROW()-23)="","",INDEX('Raw Flow Data'!$A:$A,ROW()-23)),"")</f>
        <v/>
      </c>
      <c r="B53" s="22">
        <f>IFERROR(IF($B$3="","",INDEX('Raw Flow Data'!$A:$ZZ,ROW()-23,MATCH($B$3,'Raw Flow Data'!$1:$1,0))),"")</f>
        <v/>
      </c>
      <c r="C53" s="23">
        <f>IF(OR(B53="",B53=-999),"",B53*$B$2)</f>
        <v/>
      </c>
      <c r="D53" s="22">
        <f>IFERROR(IF($E$3="","",INDEX('Raw Pressure Data'!$A:$ZZ,ROW()-23,MATCH($E$3,'Raw Pressure Data'!$1:$1,0))),"")</f>
        <v/>
      </c>
      <c r="E53" s="24">
        <f>IF(OR(D53="",D53=-999),"",D53+$E$2)</f>
        <v/>
      </c>
    </row>
    <row r="54" ht="15" customHeight="1">
      <c r="A54" s="25">
        <f>IFERROR(IF(INDEX('Raw Flow Data'!$A:$A,ROW()-23)="","",INDEX('Raw Flow Data'!$A:$A,ROW()-23)),"")</f>
        <v/>
      </c>
      <c r="B54" s="26">
        <f>IFERROR(IF($B$3="","",INDEX('Raw Flow Data'!$A:$ZZ,ROW()-23,MATCH($B$3,'Raw Flow Data'!$1:$1,0))),"")</f>
        <v/>
      </c>
      <c r="C54" s="27">
        <f>IF(OR(B54="",B54=-999),"",B54*$B$2)</f>
        <v/>
      </c>
      <c r="D54" s="26">
        <f>IFERROR(IF($E$3="","",INDEX('Raw Pressure Data'!$A:$ZZ,ROW()-23,MATCH($E$3,'Raw Pressure Data'!$1:$1,0))),"")</f>
        <v/>
      </c>
      <c r="E54" s="28">
        <f>IF(OR(D54="",D54=-999),"",D54+$E$2)</f>
        <v/>
      </c>
    </row>
    <row r="55" ht="15" customHeight="1">
      <c r="A55" s="21">
        <f>IFERROR(IF(INDEX('Raw Flow Data'!$A:$A,ROW()-23)="","",INDEX('Raw Flow Data'!$A:$A,ROW()-23)),"")</f>
        <v/>
      </c>
      <c r="B55" s="22">
        <f>IFERROR(IF($B$3="","",INDEX('Raw Flow Data'!$A:$ZZ,ROW()-23,MATCH($B$3,'Raw Flow Data'!$1:$1,0))),"")</f>
        <v/>
      </c>
      <c r="C55" s="23">
        <f>IF(OR(B55="",B55=-999),"",B55*$B$2)</f>
        <v/>
      </c>
      <c r="D55" s="22">
        <f>IFERROR(IF($E$3="","",INDEX('Raw Pressure Data'!$A:$ZZ,ROW()-23,MATCH($E$3,'Raw Pressure Data'!$1:$1,0))),"")</f>
        <v/>
      </c>
      <c r="E55" s="24">
        <f>IF(OR(D55="",D55=-999),"",D55+$E$2)</f>
        <v/>
      </c>
    </row>
    <row r="56" ht="15" customHeight="1">
      <c r="A56" s="25">
        <f>IFERROR(IF(INDEX('Raw Flow Data'!$A:$A,ROW()-23)="","",INDEX('Raw Flow Data'!$A:$A,ROW()-23)),"")</f>
        <v/>
      </c>
      <c r="B56" s="26">
        <f>IFERROR(IF($B$3="","",INDEX('Raw Flow Data'!$A:$ZZ,ROW()-23,MATCH($B$3,'Raw Flow Data'!$1:$1,0))),"")</f>
        <v/>
      </c>
      <c r="C56" s="27">
        <f>IF(OR(B56="",B56=-999),"",B56*$B$2)</f>
        <v/>
      </c>
      <c r="D56" s="26">
        <f>IFERROR(IF($E$3="","",INDEX('Raw Pressure Data'!$A:$ZZ,ROW()-23,MATCH($E$3,'Raw Pressure Data'!$1:$1,0))),"")</f>
        <v/>
      </c>
      <c r="E56" s="28">
        <f>IF(OR(D56="",D56=-999),"",D56+$E$2)</f>
        <v/>
      </c>
    </row>
    <row r="57" ht="15" customHeight="1">
      <c r="A57" s="21">
        <f>IFERROR(IF(INDEX('Raw Flow Data'!$A:$A,ROW()-23)="","",INDEX('Raw Flow Data'!$A:$A,ROW()-23)),"")</f>
        <v/>
      </c>
      <c r="B57" s="22">
        <f>IFERROR(IF($B$3="","",INDEX('Raw Flow Data'!$A:$ZZ,ROW()-23,MATCH($B$3,'Raw Flow Data'!$1:$1,0))),"")</f>
        <v/>
      </c>
      <c r="C57" s="23">
        <f>IF(OR(B57="",B57=-999),"",B57*$B$2)</f>
        <v/>
      </c>
      <c r="D57" s="22">
        <f>IFERROR(IF($E$3="","",INDEX('Raw Pressure Data'!$A:$ZZ,ROW()-23,MATCH($E$3,'Raw Pressure Data'!$1:$1,0))),"")</f>
        <v/>
      </c>
      <c r="E57" s="24">
        <f>IF(OR(D57="",D57=-999),"",D57+$E$2)</f>
        <v/>
      </c>
    </row>
    <row r="58" ht="15" customHeight="1">
      <c r="A58" s="25">
        <f>IFERROR(IF(INDEX('Raw Flow Data'!$A:$A,ROW()-23)="","",INDEX('Raw Flow Data'!$A:$A,ROW()-23)),"")</f>
        <v/>
      </c>
      <c r="B58" s="26">
        <f>IFERROR(IF($B$3="","",INDEX('Raw Flow Data'!$A:$ZZ,ROW()-23,MATCH($B$3,'Raw Flow Data'!$1:$1,0))),"")</f>
        <v/>
      </c>
      <c r="C58" s="27">
        <f>IF(OR(B58="",B58=-999),"",B58*$B$2)</f>
        <v/>
      </c>
      <c r="D58" s="26">
        <f>IFERROR(IF($E$3="","",INDEX('Raw Pressure Data'!$A:$ZZ,ROW()-23,MATCH($E$3,'Raw Pressure Data'!$1:$1,0))),"")</f>
        <v/>
      </c>
      <c r="E58" s="28">
        <f>IF(OR(D58="",D58=-999),"",D58+$E$2)</f>
        <v/>
      </c>
    </row>
    <row r="59" ht="15" customHeight="1">
      <c r="A59" s="21">
        <f>IFERROR(IF(INDEX('Raw Flow Data'!$A:$A,ROW()-23)="","",INDEX('Raw Flow Data'!$A:$A,ROW()-23)),"")</f>
        <v/>
      </c>
      <c r="B59" s="22">
        <f>IFERROR(IF($B$3="","",INDEX('Raw Flow Data'!$A:$ZZ,ROW()-23,MATCH($B$3,'Raw Flow Data'!$1:$1,0))),"")</f>
        <v/>
      </c>
      <c r="C59" s="23">
        <f>IF(OR(B59="",B59=-999),"",B59*$B$2)</f>
        <v/>
      </c>
      <c r="D59" s="22">
        <f>IFERROR(IF($E$3="","",INDEX('Raw Pressure Data'!$A:$ZZ,ROW()-23,MATCH($E$3,'Raw Pressure Data'!$1:$1,0))),"")</f>
        <v/>
      </c>
      <c r="E59" s="24">
        <f>IF(OR(D59="",D59=-999),"",D59+$E$2)</f>
        <v/>
      </c>
    </row>
    <row r="60" ht="15" customHeight="1">
      <c r="A60" s="25">
        <f>IFERROR(IF(INDEX('Raw Flow Data'!$A:$A,ROW()-23)="","",INDEX('Raw Flow Data'!$A:$A,ROW()-23)),"")</f>
        <v/>
      </c>
      <c r="B60" s="26">
        <f>IFERROR(IF($B$3="","",INDEX('Raw Flow Data'!$A:$ZZ,ROW()-23,MATCH($B$3,'Raw Flow Data'!$1:$1,0))),"")</f>
        <v/>
      </c>
      <c r="C60" s="27">
        <f>IF(OR(B60="",B60=-999),"",B60*$B$2)</f>
        <v/>
      </c>
      <c r="D60" s="26">
        <f>IFERROR(IF($E$3="","",INDEX('Raw Pressure Data'!$A:$ZZ,ROW()-23,MATCH($E$3,'Raw Pressure Data'!$1:$1,0))),"")</f>
        <v/>
      </c>
      <c r="E60" s="28">
        <f>IF(OR(D60="",D60=-999),"",D60+$E$2)</f>
        <v/>
      </c>
    </row>
    <row r="61" ht="15" customHeight="1">
      <c r="A61" s="21">
        <f>IFERROR(IF(INDEX('Raw Flow Data'!$A:$A,ROW()-23)="","",INDEX('Raw Flow Data'!$A:$A,ROW()-23)),"")</f>
        <v/>
      </c>
      <c r="B61" s="22">
        <f>IFERROR(IF($B$3="","",INDEX('Raw Flow Data'!$A:$ZZ,ROW()-23,MATCH($B$3,'Raw Flow Data'!$1:$1,0))),"")</f>
        <v/>
      </c>
      <c r="C61" s="23">
        <f>IF(OR(B61="",B61=-999),"",B61*$B$2)</f>
        <v/>
      </c>
      <c r="D61" s="22">
        <f>IFERROR(IF($E$3="","",INDEX('Raw Pressure Data'!$A:$ZZ,ROW()-23,MATCH($E$3,'Raw Pressure Data'!$1:$1,0))),"")</f>
        <v/>
      </c>
      <c r="E61" s="24">
        <f>IF(OR(D61="",D61=-999),"",D61+$E$2)</f>
        <v/>
      </c>
    </row>
    <row r="62" ht="15" customHeight="1">
      <c r="A62" s="25">
        <f>IFERROR(IF(INDEX('Raw Flow Data'!$A:$A,ROW()-23)="","",INDEX('Raw Flow Data'!$A:$A,ROW()-23)),"")</f>
        <v/>
      </c>
      <c r="B62" s="26">
        <f>IFERROR(IF($B$3="","",INDEX('Raw Flow Data'!$A:$ZZ,ROW()-23,MATCH($B$3,'Raw Flow Data'!$1:$1,0))),"")</f>
        <v/>
      </c>
      <c r="C62" s="27">
        <f>IF(OR(B62="",B62=-999),"",B62*$B$2)</f>
        <v/>
      </c>
      <c r="D62" s="26">
        <f>IFERROR(IF($E$3="","",INDEX('Raw Pressure Data'!$A:$ZZ,ROW()-23,MATCH($E$3,'Raw Pressure Data'!$1:$1,0))),"")</f>
        <v/>
      </c>
      <c r="E62" s="28">
        <f>IF(OR(D62="",D62=-999),"",D62+$E$2)</f>
        <v/>
      </c>
    </row>
    <row r="63" ht="15" customHeight="1">
      <c r="A63" s="21">
        <f>IFERROR(IF(INDEX('Raw Flow Data'!$A:$A,ROW()-23)="","",INDEX('Raw Flow Data'!$A:$A,ROW()-23)),"")</f>
        <v/>
      </c>
      <c r="B63" s="22">
        <f>IFERROR(IF($B$3="","",INDEX('Raw Flow Data'!$A:$ZZ,ROW()-23,MATCH($B$3,'Raw Flow Data'!$1:$1,0))),"")</f>
        <v/>
      </c>
      <c r="C63" s="23">
        <f>IF(OR(B63="",B63=-999),"",B63*$B$2)</f>
        <v/>
      </c>
      <c r="D63" s="22">
        <f>IFERROR(IF($E$3="","",INDEX('Raw Pressure Data'!$A:$ZZ,ROW()-23,MATCH($E$3,'Raw Pressure Data'!$1:$1,0))),"")</f>
        <v/>
      </c>
      <c r="E63" s="24">
        <f>IF(OR(D63="",D63=-999),"",D63+$E$2)</f>
        <v/>
      </c>
    </row>
    <row r="64" ht="15" customHeight="1">
      <c r="A64" s="25">
        <f>IFERROR(IF(INDEX('Raw Flow Data'!$A:$A,ROW()-23)="","",INDEX('Raw Flow Data'!$A:$A,ROW()-23)),"")</f>
        <v/>
      </c>
      <c r="B64" s="26">
        <f>IFERROR(IF($B$3="","",INDEX('Raw Flow Data'!$A:$ZZ,ROW()-23,MATCH($B$3,'Raw Flow Data'!$1:$1,0))),"")</f>
        <v/>
      </c>
      <c r="C64" s="27">
        <f>IF(OR(B64="",B64=-999),"",B64*$B$2)</f>
        <v/>
      </c>
      <c r="D64" s="26">
        <f>IFERROR(IF($E$3="","",INDEX('Raw Pressure Data'!$A:$ZZ,ROW()-23,MATCH($E$3,'Raw Pressure Data'!$1:$1,0))),"")</f>
        <v/>
      </c>
      <c r="E64" s="28">
        <f>IF(OR(D64="",D64=-999),"",D64+$E$2)</f>
        <v/>
      </c>
    </row>
    <row r="65" ht="15" customHeight="1">
      <c r="A65" s="21">
        <f>IFERROR(IF(INDEX('Raw Flow Data'!$A:$A,ROW()-23)="","",INDEX('Raw Flow Data'!$A:$A,ROW()-23)),"")</f>
        <v/>
      </c>
      <c r="B65" s="22">
        <f>IFERROR(IF($B$3="","",INDEX('Raw Flow Data'!$A:$ZZ,ROW()-23,MATCH($B$3,'Raw Flow Data'!$1:$1,0))),"")</f>
        <v/>
      </c>
      <c r="C65" s="23">
        <f>IF(OR(B65="",B65=-999),"",B65*$B$2)</f>
        <v/>
      </c>
      <c r="D65" s="22">
        <f>IFERROR(IF($E$3="","",INDEX('Raw Pressure Data'!$A:$ZZ,ROW()-23,MATCH($E$3,'Raw Pressure Data'!$1:$1,0))),"")</f>
        <v/>
      </c>
      <c r="E65" s="24">
        <f>IF(OR(D65="",D65=-999),"",D65+$E$2)</f>
        <v/>
      </c>
    </row>
    <row r="66" ht="15" customHeight="1">
      <c r="A66" s="25">
        <f>IFERROR(IF(INDEX('Raw Flow Data'!$A:$A,ROW()-23)="","",INDEX('Raw Flow Data'!$A:$A,ROW()-23)),"")</f>
        <v/>
      </c>
      <c r="B66" s="26">
        <f>IFERROR(IF($B$3="","",INDEX('Raw Flow Data'!$A:$ZZ,ROW()-23,MATCH($B$3,'Raw Flow Data'!$1:$1,0))),"")</f>
        <v/>
      </c>
      <c r="C66" s="27">
        <f>IF(OR(B66="",B66=-999),"",B66*$B$2)</f>
        <v/>
      </c>
      <c r="D66" s="26">
        <f>IFERROR(IF($E$3="","",INDEX('Raw Pressure Data'!$A:$ZZ,ROW()-23,MATCH($E$3,'Raw Pressure Data'!$1:$1,0))),"")</f>
        <v/>
      </c>
      <c r="E66" s="28">
        <f>IF(OR(D66="",D66=-999),"",D66+$E$2)</f>
        <v/>
      </c>
    </row>
    <row r="67" ht="15" customHeight="1">
      <c r="A67" s="21">
        <f>IFERROR(IF(INDEX('Raw Flow Data'!$A:$A,ROW()-23)="","",INDEX('Raw Flow Data'!$A:$A,ROW()-23)),"")</f>
        <v/>
      </c>
      <c r="B67" s="22">
        <f>IFERROR(IF($B$3="","",INDEX('Raw Flow Data'!$A:$ZZ,ROW()-23,MATCH($B$3,'Raw Flow Data'!$1:$1,0))),"")</f>
        <v/>
      </c>
      <c r="C67" s="23">
        <f>IF(OR(B67="",B67=-999),"",B67*$B$2)</f>
        <v/>
      </c>
      <c r="D67" s="22">
        <f>IFERROR(IF($E$3="","",INDEX('Raw Pressure Data'!$A:$ZZ,ROW()-23,MATCH($E$3,'Raw Pressure Data'!$1:$1,0))),"")</f>
        <v/>
      </c>
      <c r="E67" s="24">
        <f>IF(OR(D67="",D67=-999),"",D67+$E$2)</f>
        <v/>
      </c>
    </row>
    <row r="68" ht="15" customHeight="1">
      <c r="A68" s="25">
        <f>IFERROR(IF(INDEX('Raw Flow Data'!$A:$A,ROW()-23)="","",INDEX('Raw Flow Data'!$A:$A,ROW()-23)),"")</f>
        <v/>
      </c>
      <c r="B68" s="26">
        <f>IFERROR(IF($B$3="","",INDEX('Raw Flow Data'!$A:$ZZ,ROW()-23,MATCH($B$3,'Raw Flow Data'!$1:$1,0))),"")</f>
        <v/>
      </c>
      <c r="C68" s="27">
        <f>IF(OR(B68="",B68=-999),"",B68*$B$2)</f>
        <v/>
      </c>
      <c r="D68" s="26">
        <f>IFERROR(IF($E$3="","",INDEX('Raw Pressure Data'!$A:$ZZ,ROW()-23,MATCH($E$3,'Raw Pressure Data'!$1:$1,0))),"")</f>
        <v/>
      </c>
      <c r="E68" s="28">
        <f>IF(OR(D68="",D68=-999),"",D68+$E$2)</f>
        <v/>
      </c>
    </row>
    <row r="69" ht="15" customHeight="1">
      <c r="A69" s="21">
        <f>IFERROR(IF(INDEX('Raw Flow Data'!$A:$A,ROW()-23)="","",INDEX('Raw Flow Data'!$A:$A,ROW()-23)),"")</f>
        <v/>
      </c>
      <c r="B69" s="22">
        <f>IFERROR(IF($B$3="","",INDEX('Raw Flow Data'!$A:$ZZ,ROW()-23,MATCH($B$3,'Raw Flow Data'!$1:$1,0))),"")</f>
        <v/>
      </c>
      <c r="C69" s="23">
        <f>IF(OR(B69="",B69=-999),"",B69*$B$2)</f>
        <v/>
      </c>
      <c r="D69" s="22">
        <f>IFERROR(IF($E$3="","",INDEX('Raw Pressure Data'!$A:$ZZ,ROW()-23,MATCH($E$3,'Raw Pressure Data'!$1:$1,0))),"")</f>
        <v/>
      </c>
      <c r="E69" s="24">
        <f>IF(OR(D69="",D69=-999),"",D69+$E$2)</f>
        <v/>
      </c>
    </row>
    <row r="70" ht="15" customHeight="1">
      <c r="A70" s="25">
        <f>IFERROR(IF(INDEX('Raw Flow Data'!$A:$A,ROW()-23)="","",INDEX('Raw Flow Data'!$A:$A,ROW()-23)),"")</f>
        <v/>
      </c>
      <c r="B70" s="26">
        <f>IFERROR(IF($B$3="","",INDEX('Raw Flow Data'!$A:$ZZ,ROW()-23,MATCH($B$3,'Raw Flow Data'!$1:$1,0))),"")</f>
        <v/>
      </c>
      <c r="C70" s="27">
        <f>IF(OR(B70="",B70=-999),"",B70*$B$2)</f>
        <v/>
      </c>
      <c r="D70" s="26">
        <f>IFERROR(IF($E$3="","",INDEX('Raw Pressure Data'!$A:$ZZ,ROW()-23,MATCH($E$3,'Raw Pressure Data'!$1:$1,0))),"")</f>
        <v/>
      </c>
      <c r="E70" s="28">
        <f>IF(OR(D70="",D70=-999),"",D70+$E$2)</f>
        <v/>
      </c>
    </row>
    <row r="71" ht="15" customHeight="1">
      <c r="A71" s="21">
        <f>IFERROR(IF(INDEX('Raw Flow Data'!$A:$A,ROW()-23)="","",INDEX('Raw Flow Data'!$A:$A,ROW()-23)),"")</f>
        <v/>
      </c>
      <c r="B71" s="22">
        <f>IFERROR(IF($B$3="","",INDEX('Raw Flow Data'!$A:$ZZ,ROW()-23,MATCH($B$3,'Raw Flow Data'!$1:$1,0))),"")</f>
        <v/>
      </c>
      <c r="C71" s="23">
        <f>IF(OR(B71="",B71=-999),"",B71*$B$2)</f>
        <v/>
      </c>
      <c r="D71" s="22">
        <f>IFERROR(IF($E$3="","",INDEX('Raw Pressure Data'!$A:$ZZ,ROW()-23,MATCH($E$3,'Raw Pressure Data'!$1:$1,0))),"")</f>
        <v/>
      </c>
      <c r="E71" s="24">
        <f>IF(OR(D71="",D71=-999),"",D71+$E$2)</f>
        <v/>
      </c>
    </row>
    <row r="72" ht="15" customHeight="1">
      <c r="A72" s="25">
        <f>IFERROR(IF(INDEX('Raw Flow Data'!$A:$A,ROW()-23)="","",INDEX('Raw Flow Data'!$A:$A,ROW()-23)),"")</f>
        <v/>
      </c>
      <c r="B72" s="26">
        <f>IFERROR(IF($B$3="","",INDEX('Raw Flow Data'!$A:$ZZ,ROW()-23,MATCH($B$3,'Raw Flow Data'!$1:$1,0))),"")</f>
        <v/>
      </c>
      <c r="C72" s="27">
        <f>IF(OR(B72="",B72=-999),"",B72*$B$2)</f>
        <v/>
      </c>
      <c r="D72" s="26">
        <f>IFERROR(IF($E$3="","",INDEX('Raw Pressure Data'!$A:$ZZ,ROW()-23,MATCH($E$3,'Raw Pressure Data'!$1:$1,0))),"")</f>
        <v/>
      </c>
      <c r="E72" s="28">
        <f>IF(OR(D72="",D72=-999),"",D72+$E$2)</f>
        <v/>
      </c>
    </row>
    <row r="73" ht="15" customHeight="1">
      <c r="A73" s="21">
        <f>IFERROR(IF(INDEX('Raw Flow Data'!$A:$A,ROW()-23)="","",INDEX('Raw Flow Data'!$A:$A,ROW()-23)),"")</f>
        <v/>
      </c>
      <c r="B73" s="22">
        <f>IFERROR(IF($B$3="","",INDEX('Raw Flow Data'!$A:$ZZ,ROW()-23,MATCH($B$3,'Raw Flow Data'!$1:$1,0))),"")</f>
        <v/>
      </c>
      <c r="C73" s="23">
        <f>IF(OR(B73="",B73=-999),"",B73*$B$2)</f>
        <v/>
      </c>
      <c r="D73" s="22">
        <f>IFERROR(IF($E$3="","",INDEX('Raw Pressure Data'!$A:$ZZ,ROW()-23,MATCH($E$3,'Raw Pressure Data'!$1:$1,0))),"")</f>
        <v/>
      </c>
      <c r="E73" s="24">
        <f>IF(OR(D73="",D73=-999),"",D73+$E$2)</f>
        <v/>
      </c>
    </row>
    <row r="74" ht="15" customHeight="1">
      <c r="A74" s="25">
        <f>IFERROR(IF(INDEX('Raw Flow Data'!$A:$A,ROW()-23)="","",INDEX('Raw Flow Data'!$A:$A,ROW()-23)),"")</f>
        <v/>
      </c>
      <c r="B74" s="26">
        <f>IFERROR(IF($B$3="","",INDEX('Raw Flow Data'!$A:$ZZ,ROW()-23,MATCH($B$3,'Raw Flow Data'!$1:$1,0))),"")</f>
        <v/>
      </c>
      <c r="C74" s="27">
        <f>IF(OR(B74="",B74=-999),"",B74*$B$2)</f>
        <v/>
      </c>
      <c r="D74" s="26">
        <f>IFERROR(IF($E$3="","",INDEX('Raw Pressure Data'!$A:$ZZ,ROW()-23,MATCH($E$3,'Raw Pressure Data'!$1:$1,0))),"")</f>
        <v/>
      </c>
      <c r="E74" s="28">
        <f>IF(OR(D74="",D74=-999),"",D74+$E$2)</f>
        <v/>
      </c>
    </row>
    <row r="75" ht="15" customHeight="1">
      <c r="A75" s="21">
        <f>IFERROR(IF(INDEX('Raw Flow Data'!$A:$A,ROW()-23)="","",INDEX('Raw Flow Data'!$A:$A,ROW()-23)),"")</f>
        <v/>
      </c>
      <c r="B75" s="22">
        <f>IFERROR(IF($B$3="","",INDEX('Raw Flow Data'!$A:$ZZ,ROW()-23,MATCH($B$3,'Raw Flow Data'!$1:$1,0))),"")</f>
        <v/>
      </c>
      <c r="C75" s="23">
        <f>IF(OR(B75="",B75=-999),"",B75*$B$2)</f>
        <v/>
      </c>
      <c r="D75" s="22">
        <f>IFERROR(IF($E$3="","",INDEX('Raw Pressure Data'!$A:$ZZ,ROW()-23,MATCH($E$3,'Raw Pressure Data'!$1:$1,0))),"")</f>
        <v/>
      </c>
      <c r="E75" s="24">
        <f>IF(OR(D75="",D75=-999),"",D75+$E$2)</f>
        <v/>
      </c>
    </row>
    <row r="76" ht="15" customHeight="1">
      <c r="A76" s="25">
        <f>IFERROR(IF(INDEX('Raw Flow Data'!$A:$A,ROW()-23)="","",INDEX('Raw Flow Data'!$A:$A,ROW()-23)),"")</f>
        <v/>
      </c>
      <c r="B76" s="26">
        <f>IFERROR(IF($B$3="","",INDEX('Raw Flow Data'!$A:$ZZ,ROW()-23,MATCH($B$3,'Raw Flow Data'!$1:$1,0))),"")</f>
        <v/>
      </c>
      <c r="C76" s="27">
        <f>IF(OR(B76="",B76=-999),"",B76*$B$2)</f>
        <v/>
      </c>
      <c r="D76" s="26">
        <f>IFERROR(IF($E$3="","",INDEX('Raw Pressure Data'!$A:$ZZ,ROW()-23,MATCH($E$3,'Raw Pressure Data'!$1:$1,0))),"")</f>
        <v/>
      </c>
      <c r="E76" s="28">
        <f>IF(OR(D76="",D76=-999),"",D76+$E$2)</f>
        <v/>
      </c>
    </row>
    <row r="77" ht="15" customHeight="1">
      <c r="A77" s="21">
        <f>IFERROR(IF(INDEX('Raw Flow Data'!$A:$A,ROW()-23)="","",INDEX('Raw Flow Data'!$A:$A,ROW()-23)),"")</f>
        <v/>
      </c>
      <c r="B77" s="22">
        <f>IFERROR(IF($B$3="","",INDEX('Raw Flow Data'!$A:$ZZ,ROW()-23,MATCH($B$3,'Raw Flow Data'!$1:$1,0))),"")</f>
        <v/>
      </c>
      <c r="C77" s="23">
        <f>IF(OR(B77="",B77=-999),"",B77*$B$2)</f>
        <v/>
      </c>
      <c r="D77" s="22">
        <f>IFERROR(IF($E$3="","",INDEX('Raw Pressure Data'!$A:$ZZ,ROW()-23,MATCH($E$3,'Raw Pressure Data'!$1:$1,0))),"")</f>
        <v/>
      </c>
      <c r="E77" s="24">
        <f>IF(OR(D77="",D77=-999),"",D77+$E$2)</f>
        <v/>
      </c>
    </row>
    <row r="78" ht="15" customHeight="1">
      <c r="A78" s="25">
        <f>IFERROR(IF(INDEX('Raw Flow Data'!$A:$A,ROW()-23)="","",INDEX('Raw Flow Data'!$A:$A,ROW()-23)),"")</f>
        <v/>
      </c>
      <c r="B78" s="26">
        <f>IFERROR(IF($B$3="","",INDEX('Raw Flow Data'!$A:$ZZ,ROW()-23,MATCH($B$3,'Raw Flow Data'!$1:$1,0))),"")</f>
        <v/>
      </c>
      <c r="C78" s="27">
        <f>IF(OR(B78="",B78=-999),"",B78*$B$2)</f>
        <v/>
      </c>
      <c r="D78" s="26">
        <f>IFERROR(IF($E$3="","",INDEX('Raw Pressure Data'!$A:$ZZ,ROW()-23,MATCH($E$3,'Raw Pressure Data'!$1:$1,0))),"")</f>
        <v/>
      </c>
      <c r="E78" s="28">
        <f>IF(OR(D78="",D78=-999),"",D78+$E$2)</f>
        <v/>
      </c>
    </row>
    <row r="79" ht="15" customHeight="1">
      <c r="A79" s="21">
        <f>IFERROR(IF(INDEX('Raw Flow Data'!$A:$A,ROW()-23)="","",INDEX('Raw Flow Data'!$A:$A,ROW()-23)),"")</f>
        <v/>
      </c>
      <c r="B79" s="22">
        <f>IFERROR(IF($B$3="","",INDEX('Raw Flow Data'!$A:$ZZ,ROW()-23,MATCH($B$3,'Raw Flow Data'!$1:$1,0))),"")</f>
        <v/>
      </c>
      <c r="C79" s="23">
        <f>IF(OR(B79="",B79=-999),"",B79*$B$2)</f>
        <v/>
      </c>
      <c r="D79" s="22">
        <f>IFERROR(IF($E$3="","",INDEX('Raw Pressure Data'!$A:$ZZ,ROW()-23,MATCH($E$3,'Raw Pressure Data'!$1:$1,0))),"")</f>
        <v/>
      </c>
      <c r="E79" s="24">
        <f>IF(OR(D79="",D79=-999),"",D79+$E$2)</f>
        <v/>
      </c>
    </row>
    <row r="80" ht="15" customHeight="1">
      <c r="A80" s="25">
        <f>IFERROR(IF(INDEX('Raw Flow Data'!$A:$A,ROW()-23)="","",INDEX('Raw Flow Data'!$A:$A,ROW()-23)),"")</f>
        <v/>
      </c>
      <c r="B80" s="26">
        <f>IFERROR(IF($B$3="","",INDEX('Raw Flow Data'!$A:$ZZ,ROW()-23,MATCH($B$3,'Raw Flow Data'!$1:$1,0))),"")</f>
        <v/>
      </c>
      <c r="C80" s="27">
        <f>IF(OR(B80="",B80=-999),"",B80*$B$2)</f>
        <v/>
      </c>
      <c r="D80" s="26">
        <f>IFERROR(IF($E$3="","",INDEX('Raw Pressure Data'!$A:$ZZ,ROW()-23,MATCH($E$3,'Raw Pressure Data'!$1:$1,0))),"")</f>
        <v/>
      </c>
      <c r="E80" s="28">
        <f>IF(OR(D80="",D80=-999),"",D80+$E$2)</f>
        <v/>
      </c>
    </row>
    <row r="81" ht="15" customHeight="1">
      <c r="A81" s="21">
        <f>IFERROR(IF(INDEX('Raw Flow Data'!$A:$A,ROW()-23)="","",INDEX('Raw Flow Data'!$A:$A,ROW()-23)),"")</f>
        <v/>
      </c>
      <c r="B81" s="22">
        <f>IFERROR(IF($B$3="","",INDEX('Raw Flow Data'!$A:$ZZ,ROW()-23,MATCH($B$3,'Raw Flow Data'!$1:$1,0))),"")</f>
        <v/>
      </c>
      <c r="C81" s="23">
        <f>IF(OR(B81="",B81=-999),"",B81*$B$2)</f>
        <v/>
      </c>
      <c r="D81" s="22">
        <f>IFERROR(IF($E$3="","",INDEX('Raw Pressure Data'!$A:$ZZ,ROW()-23,MATCH($E$3,'Raw Pressure Data'!$1:$1,0))),"")</f>
        <v/>
      </c>
      <c r="E81" s="24">
        <f>IF(OR(D81="",D81=-999),"",D81+$E$2)</f>
        <v/>
      </c>
    </row>
    <row r="82" ht="15" customHeight="1">
      <c r="A82" s="25">
        <f>IFERROR(IF(INDEX('Raw Flow Data'!$A:$A,ROW()-23)="","",INDEX('Raw Flow Data'!$A:$A,ROW()-23)),"")</f>
        <v/>
      </c>
      <c r="B82" s="26">
        <f>IFERROR(IF($B$3="","",INDEX('Raw Flow Data'!$A:$ZZ,ROW()-23,MATCH($B$3,'Raw Flow Data'!$1:$1,0))),"")</f>
        <v/>
      </c>
      <c r="C82" s="27">
        <f>IF(OR(B82="",B82=-999),"",B82*$B$2)</f>
        <v/>
      </c>
      <c r="D82" s="26">
        <f>IFERROR(IF($E$3="","",INDEX('Raw Pressure Data'!$A:$ZZ,ROW()-23,MATCH($E$3,'Raw Pressure Data'!$1:$1,0))),"")</f>
        <v/>
      </c>
      <c r="E82" s="28">
        <f>IF(OR(D82="",D82=-999),"",D82+$E$2)</f>
        <v/>
      </c>
    </row>
    <row r="83" ht="15" customHeight="1">
      <c r="A83" s="21">
        <f>IFERROR(IF(INDEX('Raw Flow Data'!$A:$A,ROW()-23)="","",INDEX('Raw Flow Data'!$A:$A,ROW()-23)),"")</f>
        <v/>
      </c>
      <c r="B83" s="22">
        <f>IFERROR(IF($B$3="","",INDEX('Raw Flow Data'!$A:$ZZ,ROW()-23,MATCH($B$3,'Raw Flow Data'!$1:$1,0))),"")</f>
        <v/>
      </c>
      <c r="C83" s="23">
        <f>IF(OR(B83="",B83=-999),"",B83*$B$2)</f>
        <v/>
      </c>
      <c r="D83" s="22">
        <f>IFERROR(IF($E$3="","",INDEX('Raw Pressure Data'!$A:$ZZ,ROW()-23,MATCH($E$3,'Raw Pressure Data'!$1:$1,0))),"")</f>
        <v/>
      </c>
      <c r="E83" s="24">
        <f>IF(OR(D83="",D83=-999),"",D83+$E$2)</f>
        <v/>
      </c>
    </row>
    <row r="84" ht="15" customHeight="1">
      <c r="A84" s="25">
        <f>IFERROR(IF(INDEX('Raw Flow Data'!$A:$A,ROW()-23)="","",INDEX('Raw Flow Data'!$A:$A,ROW()-23)),"")</f>
        <v/>
      </c>
      <c r="B84" s="26">
        <f>IFERROR(IF($B$3="","",INDEX('Raw Flow Data'!$A:$ZZ,ROW()-23,MATCH($B$3,'Raw Flow Data'!$1:$1,0))),"")</f>
        <v/>
      </c>
      <c r="C84" s="27">
        <f>IF(OR(B84="",B84=-999),"",B84*$B$2)</f>
        <v/>
      </c>
      <c r="D84" s="26">
        <f>IFERROR(IF($E$3="","",INDEX('Raw Pressure Data'!$A:$ZZ,ROW()-23,MATCH($E$3,'Raw Pressure Data'!$1:$1,0))),"")</f>
        <v/>
      </c>
      <c r="E84" s="28">
        <f>IF(OR(D84="",D84=-999),"",D84+$E$2)</f>
        <v/>
      </c>
    </row>
    <row r="85" ht="15" customHeight="1">
      <c r="A85" s="21">
        <f>IFERROR(IF(INDEX('Raw Flow Data'!$A:$A,ROW()-23)="","",INDEX('Raw Flow Data'!$A:$A,ROW()-23)),"")</f>
        <v/>
      </c>
      <c r="B85" s="22">
        <f>IFERROR(IF($B$3="","",INDEX('Raw Flow Data'!$A:$ZZ,ROW()-23,MATCH($B$3,'Raw Flow Data'!$1:$1,0))),"")</f>
        <v/>
      </c>
      <c r="C85" s="23">
        <f>IF(OR(B85="",B85=-999),"",B85*$B$2)</f>
        <v/>
      </c>
      <c r="D85" s="22">
        <f>IFERROR(IF($E$3="","",INDEX('Raw Pressure Data'!$A:$ZZ,ROW()-23,MATCH($E$3,'Raw Pressure Data'!$1:$1,0))),"")</f>
        <v/>
      </c>
      <c r="E85" s="24">
        <f>IF(OR(D85="",D85=-999),"",D85+$E$2)</f>
        <v/>
      </c>
    </row>
    <row r="86" ht="15" customHeight="1">
      <c r="A86" s="25">
        <f>IFERROR(IF(INDEX('Raw Flow Data'!$A:$A,ROW()-23)="","",INDEX('Raw Flow Data'!$A:$A,ROW()-23)),"")</f>
        <v/>
      </c>
      <c r="B86" s="26">
        <f>IFERROR(IF($B$3="","",INDEX('Raw Flow Data'!$A:$ZZ,ROW()-23,MATCH($B$3,'Raw Flow Data'!$1:$1,0))),"")</f>
        <v/>
      </c>
      <c r="C86" s="27">
        <f>IF(OR(B86="",B86=-999),"",B86*$B$2)</f>
        <v/>
      </c>
      <c r="D86" s="26">
        <f>IFERROR(IF($E$3="","",INDEX('Raw Pressure Data'!$A:$ZZ,ROW()-23,MATCH($E$3,'Raw Pressure Data'!$1:$1,0))),"")</f>
        <v/>
      </c>
      <c r="E86" s="28">
        <f>IF(OR(D86="",D86=-999),"",D86+$E$2)</f>
        <v/>
      </c>
    </row>
    <row r="87" ht="15" customHeight="1">
      <c r="A87" s="21">
        <f>IFERROR(IF(INDEX('Raw Flow Data'!$A:$A,ROW()-23)="","",INDEX('Raw Flow Data'!$A:$A,ROW()-23)),"")</f>
        <v/>
      </c>
      <c r="B87" s="22">
        <f>IFERROR(IF($B$3="","",INDEX('Raw Flow Data'!$A:$ZZ,ROW()-23,MATCH($B$3,'Raw Flow Data'!$1:$1,0))),"")</f>
        <v/>
      </c>
      <c r="C87" s="23">
        <f>IF(OR(B87="",B87=-999),"",B87*$B$2)</f>
        <v/>
      </c>
      <c r="D87" s="22">
        <f>IFERROR(IF($E$3="","",INDEX('Raw Pressure Data'!$A:$ZZ,ROW()-23,MATCH($E$3,'Raw Pressure Data'!$1:$1,0))),"")</f>
        <v/>
      </c>
      <c r="E87" s="24">
        <f>IF(OR(D87="",D87=-999),"",D87+$E$2)</f>
        <v/>
      </c>
    </row>
    <row r="88" ht="15" customHeight="1">
      <c r="A88" s="25">
        <f>IFERROR(IF(INDEX('Raw Flow Data'!$A:$A,ROW()-23)="","",INDEX('Raw Flow Data'!$A:$A,ROW()-23)),"")</f>
        <v/>
      </c>
      <c r="B88" s="26">
        <f>IFERROR(IF($B$3="","",INDEX('Raw Flow Data'!$A:$ZZ,ROW()-23,MATCH($B$3,'Raw Flow Data'!$1:$1,0))),"")</f>
        <v/>
      </c>
      <c r="C88" s="27">
        <f>IF(OR(B88="",B88=-999),"",B88*$B$2)</f>
        <v/>
      </c>
      <c r="D88" s="26">
        <f>IFERROR(IF($E$3="","",INDEX('Raw Pressure Data'!$A:$ZZ,ROW()-23,MATCH($E$3,'Raw Pressure Data'!$1:$1,0))),"")</f>
        <v/>
      </c>
      <c r="E88" s="28">
        <f>IF(OR(D88="",D88=-999),"",D88+$E$2)</f>
        <v/>
      </c>
    </row>
    <row r="89" ht="15" customHeight="1">
      <c r="A89" s="21">
        <f>IFERROR(IF(INDEX('Raw Flow Data'!$A:$A,ROW()-23)="","",INDEX('Raw Flow Data'!$A:$A,ROW()-23)),"")</f>
        <v/>
      </c>
      <c r="B89" s="22">
        <f>IFERROR(IF($B$3="","",INDEX('Raw Flow Data'!$A:$ZZ,ROW()-23,MATCH($B$3,'Raw Flow Data'!$1:$1,0))),"")</f>
        <v/>
      </c>
      <c r="C89" s="23">
        <f>IF(OR(B89="",B89=-999),"",B89*$B$2)</f>
        <v/>
      </c>
      <c r="D89" s="22">
        <f>IFERROR(IF($E$3="","",INDEX('Raw Pressure Data'!$A:$ZZ,ROW()-23,MATCH($E$3,'Raw Pressure Data'!$1:$1,0))),"")</f>
        <v/>
      </c>
      <c r="E89" s="24">
        <f>IF(OR(D89="",D89=-999),"",D89+$E$2)</f>
        <v/>
      </c>
    </row>
    <row r="90" ht="15" customHeight="1">
      <c r="A90" s="25">
        <f>IFERROR(IF(INDEX('Raw Flow Data'!$A:$A,ROW()-23)="","",INDEX('Raw Flow Data'!$A:$A,ROW()-23)),"")</f>
        <v/>
      </c>
      <c r="B90" s="26">
        <f>IFERROR(IF($B$3="","",INDEX('Raw Flow Data'!$A:$ZZ,ROW()-23,MATCH($B$3,'Raw Flow Data'!$1:$1,0))),"")</f>
        <v/>
      </c>
      <c r="C90" s="27">
        <f>IF(OR(B90="",B90=-999),"",B90*$B$2)</f>
        <v/>
      </c>
      <c r="D90" s="26">
        <f>IFERROR(IF($E$3="","",INDEX('Raw Pressure Data'!$A:$ZZ,ROW()-23,MATCH($E$3,'Raw Pressure Data'!$1:$1,0))),"")</f>
        <v/>
      </c>
      <c r="E90" s="28">
        <f>IF(OR(D90="",D90=-999),"",D90+$E$2)</f>
        <v/>
      </c>
    </row>
    <row r="91" ht="15" customHeight="1">
      <c r="A91" s="21">
        <f>IFERROR(IF(INDEX('Raw Flow Data'!$A:$A,ROW()-23)="","",INDEX('Raw Flow Data'!$A:$A,ROW()-23)),"")</f>
        <v/>
      </c>
      <c r="B91" s="22">
        <f>IFERROR(IF($B$3="","",INDEX('Raw Flow Data'!$A:$ZZ,ROW()-23,MATCH($B$3,'Raw Flow Data'!$1:$1,0))),"")</f>
        <v/>
      </c>
      <c r="C91" s="23">
        <f>IF(OR(B91="",B91=-999),"",B91*$B$2)</f>
        <v/>
      </c>
      <c r="D91" s="22">
        <f>IFERROR(IF($E$3="","",INDEX('Raw Pressure Data'!$A:$ZZ,ROW()-23,MATCH($E$3,'Raw Pressure Data'!$1:$1,0))),"")</f>
        <v/>
      </c>
      <c r="E91" s="24">
        <f>IF(OR(D91="",D91=-999),"",D91+$E$2)</f>
        <v/>
      </c>
    </row>
    <row r="92" ht="15" customHeight="1">
      <c r="A92" s="25">
        <f>IFERROR(IF(INDEX('Raw Flow Data'!$A:$A,ROW()-23)="","",INDEX('Raw Flow Data'!$A:$A,ROW()-23)),"")</f>
        <v/>
      </c>
      <c r="B92" s="26">
        <f>IFERROR(IF($B$3="","",INDEX('Raw Flow Data'!$A:$ZZ,ROW()-23,MATCH($B$3,'Raw Flow Data'!$1:$1,0))),"")</f>
        <v/>
      </c>
      <c r="C92" s="27">
        <f>IF(OR(B92="",B92=-999),"",B92*$B$2)</f>
        <v/>
      </c>
      <c r="D92" s="26">
        <f>IFERROR(IF($E$3="","",INDEX('Raw Pressure Data'!$A:$ZZ,ROW()-23,MATCH($E$3,'Raw Pressure Data'!$1:$1,0))),"")</f>
        <v/>
      </c>
      <c r="E92" s="28">
        <f>IF(OR(D92="",D92=-999),"",D92+$E$2)</f>
        <v/>
      </c>
    </row>
    <row r="93" ht="15" customHeight="1">
      <c r="A93" s="21">
        <f>IFERROR(IF(INDEX('Raw Flow Data'!$A:$A,ROW()-23)="","",INDEX('Raw Flow Data'!$A:$A,ROW()-23)),"")</f>
        <v/>
      </c>
      <c r="B93" s="22">
        <f>IFERROR(IF($B$3="","",INDEX('Raw Flow Data'!$A:$ZZ,ROW()-23,MATCH($B$3,'Raw Flow Data'!$1:$1,0))),"")</f>
        <v/>
      </c>
      <c r="C93" s="23">
        <f>IF(OR(B93="",B93=-999),"",B93*$B$2)</f>
        <v/>
      </c>
      <c r="D93" s="22">
        <f>IFERROR(IF($E$3="","",INDEX('Raw Pressure Data'!$A:$ZZ,ROW()-23,MATCH($E$3,'Raw Pressure Data'!$1:$1,0))),"")</f>
        <v/>
      </c>
      <c r="E93" s="24">
        <f>IF(OR(D93="",D93=-999),"",D93+$E$2)</f>
        <v/>
      </c>
    </row>
    <row r="94" ht="15" customHeight="1">
      <c r="A94" s="25">
        <f>IFERROR(IF(INDEX('Raw Flow Data'!$A:$A,ROW()-23)="","",INDEX('Raw Flow Data'!$A:$A,ROW()-23)),"")</f>
        <v/>
      </c>
      <c r="B94" s="26">
        <f>IFERROR(IF($B$3="","",INDEX('Raw Flow Data'!$A:$ZZ,ROW()-23,MATCH($B$3,'Raw Flow Data'!$1:$1,0))),"")</f>
        <v/>
      </c>
      <c r="C94" s="27">
        <f>IF(OR(B94="",B94=-999),"",B94*$B$2)</f>
        <v/>
      </c>
      <c r="D94" s="26">
        <f>IFERROR(IF($E$3="","",INDEX('Raw Pressure Data'!$A:$ZZ,ROW()-23,MATCH($E$3,'Raw Pressure Data'!$1:$1,0))),"")</f>
        <v/>
      </c>
      <c r="E94" s="28">
        <f>IF(OR(D94="",D94=-999),"",D94+$E$2)</f>
        <v/>
      </c>
    </row>
    <row r="95" ht="15" customHeight="1">
      <c r="A95" s="21">
        <f>IFERROR(IF(INDEX('Raw Flow Data'!$A:$A,ROW()-23)="","",INDEX('Raw Flow Data'!$A:$A,ROW()-23)),"")</f>
        <v/>
      </c>
      <c r="B95" s="22">
        <f>IFERROR(IF($B$3="","",INDEX('Raw Flow Data'!$A:$ZZ,ROW()-23,MATCH($B$3,'Raw Flow Data'!$1:$1,0))),"")</f>
        <v/>
      </c>
      <c r="C95" s="23">
        <f>IF(OR(B95="",B95=-999),"",B95*$B$2)</f>
        <v/>
      </c>
      <c r="D95" s="22">
        <f>IFERROR(IF($E$3="","",INDEX('Raw Pressure Data'!$A:$ZZ,ROW()-23,MATCH($E$3,'Raw Pressure Data'!$1:$1,0))),"")</f>
        <v/>
      </c>
      <c r="E95" s="24">
        <f>IF(OR(D95="",D95=-999),"",D95+$E$2)</f>
        <v/>
      </c>
    </row>
    <row r="96" ht="15" customHeight="1">
      <c r="A96" s="25">
        <f>IFERROR(IF(INDEX('Raw Flow Data'!$A:$A,ROW()-23)="","",INDEX('Raw Flow Data'!$A:$A,ROW()-23)),"")</f>
        <v/>
      </c>
      <c r="B96" s="26">
        <f>IFERROR(IF($B$3="","",INDEX('Raw Flow Data'!$A:$ZZ,ROW()-23,MATCH($B$3,'Raw Flow Data'!$1:$1,0))),"")</f>
        <v/>
      </c>
      <c r="C96" s="27">
        <f>IF(OR(B96="",B96=-999),"",B96*$B$2)</f>
        <v/>
      </c>
      <c r="D96" s="26">
        <f>IFERROR(IF($E$3="","",INDEX('Raw Pressure Data'!$A:$ZZ,ROW()-23,MATCH($E$3,'Raw Pressure Data'!$1:$1,0))),"")</f>
        <v/>
      </c>
      <c r="E96" s="28">
        <f>IF(OR(D96="",D96=-999),"",D96+$E$2)</f>
        <v/>
      </c>
    </row>
    <row r="97" ht="15" customHeight="1">
      <c r="A97" s="21">
        <f>IFERROR(IF(INDEX('Raw Flow Data'!$A:$A,ROW()-23)="","",INDEX('Raw Flow Data'!$A:$A,ROW()-23)),"")</f>
        <v/>
      </c>
      <c r="B97" s="22">
        <f>IFERROR(IF($B$3="","",INDEX('Raw Flow Data'!$A:$ZZ,ROW()-23,MATCH($B$3,'Raw Flow Data'!$1:$1,0))),"")</f>
        <v/>
      </c>
      <c r="C97" s="23">
        <f>IF(OR(B97="",B97=-999),"",B97*$B$2)</f>
        <v/>
      </c>
      <c r="D97" s="22">
        <f>IFERROR(IF($E$3="","",INDEX('Raw Pressure Data'!$A:$ZZ,ROW()-23,MATCH($E$3,'Raw Pressure Data'!$1:$1,0))),"")</f>
        <v/>
      </c>
      <c r="E97" s="24">
        <f>IF(OR(D97="",D97=-999),"",D97+$E$2)</f>
        <v/>
      </c>
    </row>
    <row r="98" ht="15" customHeight="1">
      <c r="A98" s="25">
        <f>IFERROR(IF(INDEX('Raw Flow Data'!$A:$A,ROW()-23)="","",INDEX('Raw Flow Data'!$A:$A,ROW()-23)),"")</f>
        <v/>
      </c>
      <c r="B98" s="26">
        <f>IFERROR(IF($B$3="","",INDEX('Raw Flow Data'!$A:$ZZ,ROW()-23,MATCH($B$3,'Raw Flow Data'!$1:$1,0))),"")</f>
        <v/>
      </c>
      <c r="C98" s="27">
        <f>IF(OR(B98="",B98=-999),"",B98*$B$2)</f>
        <v/>
      </c>
      <c r="D98" s="26">
        <f>IFERROR(IF($E$3="","",INDEX('Raw Pressure Data'!$A:$ZZ,ROW()-23,MATCH($E$3,'Raw Pressure Data'!$1:$1,0))),"")</f>
        <v/>
      </c>
      <c r="E98" s="28">
        <f>IF(OR(D98="",D98=-999),"",D98+$E$2)</f>
        <v/>
      </c>
    </row>
    <row r="99" ht="15" customHeight="1">
      <c r="A99" s="21">
        <f>IFERROR(IF(INDEX('Raw Flow Data'!$A:$A,ROW()-23)="","",INDEX('Raw Flow Data'!$A:$A,ROW()-23)),"")</f>
        <v/>
      </c>
      <c r="B99" s="22">
        <f>IFERROR(IF($B$3="","",INDEX('Raw Flow Data'!$A:$ZZ,ROW()-23,MATCH($B$3,'Raw Flow Data'!$1:$1,0))),"")</f>
        <v/>
      </c>
      <c r="C99" s="23">
        <f>IF(OR(B99="",B99=-999),"",B99*$B$2)</f>
        <v/>
      </c>
      <c r="D99" s="22">
        <f>IFERROR(IF($E$3="","",INDEX('Raw Pressure Data'!$A:$ZZ,ROW()-23,MATCH($E$3,'Raw Pressure Data'!$1:$1,0))),"")</f>
        <v/>
      </c>
      <c r="E99" s="24">
        <f>IF(OR(D99="",D99=-999),"",D99+$E$2)</f>
        <v/>
      </c>
    </row>
    <row r="100" ht="15" customHeight="1">
      <c r="A100" s="25">
        <f>IFERROR(IF(INDEX('Raw Flow Data'!$A:$A,ROW()-23)="","",INDEX('Raw Flow Data'!$A:$A,ROW()-23)),"")</f>
        <v/>
      </c>
      <c r="B100" s="26">
        <f>IFERROR(IF($B$3="","",INDEX('Raw Flow Data'!$A:$ZZ,ROW()-23,MATCH($B$3,'Raw Flow Data'!$1:$1,0))),"")</f>
        <v/>
      </c>
      <c r="C100" s="27">
        <f>IF(OR(B100="",B100=-999),"",B100*$B$2)</f>
        <v/>
      </c>
      <c r="D100" s="26">
        <f>IFERROR(IF($E$3="","",INDEX('Raw Pressure Data'!$A:$ZZ,ROW()-23,MATCH($E$3,'Raw Pressure Data'!$1:$1,0))),"")</f>
        <v/>
      </c>
      <c r="E100" s="28">
        <f>IF(OR(D100="",D100=-999),"",D100+$E$2)</f>
        <v/>
      </c>
    </row>
    <row r="101" ht="15" customHeight="1">
      <c r="A101" s="21">
        <f>IFERROR(IF(INDEX('Raw Flow Data'!$A:$A,ROW()-23)="","",INDEX('Raw Flow Data'!$A:$A,ROW()-23)),"")</f>
        <v/>
      </c>
      <c r="B101" s="22">
        <f>IFERROR(IF($B$3="","",INDEX('Raw Flow Data'!$A:$ZZ,ROW()-23,MATCH($B$3,'Raw Flow Data'!$1:$1,0))),"")</f>
        <v/>
      </c>
      <c r="C101" s="23">
        <f>IF(OR(B101="",B101=-999),"",B101*$B$2)</f>
        <v/>
      </c>
      <c r="D101" s="22">
        <f>IFERROR(IF($E$3="","",INDEX('Raw Pressure Data'!$A:$ZZ,ROW()-23,MATCH($E$3,'Raw Pressure Data'!$1:$1,0))),"")</f>
        <v/>
      </c>
      <c r="E101" s="24">
        <f>IF(OR(D101="",D101=-999),"",D101+$E$2)</f>
        <v/>
      </c>
    </row>
    <row r="102" ht="15" customHeight="1">
      <c r="A102" s="25">
        <f>IFERROR(IF(INDEX('Raw Flow Data'!$A:$A,ROW()-23)="","",INDEX('Raw Flow Data'!$A:$A,ROW()-23)),"")</f>
        <v/>
      </c>
      <c r="B102" s="26">
        <f>IFERROR(IF($B$3="","",INDEX('Raw Flow Data'!$A:$ZZ,ROW()-23,MATCH($B$3,'Raw Flow Data'!$1:$1,0))),"")</f>
        <v/>
      </c>
      <c r="C102" s="27">
        <f>IF(OR(B102="",B102=-999),"",B102*$B$2)</f>
        <v/>
      </c>
      <c r="D102" s="26">
        <f>IFERROR(IF($E$3="","",INDEX('Raw Pressure Data'!$A:$ZZ,ROW()-23,MATCH($E$3,'Raw Pressure Data'!$1:$1,0))),"")</f>
        <v/>
      </c>
      <c r="E102" s="28">
        <f>IF(OR(D102="",D102=-999),"",D102+$E$2)</f>
        <v/>
      </c>
    </row>
    <row r="103" ht="15" customHeight="1">
      <c r="A103" s="21">
        <f>IFERROR(IF(INDEX('Raw Flow Data'!$A:$A,ROW()-23)="","",INDEX('Raw Flow Data'!$A:$A,ROW()-23)),"")</f>
        <v/>
      </c>
      <c r="B103" s="22">
        <f>IFERROR(IF($B$3="","",INDEX('Raw Flow Data'!$A:$ZZ,ROW()-23,MATCH($B$3,'Raw Flow Data'!$1:$1,0))),"")</f>
        <v/>
      </c>
      <c r="C103" s="23">
        <f>IF(OR(B103="",B103=-999),"",B103*$B$2)</f>
        <v/>
      </c>
      <c r="D103" s="22">
        <f>IFERROR(IF($E$3="","",INDEX('Raw Pressure Data'!$A:$ZZ,ROW()-23,MATCH($E$3,'Raw Pressure Data'!$1:$1,0))),"")</f>
        <v/>
      </c>
      <c r="E103" s="24">
        <f>IF(OR(D103="",D103=-999),"",D103+$E$2)</f>
        <v/>
      </c>
    </row>
    <row r="104" ht="15" customHeight="1">
      <c r="A104" s="25">
        <f>IFERROR(IF(INDEX('Raw Flow Data'!$A:$A,ROW()-23)="","",INDEX('Raw Flow Data'!$A:$A,ROW()-23)),"")</f>
        <v/>
      </c>
      <c r="B104" s="26">
        <f>IFERROR(IF($B$3="","",INDEX('Raw Flow Data'!$A:$ZZ,ROW()-23,MATCH($B$3,'Raw Flow Data'!$1:$1,0))),"")</f>
        <v/>
      </c>
      <c r="C104" s="27">
        <f>IF(OR(B104="",B104=-999),"",B104*$B$2)</f>
        <v/>
      </c>
      <c r="D104" s="26">
        <f>IFERROR(IF($E$3="","",INDEX('Raw Pressure Data'!$A:$ZZ,ROW()-23,MATCH($E$3,'Raw Pressure Data'!$1:$1,0))),"")</f>
        <v/>
      </c>
      <c r="E104" s="28">
        <f>IF(OR(D104="",D104=-999),"",D104+$E$2)</f>
        <v/>
      </c>
    </row>
    <row r="105" ht="15" customHeight="1">
      <c r="A105" s="21">
        <f>IFERROR(IF(INDEX('Raw Flow Data'!$A:$A,ROW()-23)="","",INDEX('Raw Flow Data'!$A:$A,ROW()-23)),"")</f>
        <v/>
      </c>
      <c r="B105" s="22">
        <f>IFERROR(IF($B$3="","",INDEX('Raw Flow Data'!$A:$ZZ,ROW()-23,MATCH($B$3,'Raw Flow Data'!$1:$1,0))),"")</f>
        <v/>
      </c>
      <c r="C105" s="23">
        <f>IF(OR(B105="",B105=-999),"",B105*$B$2)</f>
        <v/>
      </c>
      <c r="D105" s="22">
        <f>IFERROR(IF($E$3="","",INDEX('Raw Pressure Data'!$A:$ZZ,ROW()-23,MATCH($E$3,'Raw Pressure Data'!$1:$1,0))),"")</f>
        <v/>
      </c>
      <c r="E105" s="24">
        <f>IF(OR(D105="",D105=-999),"",D105+$E$2)</f>
        <v/>
      </c>
    </row>
    <row r="106" ht="15" customHeight="1">
      <c r="A106" s="25">
        <f>IFERROR(IF(INDEX('Raw Flow Data'!$A:$A,ROW()-23)="","",INDEX('Raw Flow Data'!$A:$A,ROW()-23)),"")</f>
        <v/>
      </c>
      <c r="B106" s="26">
        <f>IFERROR(IF($B$3="","",INDEX('Raw Flow Data'!$A:$ZZ,ROW()-23,MATCH($B$3,'Raw Flow Data'!$1:$1,0))),"")</f>
        <v/>
      </c>
      <c r="C106" s="27">
        <f>IF(OR(B106="",B106=-999),"",B106*$B$2)</f>
        <v/>
      </c>
      <c r="D106" s="26">
        <f>IFERROR(IF($E$3="","",INDEX('Raw Pressure Data'!$A:$ZZ,ROW()-23,MATCH($E$3,'Raw Pressure Data'!$1:$1,0))),"")</f>
        <v/>
      </c>
      <c r="E106" s="28">
        <f>IF(OR(D106="",D106=-999),"",D106+$E$2)</f>
        <v/>
      </c>
    </row>
    <row r="107" ht="15" customHeight="1">
      <c r="A107" s="21">
        <f>IFERROR(IF(INDEX('Raw Flow Data'!$A:$A,ROW()-23)="","",INDEX('Raw Flow Data'!$A:$A,ROW()-23)),"")</f>
        <v/>
      </c>
      <c r="B107" s="22">
        <f>IFERROR(IF($B$3="","",INDEX('Raw Flow Data'!$A:$ZZ,ROW()-23,MATCH($B$3,'Raw Flow Data'!$1:$1,0))),"")</f>
        <v/>
      </c>
      <c r="C107" s="23">
        <f>IF(OR(B107="",B107=-999),"",B107*$B$2)</f>
        <v/>
      </c>
      <c r="D107" s="22">
        <f>IFERROR(IF($E$3="","",INDEX('Raw Pressure Data'!$A:$ZZ,ROW()-23,MATCH($E$3,'Raw Pressure Data'!$1:$1,0))),"")</f>
        <v/>
      </c>
      <c r="E107" s="24">
        <f>IF(OR(D107="",D107=-999),"",D107+$E$2)</f>
        <v/>
      </c>
    </row>
    <row r="108" ht="15" customHeight="1">
      <c r="A108" s="25">
        <f>IFERROR(IF(INDEX('Raw Flow Data'!$A:$A,ROW()-23)="","",INDEX('Raw Flow Data'!$A:$A,ROW()-23)),"")</f>
        <v/>
      </c>
      <c r="B108" s="26">
        <f>IFERROR(IF($B$3="","",INDEX('Raw Flow Data'!$A:$ZZ,ROW()-23,MATCH($B$3,'Raw Flow Data'!$1:$1,0))),"")</f>
        <v/>
      </c>
      <c r="C108" s="27">
        <f>IF(OR(B108="",B108=-999),"",B108*$B$2)</f>
        <v/>
      </c>
      <c r="D108" s="26">
        <f>IFERROR(IF($E$3="","",INDEX('Raw Pressure Data'!$A:$ZZ,ROW()-23,MATCH($E$3,'Raw Pressure Data'!$1:$1,0))),"")</f>
        <v/>
      </c>
      <c r="E108" s="28">
        <f>IF(OR(D108="",D108=-999),"",D108+$E$2)</f>
        <v/>
      </c>
    </row>
    <row r="109" ht="15" customHeight="1">
      <c r="A109" s="21">
        <f>IFERROR(IF(INDEX('Raw Flow Data'!$A:$A,ROW()-23)="","",INDEX('Raw Flow Data'!$A:$A,ROW()-23)),"")</f>
        <v/>
      </c>
      <c r="B109" s="22">
        <f>IFERROR(IF($B$3="","",INDEX('Raw Flow Data'!$A:$ZZ,ROW()-23,MATCH($B$3,'Raw Flow Data'!$1:$1,0))),"")</f>
        <v/>
      </c>
      <c r="C109" s="23">
        <f>IF(OR(B109="",B109=-999),"",B109*$B$2)</f>
        <v/>
      </c>
      <c r="D109" s="22">
        <f>IFERROR(IF($E$3="","",INDEX('Raw Pressure Data'!$A:$ZZ,ROW()-23,MATCH($E$3,'Raw Pressure Data'!$1:$1,0))),"")</f>
        <v/>
      </c>
      <c r="E109" s="24">
        <f>IF(OR(D109="",D109=-999),"",D109+$E$2)</f>
        <v/>
      </c>
    </row>
    <row r="110" ht="15" customHeight="1">
      <c r="A110" s="25">
        <f>IFERROR(IF(INDEX('Raw Flow Data'!$A:$A,ROW()-23)="","",INDEX('Raw Flow Data'!$A:$A,ROW()-23)),"")</f>
        <v/>
      </c>
      <c r="B110" s="26">
        <f>IFERROR(IF($B$3="","",INDEX('Raw Flow Data'!$A:$ZZ,ROW()-23,MATCH($B$3,'Raw Flow Data'!$1:$1,0))),"")</f>
        <v/>
      </c>
      <c r="C110" s="27">
        <f>IF(OR(B110="",B110=-999),"",B110*$B$2)</f>
        <v/>
      </c>
      <c r="D110" s="26">
        <f>IFERROR(IF($E$3="","",INDEX('Raw Pressure Data'!$A:$ZZ,ROW()-23,MATCH($E$3,'Raw Pressure Data'!$1:$1,0))),"")</f>
        <v/>
      </c>
      <c r="E110" s="28">
        <f>IF(OR(D110="",D110=-999),"",D110+$E$2)</f>
        <v/>
      </c>
    </row>
    <row r="111" ht="15" customHeight="1">
      <c r="A111" s="21">
        <f>IFERROR(IF(INDEX('Raw Flow Data'!$A:$A,ROW()-23)="","",INDEX('Raw Flow Data'!$A:$A,ROW()-23)),"")</f>
        <v/>
      </c>
      <c r="B111" s="22">
        <f>IFERROR(IF($B$3="","",INDEX('Raw Flow Data'!$A:$ZZ,ROW()-23,MATCH($B$3,'Raw Flow Data'!$1:$1,0))),"")</f>
        <v/>
      </c>
      <c r="C111" s="23">
        <f>IF(OR(B111="",B111=-999),"",B111*$B$2)</f>
        <v/>
      </c>
      <c r="D111" s="22">
        <f>IFERROR(IF($E$3="","",INDEX('Raw Pressure Data'!$A:$ZZ,ROW()-23,MATCH($E$3,'Raw Pressure Data'!$1:$1,0))),"")</f>
        <v/>
      </c>
      <c r="E111" s="24">
        <f>IF(OR(D111="",D111=-999),"",D111+$E$2)</f>
        <v/>
      </c>
    </row>
    <row r="112" ht="15" customHeight="1">
      <c r="A112" s="25">
        <f>IFERROR(IF(INDEX('Raw Flow Data'!$A:$A,ROW()-23)="","",INDEX('Raw Flow Data'!$A:$A,ROW()-23)),"")</f>
        <v/>
      </c>
      <c r="B112" s="26">
        <f>IFERROR(IF($B$3="","",INDEX('Raw Flow Data'!$A:$ZZ,ROW()-23,MATCH($B$3,'Raw Flow Data'!$1:$1,0))),"")</f>
        <v/>
      </c>
      <c r="C112" s="27">
        <f>IF(OR(B112="",B112=-999),"",B112*$B$2)</f>
        <v/>
      </c>
      <c r="D112" s="26">
        <f>IFERROR(IF($E$3="","",INDEX('Raw Pressure Data'!$A:$ZZ,ROW()-23,MATCH($E$3,'Raw Pressure Data'!$1:$1,0))),"")</f>
        <v/>
      </c>
      <c r="E112" s="28">
        <f>IF(OR(D112="",D112=-999),"",D112+$E$2)</f>
        <v/>
      </c>
    </row>
    <row r="113" ht="15" customHeight="1">
      <c r="A113" s="21">
        <f>IFERROR(IF(INDEX('Raw Flow Data'!$A:$A,ROW()-23)="","",INDEX('Raw Flow Data'!$A:$A,ROW()-23)),"")</f>
        <v/>
      </c>
      <c r="B113" s="22">
        <f>IFERROR(IF($B$3="","",INDEX('Raw Flow Data'!$A:$ZZ,ROW()-23,MATCH($B$3,'Raw Flow Data'!$1:$1,0))),"")</f>
        <v/>
      </c>
      <c r="C113" s="23">
        <f>IF(OR(B113="",B113=-999),"",B113*$B$2)</f>
        <v/>
      </c>
      <c r="D113" s="22">
        <f>IFERROR(IF($E$3="","",INDEX('Raw Pressure Data'!$A:$ZZ,ROW()-23,MATCH($E$3,'Raw Pressure Data'!$1:$1,0))),"")</f>
        <v/>
      </c>
      <c r="E113" s="24">
        <f>IF(OR(D113="",D113=-999),"",D113+$E$2)</f>
        <v/>
      </c>
    </row>
    <row r="114" ht="15" customHeight="1">
      <c r="A114" s="25">
        <f>IFERROR(IF(INDEX('Raw Flow Data'!$A:$A,ROW()-23)="","",INDEX('Raw Flow Data'!$A:$A,ROW()-23)),"")</f>
        <v/>
      </c>
      <c r="B114" s="26">
        <f>IFERROR(IF($B$3="","",INDEX('Raw Flow Data'!$A:$ZZ,ROW()-23,MATCH($B$3,'Raw Flow Data'!$1:$1,0))),"")</f>
        <v/>
      </c>
      <c r="C114" s="27">
        <f>IF(OR(B114="",B114=-999),"",B114*$B$2)</f>
        <v/>
      </c>
      <c r="D114" s="26">
        <f>IFERROR(IF($E$3="","",INDEX('Raw Pressure Data'!$A:$ZZ,ROW()-23,MATCH($E$3,'Raw Pressure Data'!$1:$1,0))),"")</f>
        <v/>
      </c>
      <c r="E114" s="28">
        <f>IF(OR(D114="",D114=-999),"",D114+$E$2)</f>
        <v/>
      </c>
    </row>
    <row r="115" ht="15" customHeight="1">
      <c r="A115" s="21">
        <f>IFERROR(IF(INDEX('Raw Flow Data'!$A:$A,ROW()-23)="","",INDEX('Raw Flow Data'!$A:$A,ROW()-23)),"")</f>
        <v/>
      </c>
      <c r="B115" s="22">
        <f>IFERROR(IF($B$3="","",INDEX('Raw Flow Data'!$A:$ZZ,ROW()-23,MATCH($B$3,'Raw Flow Data'!$1:$1,0))),"")</f>
        <v/>
      </c>
      <c r="C115" s="23">
        <f>IF(OR(B115="",B115=-999),"",B115*$B$2)</f>
        <v/>
      </c>
      <c r="D115" s="22">
        <f>IFERROR(IF($E$3="","",INDEX('Raw Pressure Data'!$A:$ZZ,ROW()-23,MATCH($E$3,'Raw Pressure Data'!$1:$1,0))),"")</f>
        <v/>
      </c>
      <c r="E115" s="24">
        <f>IF(OR(D115="",D115=-999),"",D115+$E$2)</f>
        <v/>
      </c>
    </row>
    <row r="116" ht="15" customHeight="1">
      <c r="A116" s="25">
        <f>IFERROR(IF(INDEX('Raw Flow Data'!$A:$A,ROW()-23)="","",INDEX('Raw Flow Data'!$A:$A,ROW()-23)),"")</f>
        <v/>
      </c>
      <c r="B116" s="26">
        <f>IFERROR(IF($B$3="","",INDEX('Raw Flow Data'!$A:$ZZ,ROW()-23,MATCH($B$3,'Raw Flow Data'!$1:$1,0))),"")</f>
        <v/>
      </c>
      <c r="C116" s="27">
        <f>IF(OR(B116="",B116=-999),"",B116*$B$2)</f>
        <v/>
      </c>
      <c r="D116" s="26">
        <f>IFERROR(IF($E$3="","",INDEX('Raw Pressure Data'!$A:$ZZ,ROW()-23,MATCH($E$3,'Raw Pressure Data'!$1:$1,0))),"")</f>
        <v/>
      </c>
      <c r="E116" s="28">
        <f>IF(OR(D116="",D116=-999),"",D116+$E$2)</f>
        <v/>
      </c>
    </row>
    <row r="117" ht="15" customHeight="1">
      <c r="A117" s="21">
        <f>IFERROR(IF(INDEX('Raw Flow Data'!$A:$A,ROW()-23)="","",INDEX('Raw Flow Data'!$A:$A,ROW()-23)),"")</f>
        <v/>
      </c>
      <c r="B117" s="22">
        <f>IFERROR(IF($B$3="","",INDEX('Raw Flow Data'!$A:$ZZ,ROW()-23,MATCH($B$3,'Raw Flow Data'!$1:$1,0))),"")</f>
        <v/>
      </c>
      <c r="C117" s="23">
        <f>IF(OR(B117="",B117=-999),"",B117*$B$2)</f>
        <v/>
      </c>
      <c r="D117" s="22">
        <f>IFERROR(IF($E$3="","",INDEX('Raw Pressure Data'!$A:$ZZ,ROW()-23,MATCH($E$3,'Raw Pressure Data'!$1:$1,0))),"")</f>
        <v/>
      </c>
      <c r="E117" s="24">
        <f>IF(OR(D117="",D117=-999),"",D117+$E$2)</f>
        <v/>
      </c>
    </row>
    <row r="118" ht="15" customHeight="1">
      <c r="A118" s="25">
        <f>IFERROR(IF(INDEX('Raw Flow Data'!$A:$A,ROW()-23)="","",INDEX('Raw Flow Data'!$A:$A,ROW()-23)),"")</f>
        <v/>
      </c>
      <c r="B118" s="26">
        <f>IFERROR(IF($B$3="","",INDEX('Raw Flow Data'!$A:$ZZ,ROW()-23,MATCH($B$3,'Raw Flow Data'!$1:$1,0))),"")</f>
        <v/>
      </c>
      <c r="C118" s="27">
        <f>IF(OR(B118="",B118=-999),"",B118*$B$2)</f>
        <v/>
      </c>
      <c r="D118" s="26">
        <f>IFERROR(IF($E$3="","",INDEX('Raw Pressure Data'!$A:$ZZ,ROW()-23,MATCH($E$3,'Raw Pressure Data'!$1:$1,0))),"")</f>
        <v/>
      </c>
      <c r="E118" s="28">
        <f>IF(OR(D118="",D118=-999),"",D118+$E$2)</f>
        <v/>
      </c>
    </row>
    <row r="119" ht="15" customHeight="1">
      <c r="A119" s="21">
        <f>IFERROR(IF(INDEX('Raw Flow Data'!$A:$A,ROW()-23)="","",INDEX('Raw Flow Data'!$A:$A,ROW()-23)),"")</f>
        <v/>
      </c>
      <c r="B119" s="22">
        <f>IFERROR(IF($B$3="","",INDEX('Raw Flow Data'!$A:$ZZ,ROW()-23,MATCH($B$3,'Raw Flow Data'!$1:$1,0))),"")</f>
        <v/>
      </c>
      <c r="C119" s="23">
        <f>IF(OR(B119="",B119=-999),"",B119*$B$2)</f>
        <v/>
      </c>
      <c r="D119" s="22">
        <f>IFERROR(IF($E$3="","",INDEX('Raw Pressure Data'!$A:$ZZ,ROW()-23,MATCH($E$3,'Raw Pressure Data'!$1:$1,0))),"")</f>
        <v/>
      </c>
      <c r="E119" s="24">
        <f>IF(OR(D119="",D119=-999),"",D119+$E$2)</f>
        <v/>
      </c>
    </row>
    <row r="120" ht="15" customHeight="1">
      <c r="A120" s="25">
        <f>IFERROR(IF(INDEX('Raw Flow Data'!$A:$A,ROW()-23)="","",INDEX('Raw Flow Data'!$A:$A,ROW()-23)),"")</f>
        <v/>
      </c>
      <c r="B120" s="26">
        <f>IFERROR(IF($B$3="","",INDEX('Raw Flow Data'!$A:$ZZ,ROW()-23,MATCH($B$3,'Raw Flow Data'!$1:$1,0))),"")</f>
        <v/>
      </c>
      <c r="C120" s="27">
        <f>IF(OR(B120="",B120=-999),"",B120*$B$2)</f>
        <v/>
      </c>
      <c r="D120" s="26">
        <f>IFERROR(IF($E$3="","",INDEX('Raw Pressure Data'!$A:$ZZ,ROW()-23,MATCH($E$3,'Raw Pressure Data'!$1:$1,0))),"")</f>
        <v/>
      </c>
      <c r="E120" s="28">
        <f>IF(OR(D120="",D120=-999),"",D120+$E$2)</f>
        <v/>
      </c>
    </row>
    <row r="121" ht="15" customHeight="1">
      <c r="A121" s="21">
        <f>IFERROR(IF(INDEX('Raw Flow Data'!$A:$A,ROW()-23)="","",INDEX('Raw Flow Data'!$A:$A,ROW()-23)),"")</f>
        <v/>
      </c>
      <c r="B121" s="22">
        <f>IFERROR(IF($B$3="","",INDEX('Raw Flow Data'!$A:$ZZ,ROW()-23,MATCH($B$3,'Raw Flow Data'!$1:$1,0))),"")</f>
        <v/>
      </c>
      <c r="C121" s="23">
        <f>IF(OR(B121="",B121=-999),"",B121*$B$2)</f>
        <v/>
      </c>
      <c r="D121" s="22">
        <f>IFERROR(IF($E$3="","",INDEX('Raw Pressure Data'!$A:$ZZ,ROW()-23,MATCH($E$3,'Raw Pressure Data'!$1:$1,0))),"")</f>
        <v/>
      </c>
      <c r="E121" s="24">
        <f>IF(OR(D121="",D121=-999),"",D121+$E$2)</f>
        <v/>
      </c>
    </row>
    <row r="122" ht="15" customHeight="1">
      <c r="A122" s="25">
        <f>IFERROR(IF(INDEX('Raw Flow Data'!$A:$A,ROW()-23)="","",INDEX('Raw Flow Data'!$A:$A,ROW()-23)),"")</f>
        <v/>
      </c>
      <c r="B122" s="26">
        <f>IFERROR(IF($B$3="","",INDEX('Raw Flow Data'!$A:$ZZ,ROW()-23,MATCH($B$3,'Raw Flow Data'!$1:$1,0))),"")</f>
        <v/>
      </c>
      <c r="C122" s="27">
        <f>IF(OR(B122="",B122=-999),"",B122*$B$2)</f>
        <v/>
      </c>
      <c r="D122" s="26">
        <f>IFERROR(IF($E$3="","",INDEX('Raw Pressure Data'!$A:$ZZ,ROW()-23,MATCH($E$3,'Raw Pressure Data'!$1:$1,0))),"")</f>
        <v/>
      </c>
      <c r="E122" s="28">
        <f>IF(OR(D122="",D122=-999),"",D122+$E$2)</f>
        <v/>
      </c>
    </row>
    <row r="123" ht="15" customHeight="1">
      <c r="A123" s="21">
        <f>IFERROR(IF(INDEX('Raw Flow Data'!$A:$A,ROW()-23)="","",INDEX('Raw Flow Data'!$A:$A,ROW()-23)),"")</f>
        <v/>
      </c>
      <c r="B123" s="22">
        <f>IFERROR(IF($B$3="","",INDEX('Raw Flow Data'!$A:$ZZ,ROW()-23,MATCH($B$3,'Raw Flow Data'!$1:$1,0))),"")</f>
        <v/>
      </c>
      <c r="C123" s="23">
        <f>IF(OR(B123="",B123=-999),"",B123*$B$2)</f>
        <v/>
      </c>
      <c r="D123" s="22">
        <f>IFERROR(IF($E$3="","",INDEX('Raw Pressure Data'!$A:$ZZ,ROW()-23,MATCH($E$3,'Raw Pressure Data'!$1:$1,0))),"")</f>
        <v/>
      </c>
      <c r="E123" s="24">
        <f>IF(OR(D123="",D123=-999),"",D123+$E$2)</f>
        <v/>
      </c>
    </row>
    <row r="124" ht="15" customHeight="1">
      <c r="A124" s="25">
        <f>IFERROR(IF(INDEX('Raw Flow Data'!$A:$A,ROW()-23)="","",INDEX('Raw Flow Data'!$A:$A,ROW()-23)),"")</f>
        <v/>
      </c>
      <c r="B124" s="26">
        <f>IFERROR(IF($B$3="","",INDEX('Raw Flow Data'!$A:$ZZ,ROW()-23,MATCH($B$3,'Raw Flow Data'!$1:$1,0))),"")</f>
        <v/>
      </c>
      <c r="C124" s="27">
        <f>IF(OR(B124="",B124=-999),"",B124*$B$2)</f>
        <v/>
      </c>
      <c r="D124" s="26">
        <f>IFERROR(IF($E$3="","",INDEX('Raw Pressure Data'!$A:$ZZ,ROW()-23,MATCH($E$3,'Raw Pressure Data'!$1:$1,0))),"")</f>
        <v/>
      </c>
      <c r="E124" s="28">
        <f>IF(OR(D124="",D124=-999),"",D124+$E$2)</f>
        <v/>
      </c>
    </row>
    <row r="125" ht="24" customHeight="1">
      <c r="A125" s="5" t="inlineStr">
        <is>
          <t>↑ Formulas cover 100 rows. For more data: select A25:E124 and copy-paste downward. For very large datasets use Power Query — see Instructions sheet.</t>
        </is>
      </c>
    </row>
  </sheetData>
  <mergeCells count="38">
    <mergeCell ref="D20:E20"/>
    <mergeCell ref="D10:E10"/>
    <mergeCell ref="A15:B15"/>
    <mergeCell ref="D19:E19"/>
    <mergeCell ref="A11:B11"/>
    <mergeCell ref="A6:B6"/>
    <mergeCell ref="D6:E6"/>
    <mergeCell ref="A16:B16"/>
    <mergeCell ref="A7:B7"/>
    <mergeCell ref="D11:E11"/>
    <mergeCell ref="D13:E13"/>
    <mergeCell ref="A18:B18"/>
    <mergeCell ref="D17:E17"/>
    <mergeCell ref="A12:B12"/>
    <mergeCell ref="A21:E21"/>
    <mergeCell ref="D16:E16"/>
    <mergeCell ref="D7:E7"/>
    <mergeCell ref="A5:B5"/>
    <mergeCell ref="A14:B14"/>
    <mergeCell ref="D4:E4"/>
    <mergeCell ref="A23:E23"/>
    <mergeCell ref="A17:B17"/>
    <mergeCell ref="D18:E18"/>
    <mergeCell ref="D9:E9"/>
    <mergeCell ref="A8:B8"/>
    <mergeCell ref="D12:E12"/>
    <mergeCell ref="A4:B4"/>
    <mergeCell ref="D8:E8"/>
    <mergeCell ref="A20:B20"/>
    <mergeCell ref="A125:E125"/>
    <mergeCell ref="D15:E15"/>
    <mergeCell ref="A19:B19"/>
    <mergeCell ref="A1:F1"/>
    <mergeCell ref="D5:E5"/>
    <mergeCell ref="A10:B10"/>
    <mergeCell ref="A13:B13"/>
    <mergeCell ref="D14:E14"/>
    <mergeCell ref="A9:B9"/>
  </mergeCells>
  <conditionalFormatting sqref="A5:B20">
    <cfRule type="expression" priority="1" dxfId="0">
      <formula>$A5=$B$3</formula>
    </cfRule>
  </conditionalFormatting>
  <conditionalFormatting sqref="D5:E20">
    <cfRule type="expression" priority="2" dxfId="1">
      <formula>$D5=$E$3</formula>
    </cfRule>
  </conditionalFormatting>
  <dataValidations count="2">
    <dataValidation sqref="B3" showDropDown="0" showInputMessage="0" showErrorMessage="1" allowBlank="0" errorTitle="Unknown Flow" error="Select a name from the Raw Flow Data headers." type="list">
      <formula1>'Raw Flow Data'!$B$1:$GR$1</formula1>
    </dataValidation>
    <dataValidation sqref="E3" showDropDown="0" showInputMessage="0" showErrorMessage="1" allowBlank="0" errorTitle="Unknown Pressure" error="Select a name from the Raw Pressure Data headers." type="list">
      <formula1>'Raw Pressure Data'!$B$1:$GR$1</formula1>
    </dataValidation>
  </dataValidations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2"/>
  <sheetViews>
    <sheetView workbookViewId="0">
      <selection activeCell="A1" sqref="A1"/>
    </sheetView>
  </sheetViews>
  <sheetFormatPr baseColWidth="8" defaultRowHeight="15"/>
  <cols>
    <col width="21" customWidth="1" min="1" max="1"/>
    <col width="18" customWidth="1" min="2" max="2"/>
    <col width="20" customWidth="1" min="3" max="3"/>
  </cols>
  <sheetData>
    <row r="1" ht="22" customHeight="1">
      <c r="A1" s="1" t="inlineStr">
        <is>
          <t>Date</t>
        </is>
      </c>
      <c r="B1" s="1" t="inlineStr">
        <is>
          <t>Name</t>
        </is>
      </c>
      <c r="C1" s="1" t="inlineStr">
        <is>
          <t>Adjusted Value</t>
        </is>
      </c>
    </row>
    <row r="2" ht="18" customHeight="1">
      <c r="A2" s="5" t="inlineStr">
        <is>
          <t>Rows are appended here each time you run SaveToMOD. History is preserved — existing rows are never overwritten.</t>
        </is>
      </c>
    </row>
  </sheetData>
  <mergeCells count="1">
    <mergeCell ref="A2:C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2"/>
  <sheetViews>
    <sheetView workbookViewId="0">
      <selection activeCell="A1" sqref="A1"/>
    </sheetView>
  </sheetViews>
  <sheetFormatPr baseColWidth="8" defaultRowHeight="15"/>
  <cols>
    <col width="21" customWidth="1" min="1" max="1"/>
    <col width="18" customWidth="1" min="2" max="2"/>
    <col width="20" customWidth="1" min="3" max="3"/>
  </cols>
  <sheetData>
    <row r="1" ht="22" customHeight="1">
      <c r="A1" s="1" t="inlineStr">
        <is>
          <t>Date</t>
        </is>
      </c>
      <c r="B1" s="1" t="inlineStr">
        <is>
          <t>Name</t>
        </is>
      </c>
      <c r="C1" s="1" t="inlineStr">
        <is>
          <t>Adjusted Value</t>
        </is>
      </c>
    </row>
    <row r="2" ht="18" customHeight="1">
      <c r="A2" s="5" t="inlineStr">
        <is>
          <t>Rows are appended here each time you run SaveToMOD. History is preserved — existing rows are never overwritten.</t>
        </is>
      </c>
    </row>
  </sheetData>
  <mergeCells count="1">
    <mergeCell ref="A2:C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65"/>
  <sheetViews>
    <sheetView showGridLines="0" workbookViewId="0">
      <selection activeCell="A1" sqref="A1"/>
    </sheetView>
  </sheetViews>
  <sheetFormatPr baseColWidth="8" defaultRowHeight="15"/>
  <cols>
    <col width="115" customWidth="1" min="1" max="1"/>
  </cols>
  <sheetData>
    <row r="1" ht="32" customHeight="1">
      <c r="A1" s="6" t="inlineStr">
        <is>
          <t>Flow &amp; Pressure Dashboard — Instructions</t>
        </is>
      </c>
    </row>
    <row r="2" ht="8" customHeight="1"/>
    <row r="3" ht="26" customHeight="1">
      <c r="A3" s="29" t="inlineStr">
        <is>
          <t>1.  QUICK START  (works immediately — no setup needed)</t>
        </is>
      </c>
    </row>
    <row r="4" ht="17" customHeight="1">
      <c r="A4" s="30" t="inlineStr">
        <is>
          <t>Step 1:  Paste your flow data into 'Raw Flow Data' (delete sample rows, keep Row 1 headers).</t>
        </is>
      </c>
    </row>
    <row r="5" ht="17" customHeight="1">
      <c r="A5" s="30" t="inlineStr">
        <is>
          <t>Step 2:  Paste your pressure data into 'Raw Pressure Data' (same format).</t>
        </is>
      </c>
    </row>
    <row r="6" ht="17" customHeight="1">
      <c r="A6" s="30" t="inlineStr">
        <is>
          <t>Step 3:  Go to the Dashboard sheet.</t>
        </is>
      </c>
    </row>
    <row r="7" ht="17" customHeight="1">
      <c r="A7" s="30" t="inlineStr">
        <is>
          <t>Step 4:  Use the 'Select Flow ▼' dropdown (cell B3) to pick a flow.</t>
        </is>
      </c>
    </row>
    <row r="8" ht="17" customHeight="1">
      <c r="A8" s="30" t="inlineStr">
        <is>
          <t xml:space="preserve">         The selected flow is highlighted in the list on the left.</t>
        </is>
      </c>
    </row>
    <row r="9" ht="17" customHeight="1">
      <c r="A9" s="30" t="inlineStr">
        <is>
          <t>Step 5:  Use the 'Select Pressure ▼' dropdown (cell E3) to pick a pressure.</t>
        </is>
      </c>
    </row>
    <row r="10" ht="17" customHeight="1">
      <c r="A10" s="30" t="inlineStr">
        <is>
          <t xml:space="preserve">         The selected pressure is highlighted in the list on the right.</t>
        </is>
      </c>
    </row>
    <row r="11" ht="17" customHeight="1">
      <c r="A11" s="30" t="inlineStr">
        <is>
          <t>Step 6:  Adjust 'Flow Scaling Factor' (B2) and 'Pressure Offset' (E2) if needed.</t>
        </is>
      </c>
    </row>
    <row r="12" ht="17" customHeight="1">
      <c r="A12" s="30" t="inlineStr">
        <is>
          <t>Step 7:  The chart (right side) and formula table (below) update instantly.</t>
        </is>
      </c>
    </row>
    <row r="13" ht="17" customHeight="1">
      <c r="A13" s="30" t="inlineStr">
        <is>
          <t>Step 8:  When satisfied, run the SaveToMOD macro to store the adjusted data.</t>
        </is>
      </c>
    </row>
    <row r="14" ht="17" customHeight="1">
      <c r="A14" s="30" t="inlineStr"/>
    </row>
    <row r="15" ht="17" customHeight="1">
      <c r="A15" s="30" t="inlineStr">
        <is>
          <t>NOTE:  After pasting your own data, right-click cell B3 → Data Validation → update</t>
        </is>
      </c>
    </row>
    <row r="16" ht="17" customHeight="1">
      <c r="A16" s="30" t="inlineStr">
        <is>
          <t xml:space="preserve">       Source to cover your column range, e.g.  'Raw Flow Data'!$B$1:$BZ$1</t>
        </is>
      </c>
    </row>
    <row r="17" ht="17" customHeight="1">
      <c r="A17" s="30" t="inlineStr">
        <is>
          <t xml:space="preserve">       Do the same for E3 using 'Raw Pressure Data'.</t>
        </is>
      </c>
    </row>
    <row r="18" ht="17" customHeight="1">
      <c r="A18" s="30" t="inlineStr"/>
    </row>
    <row r="19" ht="17" customHeight="1">
      <c r="A19" s="30" t="inlineStr">
        <is>
          <t>NOTE:  The formula table covers 100 rows. For longer datasets, select A25:E124</t>
        </is>
      </c>
    </row>
    <row r="20" ht="17" customHeight="1">
      <c r="A20" s="30" t="inlineStr">
        <is>
          <t xml:space="preserve">       and copy-paste downward as far as needed.</t>
        </is>
      </c>
    </row>
    <row r="21" ht="17" customHeight="1">
      <c r="A21" s="30" t="inlineStr"/>
    </row>
    <row r="22" ht="17" customHeight="1">
      <c r="A22" s="30" t="inlineStr">
        <is>
          <t>NOTE:  -999 values are treated as no-data and are excluded from all calculations.</t>
        </is>
      </c>
    </row>
    <row r="23" ht="8" customHeight="1"/>
    <row r="24" ht="26" customHeight="1">
      <c r="A24" s="31" t="inlineStr">
        <is>
          <t>2.  POWER QUERY SETUP  (optional — recommended for very large datasets)</t>
        </is>
      </c>
    </row>
    <row r="25" ht="17" customHeight="1">
      <c r="A25" s="30" t="inlineStr">
        <is>
          <t>The Raw data sheets are already set up as Excel Tables (FlowData, PressureData).</t>
        </is>
      </c>
    </row>
    <row r="26" ht="17" customHeight="1">
      <c r="A26" s="30" t="inlineStr">
        <is>
          <t>Power Query can load these tables, unpivot them, and merge them for use in PivotTables.</t>
        </is>
      </c>
    </row>
    <row r="27" ht="17" customHeight="1">
      <c r="A27" s="30" t="inlineStr"/>
    </row>
    <row r="28" ht="17" customHeight="1">
      <c r="A28" s="30" t="inlineStr">
        <is>
          <t>Step 1:  Data tab → Get Data → From Table/Range → select the FlowData table.</t>
        </is>
      </c>
    </row>
    <row r="29" ht="17" customHeight="1">
      <c r="A29" s="30" t="inlineStr">
        <is>
          <t>Step 2:  In Power Query Editor: select the Date column, then Home → Unpivot Other Columns.</t>
        </is>
      </c>
    </row>
    <row r="30" ht="17" customHeight="1">
      <c r="A30" s="30" t="inlineStr">
        <is>
          <t xml:space="preserve">         Rename 'Attribute' → 'Flow Name',  'Value' → 'Flow Value'.</t>
        </is>
      </c>
    </row>
    <row r="31" ht="17" customHeight="1">
      <c r="A31" s="30" t="inlineStr">
        <is>
          <t>Step 3:  Close &amp; Load To… → Only Create Connection.  Name the query  FlowLong.</t>
        </is>
      </c>
    </row>
    <row r="32" ht="17" customHeight="1">
      <c r="A32" s="30" t="inlineStr">
        <is>
          <t>Step 4:  Repeat for PressureData.  Name the query  PressureLong.</t>
        </is>
      </c>
    </row>
    <row r="33" ht="17" customHeight="1">
      <c r="A33" s="30" t="inlineStr">
        <is>
          <t>Step 5:  Merge the two queries on Date + Name to get a combined table.</t>
        </is>
      </c>
    </row>
    <row r="34" ht="17" customHeight="1">
      <c r="A34" s="30" t="inlineStr">
        <is>
          <t>Step 6:  Add calculated columns:  Flow Adjusted = [Flow Value] × scaling_factor</t>
        </is>
      </c>
    </row>
    <row r="35" ht="17" customHeight="1">
      <c r="A35" s="30" t="inlineStr">
        <is>
          <t xml:space="preserve">                                  Pressure Adjusted = [Pressure Value] + offset</t>
        </is>
      </c>
    </row>
    <row r="36" ht="17" customHeight="1">
      <c r="A36" s="30" t="inlineStr">
        <is>
          <t>Step 7:  Load the merged query to a sheet and build a PivotTable + Slicer on top of it.</t>
        </is>
      </c>
    </row>
    <row r="37" ht="17" customHeight="1">
      <c r="A37" s="30" t="inlineStr"/>
    </row>
    <row r="38" ht="17" customHeight="1">
      <c r="A38" s="30" t="inlineStr">
        <is>
          <t>After pasting new data:  Data tab → Refresh All  (Ctrl+Alt+F5).</t>
        </is>
      </c>
    </row>
    <row r="39" ht="8" customHeight="1"/>
    <row r="40" ht="26" customHeight="1">
      <c r="A40" s="32" t="inlineStr">
        <is>
          <t>3.  PIVOTTABLE + SLICER  (optional — for interactive multi-flow comparison)</t>
        </is>
      </c>
    </row>
    <row r="41" ht="17" customHeight="1">
      <c r="A41" s="30" t="inlineStr">
        <is>
          <t>Once the Power Query merged table is loaded to a sheet:</t>
        </is>
      </c>
    </row>
    <row r="42" ht="17" customHeight="1">
      <c r="A42" s="30" t="inlineStr">
        <is>
          <t xml:space="preserve">  • Insert → PivotTable</t>
        </is>
      </c>
    </row>
    <row r="43" ht="17" customHeight="1">
      <c r="A43" s="30" t="inlineStr">
        <is>
          <t xml:space="preserve">  • Rows: Date    Values: Flow Adjusted, Pressure Adjusted</t>
        </is>
      </c>
    </row>
    <row r="44" ht="17" customHeight="1">
      <c r="A44" s="30" t="inlineStr">
        <is>
          <t xml:space="preserve">  • PivotTable Analyze → Insert Slicer → tick 'Flow Name' → OK</t>
        </is>
      </c>
    </row>
    <row r="45" ht="17" customHeight="1">
      <c r="A45" s="30" t="inlineStr">
        <is>
          <t xml:space="preserve">  • Click a flow name in the Slicer to filter instantly</t>
        </is>
      </c>
    </row>
    <row r="46" ht="17" customHeight="1">
      <c r="A46" s="30" t="inlineStr">
        <is>
          <t xml:space="preserve">  • Insert → PivotChart → Line → add Secondary Axis to the Pressure series</t>
        </is>
      </c>
    </row>
    <row r="47" ht="8" customHeight="1"/>
    <row r="48" ht="26" customHeight="1">
      <c r="A48" s="33" t="inlineStr">
        <is>
          <t>4.  VBA SAVE BUTTON  (paste this into a Module — Alt+F11 → Insert → Module)</t>
        </is>
      </c>
    </row>
    <row r="49" ht="17" customHeight="1">
      <c r="A49" s="34" t="inlineStr">
        <is>
          <t>Assign the macro to a button on the Dashboard: Developer tab → Insert → Button (Form Control).</t>
        </is>
      </c>
    </row>
    <row r="50" ht="8" customHeight="1"/>
    <row r="51" ht="17" customHeight="1">
      <c r="A51" s="35" t="inlineStr">
        <is>
          <t>' ═══════════════════════════════════════════════════════════════════════════
' SaveToMOD  —  appends current adjusted data to MOD Flow and MOD Pressure
' Reads:  B3 (selected flow), E3 (selected pressure), B2 (scaling), E2 (offset)
'         Data table rows 25 onwards, columns A-E
' ═══════════════════════════════════════════════════════════════════════════
Sub SaveToMOD()
    Dim wsDash    As Worksheet
    Dim wsModFlow As Worksheet
    Dim wsModPres As Worksheet
    On Error Resume Next
    Set wsDash    = Worksheets("Dashboard")
    Set wsModFlow = Worksheets("MOD Flow")
    Set wsModPres = Worksheets("MOD Pressure")
    On Error GoTo 0
    If wsDash Is Nothing Or wsModFlow Is Nothing Or wsModPres Is Nothing Then
        MsgBox "Could not find Dashboard, MOD Flow, or MOD Pressure sheet.", _
               vbCritical, "Sheet Missing"
        Exit Sub
    End If
    ' ── Validate selections ──────────────────────────────────────────────────
    Dim flowName As String
    Dim presName As String
    flowName = Trim(wsDash.Range("B3").Value)
    presName = Trim(wsDash.Range("E3").Value)
    If flowName = "" Then
        MsgBox "Please select a Flow from the dropdown (cell B3).", _
               vbExclamation, "No Flow Selected"
        Exit Sub
    End If
    If presName = "" Then
        MsgBox "Please select a Pressure from the dropdown (cell E3).", _
               vbExclamation, "No Pressure Selected"
        Exit Sub
    End If
    ' ── Find last row with data ──────────────────────────────────────────────
    Const DATA_START As Long = 25
    Dim lastRow As Long
    lastRow = wsDash.Cells(wsDash.Rows.Count, "A").End(xlUp).Row
    If lastRow &lt; DATA_START Then
        MsgBox "No data found in the formula table (rows 25 onwards).", _
               vbExclamation, "No Data"
        Exit Sub
    End If
    Application.ScreenUpdating = False
    ' ── Next empty row in each MOD tab (skip header + info row) ─────────────
    Dim nFlow As Long
    Dim nPres As Long
    nFlow = wsModFlow.Cells(wsModFlow.Rows.Count, "A").End(xlUp).Row + 1
    nPres = wsModPres.Cells(wsModPres.Rows.Count, "A").End(xlUp).Row + 1
    If nFlow &lt; 3 Then nFlow = 3
    If nPres &lt; 3 Then nPres = 3
    Dim saved As Long
    Dim i As Long
    For i = DATA_START To lastRow
        Dim dtVal     As Variant
        Dim flowAdj   As Variant
        Dim presAdj   As Variant
        dtVal   = wsDash.Cells(i, "A").Value   ' Date
        flowAdj = wsDash.Cells(i, "C").Value   ' Flow Adjusted   (col C)
        presAdj = wsDash.Cells(i, "E").Value   ' Pressure Adjusted (col E)
        If dtVal = "" Then GoTo Skip
        If flowAdj &lt;&gt; "" Then
            wsModFlow.Cells(nFlow, "A").Value         = dtVal
            wsModFlow.Cells(nFlow, "A").NumberFormat  = "DD/MM/YYYY HH:MM"
            wsModFlow.Cells(nFlow, "B").Value         = flowName
            wsModFlow.Cells(nFlow, "C").Value         = flowAdj
            wsModFlow.Cells(nFlow, "C").NumberFormat  = "0.000"
            nFlow = nFlow + 1
        End If
        If presAdj &lt;&gt; "" Then
            wsModPres.Cells(nPres, "A").Value         = dtVal
            wsModPres.Cells(nPres, "A").NumberFormat  = "DD/MM/YYYY HH:MM"
            wsModPres.Cells(nPres, "B").Value         = presName
            wsModPres.Cells(nPres, "C").Value         = presAdj
            wsModPres.Cells(nPres, "C").NumberFormat  = "0.000"
            nPres = nPres + 1
        End If
        saved = saved + 1
Skip:
    Next i
    Application.ScreenUpdating = True
    If saved = 0 Then
        MsgBox "No data rows were saved — check the formula table has values.", _
               vbExclamation, "Nothing Saved"
    Else
        MsgBox "Saved " &amp; saved &amp; " rows." &amp; Chr(10) &amp; Chr(10) &amp; _
               "  Flow:     " &amp; flowName &amp; Chr(10) &amp; _
               "  Pressure: " &amp; presName, _
               vbInformation, "Save Complete"
    End If
End Sub</t>
        </is>
      </c>
    </row>
    <row r="52" ht="8" customHeight="1"/>
    <row r="53" ht="26" customHeight="1">
      <c r="A53" s="36" t="inlineStr">
        <is>
          <t>5.  DATA FORMAT REFERENCE</t>
        </is>
      </c>
    </row>
    <row r="54" ht="17" customHeight="1">
      <c r="A54" s="30" t="inlineStr">
        <is>
          <t>Both Raw Data sheets expect this wide format:</t>
        </is>
      </c>
    </row>
    <row r="55" ht="17" customHeight="1">
      <c r="A55" s="30" t="inlineStr"/>
    </row>
    <row r="56" ht="17" customHeight="1">
      <c r="A56" s="30" t="inlineStr">
        <is>
          <t xml:space="preserve">    Date               | AL012       | AL013       | AL014       | ...  </t>
        </is>
      </c>
    </row>
    <row r="57" ht="17" customHeight="1">
      <c r="A57" s="30" t="inlineStr">
        <is>
          <t xml:space="preserve">    12/01/2026 00:00   | 3.168205    | 2.204250    | 2.665153    | ...  </t>
        </is>
      </c>
    </row>
    <row r="58" ht="17" customHeight="1">
      <c r="A58" s="30" t="inlineStr">
        <is>
          <t xml:space="preserve">    12/01/2026 00:15   | 3.190769    | 2.225250    | 2.681334    | ...  </t>
        </is>
      </c>
    </row>
    <row r="59" ht="17" customHeight="1">
      <c r="A59" s="30" t="inlineStr"/>
    </row>
    <row r="60" ht="17" customHeight="1">
      <c r="A60" s="30" t="inlineStr">
        <is>
          <t>• Column A must contain a proper Date/Time value (not text).</t>
        </is>
      </c>
    </row>
    <row r="61" ht="17" customHeight="1">
      <c r="A61" s="30" t="inlineStr">
        <is>
          <t>• Flow and pressure column names can be any mix of letters and numbers.</t>
        </is>
      </c>
    </row>
    <row r="62" ht="17" customHeight="1">
      <c r="A62" s="30" t="inlineStr">
        <is>
          <t>• The flow names in Raw Flow Data and the pressure names in Raw Pressure Data</t>
        </is>
      </c>
    </row>
    <row r="63" ht="17" customHeight="1">
      <c r="A63" s="30" t="inlineStr">
        <is>
          <t xml:space="preserve">  do NOT need to match — you select each independently on the Dashboard.</t>
        </is>
      </c>
    </row>
    <row r="64" ht="17" customHeight="1">
      <c r="A64" s="30" t="inlineStr">
        <is>
          <t>• Use -999 for missing/no-data values — they are excluded from all calculations.</t>
        </is>
      </c>
    </row>
    <row r="65" ht="17" customHeight="1">
      <c r="A65" s="30" t="inlineStr">
        <is>
          <t>• Data can be any length: months of 15-minute data = thousands of rows.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2026-03-25T08:44:13Z</dcterms:created>
  <dcterms:modified xsi:type="dcterms:W3CDTF">2026-03-25T08:44:13Z</dcterms:modified>
</cp:coreProperties>
</file>