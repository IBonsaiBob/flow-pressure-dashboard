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aw Flow Data" sheetId="1" state="visible" r:id="rId1"/>
    <sheet name="Raw Pressure Data" sheetId="2" state="visible" r:id="rId2"/>
    <sheet name="Dashboard" sheetId="3" state="visible" r:id="rId3"/>
    <sheet name="MOD Flow" sheetId="4" state="visible" r:id="rId4"/>
    <sheet name="MOD Pressure" sheetId="5" state="visible" r:id="rId5"/>
    <sheet name="Instructions" sheetId="6" state="visible" r:id="rId6"/>
  </sheets>
  <definedNames/>
  <calcPr calcId="124519" calcMode="auto" fullCalcOnLoad="1"/>
</workbook>
</file>

<file path=xl/styles.xml><?xml version="1.0" encoding="utf-8"?>
<styleSheet xmlns="http://schemas.openxmlformats.org/spreadsheetml/2006/main">
  <numFmts count="4">
    <numFmt numFmtId="164" formatCode="yyyy-mm-dd h:mm:ss"/>
    <numFmt numFmtId="165" formatCode="DD/MM/YYYY HH:MM"/>
    <numFmt numFmtId="166" formatCode="0.000000"/>
    <numFmt numFmtId="167" formatCode="0.000"/>
  </numFmts>
  <fonts count="15">
    <font>
      <name val="Calibri"/>
      <family val="2"/>
      <color theme="1"/>
      <sz val="11"/>
      <scheme val="minor"/>
    </font>
    <font>
      <b val="1"/>
      <color rgb="00FFFFFF"/>
      <sz val="10"/>
    </font>
    <font>
      <b val="1"/>
      <color rgb="00FFFFFF"/>
      <sz val="14"/>
    </font>
    <font>
      <b val="1"/>
      <color rgb="00FFFFFF"/>
      <sz val="9"/>
    </font>
    <font>
      <b val="1"/>
      <color rgb="001F4E79"/>
      <sz val="9"/>
    </font>
    <font>
      <b val="1"/>
      <color rgb="00000000"/>
      <sz val="11"/>
    </font>
    <font>
      <b val="1"/>
      <color rgb="00C55A11"/>
      <sz val="9"/>
    </font>
    <font>
      <b val="1"/>
      <color rgb="007030A0"/>
      <sz val="9"/>
    </font>
    <font>
      <i val="1"/>
      <color rgb="00595959"/>
      <sz val="8"/>
    </font>
    <font>
      <color rgb="00595959"/>
      <sz val="8"/>
    </font>
    <font>
      <i val="1"/>
      <color rgb="00595959"/>
      <sz val="9"/>
    </font>
    <font>
      <b val="1"/>
      <color rgb="00FFFFFF"/>
      <sz val="11"/>
    </font>
    <font>
      <color rgb="00000000"/>
      <sz val="10"/>
    </font>
    <font>
      <i val="1"/>
      <color rgb="00595959"/>
      <sz val="10"/>
    </font>
    <font>
      <color rgb="00000000"/>
      <sz val="9"/>
    </font>
  </fonts>
  <fills count="13">
    <fill>
      <patternFill/>
    </fill>
    <fill>
      <patternFill patternType="gray125"/>
    </fill>
    <fill>
      <patternFill patternType="solid">
        <fgColor rgb="001F4E79"/>
      </patternFill>
    </fill>
    <fill>
      <patternFill patternType="solid">
        <fgColor rgb="002E75B6"/>
      </patternFill>
    </fill>
    <fill>
      <patternFill patternType="solid">
        <fgColor rgb="00C55A11"/>
      </patternFill>
    </fill>
    <fill>
      <patternFill patternType="solid">
        <fgColor rgb="007030A0"/>
      </patternFill>
    </fill>
    <fill>
      <patternFill patternType="solid">
        <fgColor rgb="00BDD7EE"/>
      </patternFill>
    </fill>
    <fill>
      <patternFill patternType="solid">
        <fgColor rgb="00FCE4D6"/>
      </patternFill>
    </fill>
    <fill>
      <patternFill patternType="solid">
        <fgColor rgb="00FFF2CC"/>
      </patternFill>
    </fill>
    <fill>
      <patternFill patternType="solid">
        <fgColor rgb="00E2EFDA"/>
      </patternFill>
    </fill>
    <fill>
      <patternFill patternType="solid">
        <fgColor rgb="00375623"/>
      </patternFill>
    </fill>
    <fill>
      <patternFill patternType="solid">
        <fgColor rgb="00F2F2F2"/>
      </patternFill>
    </fill>
    <fill>
      <patternFill patternType="solid">
        <fgColor rgb="00595959"/>
      </patternFill>
    </fill>
  </fills>
  <borders count="3">
    <border>
      <left/>
      <right/>
      <top/>
      <bottom/>
      <diagonal/>
    </border>
    <border>
      <left style="thin"/>
      <right style="thin"/>
      <top style="thin"/>
      <bottom style="thin"/>
    </border>
    <border>
      <left style="medium"/>
      <right style="medium"/>
      <top style="medium"/>
      <bottom style="medium"/>
    </border>
  </borders>
  <cellStyleXfs count="1">
    <xf numFmtId="0" fontId="0" fillId="0" borderId="0"/>
  </cellStyleXfs>
  <cellXfs count="35">
    <xf numFmtId="0" fontId="0" fillId="0" borderId="0" pivotButton="0" quotePrefix="0" xfId="0"/>
    <xf numFmtId="0" fontId="1" fillId="2" borderId="1" applyAlignment="1" pivotButton="0" quotePrefix="0" xfId="0">
      <alignment horizontal="center" vertical="center"/>
    </xf>
    <xf numFmtId="0" fontId="1" fillId="3" borderId="1" applyAlignment="1" pivotButton="0" quotePrefix="0" xfId="0">
      <alignment horizontal="center" vertical="center"/>
    </xf>
    <xf numFmtId="165" fontId="0" fillId="0" borderId="0" applyAlignment="1" pivotButton="0" quotePrefix="0" xfId="0">
      <alignment horizontal="center" vertical="center"/>
    </xf>
    <xf numFmtId="166" fontId="0" fillId="0" borderId="0" applyAlignment="1" pivotButton="0" quotePrefix="0" xfId="0">
      <alignment horizontal="right"/>
    </xf>
    <xf numFmtId="0" fontId="2" fillId="2" borderId="0" applyAlignment="1" pivotButton="0" quotePrefix="0" xfId="0">
      <alignment horizontal="left" vertical="center" indent="1"/>
    </xf>
    <xf numFmtId="0" fontId="3" fillId="3" borderId="1" applyAlignment="1" pivotButton="0" quotePrefix="0" xfId="0">
      <alignment horizontal="center" vertical="center"/>
    </xf>
    <xf numFmtId="0" fontId="3" fillId="4" borderId="1" applyAlignment="1" pivotButton="0" quotePrefix="0" xfId="0">
      <alignment horizontal="center" vertical="center"/>
    </xf>
    <xf numFmtId="0" fontId="3" fillId="5" borderId="1" applyAlignment="1" pivotButton="0" quotePrefix="0" xfId="0">
      <alignment horizontal="center" vertical="center"/>
    </xf>
    <xf numFmtId="0" fontId="4" fillId="0" borderId="0" applyAlignment="1" pivotButton="0" quotePrefix="0" xfId="0">
      <alignment horizontal="center" vertical="center"/>
    </xf>
    <xf numFmtId="0" fontId="5" fillId="6" borderId="2" applyAlignment="1" pivotButton="0" quotePrefix="0" xfId="0">
      <alignment horizontal="center" vertical="center"/>
    </xf>
    <xf numFmtId="167" fontId="5" fillId="7" borderId="2" applyAlignment="1" pivotButton="0" quotePrefix="0" xfId="0">
      <alignment horizontal="center" vertical="center"/>
    </xf>
    <xf numFmtId="1" fontId="5" fillId="8" borderId="2" applyAlignment="1" pivotButton="0" quotePrefix="0" xfId="0">
      <alignment horizontal="center" vertical="center"/>
    </xf>
    <xf numFmtId="0" fontId="6" fillId="0" borderId="0" applyAlignment="1" pivotButton="0" quotePrefix="0" xfId="0">
      <alignment horizontal="center" vertical="center"/>
    </xf>
    <xf numFmtId="0" fontId="5" fillId="7" borderId="2" applyAlignment="1" pivotButton="0" quotePrefix="0" xfId="0">
      <alignment horizontal="center" vertical="center"/>
    </xf>
    <xf numFmtId="167" fontId="5" fillId="9" borderId="2" applyAlignment="1" pivotButton="0" quotePrefix="0" xfId="0">
      <alignment horizontal="center" vertical="center"/>
    </xf>
    <xf numFmtId="0" fontId="7" fillId="0" borderId="0" applyAlignment="1" pivotButton="0" quotePrefix="0" xfId="0">
      <alignment horizontal="right" vertical="center"/>
    </xf>
    <xf numFmtId="165" fontId="5" fillId="6" borderId="2" applyAlignment="1" pivotButton="0" quotePrefix="0" xfId="0">
      <alignment horizontal="center" vertical="center"/>
    </xf>
    <xf numFmtId="0" fontId="8" fillId="0" borderId="0" applyAlignment="1" pivotButton="0" quotePrefix="0" xfId="0">
      <alignment horizontal="right" vertical="center"/>
    </xf>
    <xf numFmtId="1" fontId="9" fillId="0" borderId="0" applyAlignment="1" pivotButton="0" quotePrefix="0" xfId="0">
      <alignment horizontal="center" vertical="center"/>
    </xf>
    <xf numFmtId="0" fontId="10" fillId="0" borderId="0" applyAlignment="1" pivotButton="0" quotePrefix="0" xfId="0">
      <alignment wrapText="1"/>
    </xf>
    <xf numFmtId="0" fontId="3" fillId="2" borderId="0" applyAlignment="1" pivotButton="0" quotePrefix="0" xfId="0">
      <alignment horizontal="left" vertical="center" indent="1"/>
    </xf>
    <xf numFmtId="0" fontId="1" fillId="10" borderId="1" applyAlignment="1" pivotButton="0" quotePrefix="0" xfId="0">
      <alignment horizontal="center" vertical="center"/>
    </xf>
    <xf numFmtId="165" fontId="0" fillId="11" borderId="0" applyAlignment="1" pivotButton="0" quotePrefix="0" xfId="0">
      <alignment horizontal="center"/>
    </xf>
    <xf numFmtId="167" fontId="0" fillId="11" borderId="0" applyAlignment="1" pivotButton="0" quotePrefix="0" xfId="0">
      <alignment horizontal="right"/>
    </xf>
    <xf numFmtId="165" fontId="0" fillId="0" borderId="0" applyAlignment="1" pivotButton="0" quotePrefix="0" xfId="0">
      <alignment horizontal="center"/>
    </xf>
    <xf numFmtId="167" fontId="0" fillId="0" borderId="0" applyAlignment="1" pivotButton="0" quotePrefix="0" xfId="0">
      <alignment horizontal="right"/>
    </xf>
    <xf numFmtId="0" fontId="11" fillId="3" borderId="0" applyAlignment="1" pivotButton="0" quotePrefix="0" xfId="0">
      <alignment horizontal="left" vertical="center" indent="1"/>
    </xf>
    <xf numFmtId="0" fontId="12" fillId="0" borderId="0" applyAlignment="1" pivotButton="0" quotePrefix="0" xfId="0">
      <alignment horizontal="left" vertical="center" wrapText="1" indent="2"/>
    </xf>
    <xf numFmtId="0" fontId="11" fillId="4" borderId="0" applyAlignment="1" pivotButton="0" quotePrefix="0" xfId="0">
      <alignment horizontal="left" vertical="center" indent="1"/>
    </xf>
    <xf numFmtId="0" fontId="11" fillId="10" borderId="0" applyAlignment="1" pivotButton="0" quotePrefix="0" xfId="0">
      <alignment horizontal="left" vertical="center" indent="1"/>
    </xf>
    <xf numFmtId="0" fontId="11" fillId="5" borderId="0" applyAlignment="1" pivotButton="0" quotePrefix="0" xfId="0">
      <alignment horizontal="left" vertical="center" indent="1"/>
    </xf>
    <xf numFmtId="0" fontId="13" fillId="0" borderId="0" applyAlignment="1" pivotButton="0" quotePrefix="0" xfId="0">
      <alignment horizontal="left" vertical="center" wrapText="1" indent="2"/>
    </xf>
    <xf numFmtId="0" fontId="14" fillId="11" borderId="0" applyAlignment="1" pivotButton="0" quotePrefix="0" xfId="0">
      <alignment horizontal="left" vertical="center" wrapText="1"/>
    </xf>
    <xf numFmtId="0" fontId="11"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chartSpace xmlns:c="http://schemas.openxmlformats.org/drawingml/2006/chart" xmlns:a="http://schemas.openxmlformats.org/drawingml/2006/main" xmlns:r="http://schemas.openxmlformats.org/officeDocument/2006/relationships">
  <c:lang val="en-US"/>
  <c:style val="10"/>
  <c:chart>
    <c:title>
      <c:tx>
        <c:rich>
          <a:bodyPr/>
          <a:lstStyle/>
          <a:p>
            <a:r>
              <a:t>Flow &amp; Pressure Analysis</a:t>
            </a:r>
          </a:p>
        </c:rich>
      </c:tx>
      <c:overlay val="0"/>
    </c:title>
    <c:autoTitleDeleted val="0"/>
    <c:plotArea>
      <c:layout/>
      <c:lineChart>
        <c:grouping val="standard"/>
        <c:varyColors val="0"/>
        <c:ser>
          <c:idx val="0"/>
          <c:order val="0"/>
          <c:tx>
            <c:strRef>
              <c:f>Dashboard!$B$25</c:f>
            </c:strRef>
          </c:tx>
          <c:spPr>
            <a:ln w="20000">
              <a:solidFill>
                <a:srgbClr val="2E75B6"/>
              </a:solidFill>
            </a:ln>
          </c:spPr>
          <c:marker>
            <c:symbol val="none"/>
          </c:marker>
          <c:cat>
            <c:numRef>
              <c:f>Dashboard!$A$26:$A$225</c:f>
              <c:numCache>
                <c:formatCode>General</c:formatCode>
                <c:ptCount val="0"/>
              </c:numCache>
            </c:numRef>
          </c:cat>
          <c:val>
            <c:numRef>
              <c:f>Dashboard!$B$26:$B$225</c:f>
              <c:numCache>
                <c:formatCode>General</c:formatCode>
                <c:ptCount val="0"/>
              </c:numCache>
            </c:numRef>
          </c:val>
          <c:smooth val="0"/>
        </c:ser>
        <c:ser>
          <c:idx val="1"/>
          <c:order val="1"/>
          <c:tx>
            <c:strRef>
              <c:f>Dashboard!$C$25</c:f>
            </c:strRef>
          </c:tx>
          <c:spPr>
            <a:ln w="20000">
              <a:solidFill>
                <a:srgbClr val="1F4E79"/>
              </a:solidFill>
            </a:ln>
          </c:spPr>
          <c:marker>
            <c:symbol val="none"/>
          </c:marker>
          <c:cat>
            <c:numRef>
              <c:f>Dashboard!$A$26:$A$225</c:f>
              <c:numCache>
                <c:formatCode>General</c:formatCode>
                <c:ptCount val="0"/>
              </c:numCache>
            </c:numRef>
          </c:cat>
          <c:val>
            <c:numRef>
              <c:f>Dashboard!$C$26:$C$225</c:f>
              <c:numCache>
                <c:formatCode>General</c:formatCode>
                <c:ptCount val="0"/>
              </c:numCache>
            </c:numRef>
          </c:val>
          <c:smooth val="0"/>
        </c:ser>
        <c:ser>
          <c:idx val="2"/>
          <c:order val="2"/>
          <c:tx>
            <c:strRef>
              <c:f>Dashboard!$D$25</c:f>
            </c:strRef>
          </c:tx>
          <c:spPr>
            <a:ln w="20000">
              <a:solidFill>
                <a:srgbClr val="00B0F0"/>
              </a:solidFill>
            </a:ln>
          </c:spPr>
          <c:marker>
            <c:symbol val="none"/>
          </c:marker>
          <c:cat>
            <c:numRef>
              <c:f>Dashboard!$A$26:$A$225</c:f>
              <c:numCache>
                <c:formatCode>General</c:formatCode>
                <c:ptCount val="0"/>
              </c:numCache>
            </c:numRef>
          </c:cat>
          <c:val>
            <c:numRef>
              <c:f>Dashboard!$D$26:$D$225</c:f>
              <c:numCache>
                <c:formatCode>General</c:formatCode>
                <c:ptCount val="0"/>
              </c:numCache>
            </c:numRef>
          </c:val>
          <c:smooth val="0"/>
        </c:ser>
        <c:ser>
          <c:idx val="3"/>
          <c:order val="3"/>
          <c:tx>
            <c:strRef>
              <c:f>Dashboard!$E$25</c:f>
            </c:strRef>
          </c:tx>
          <c:spPr>
            <a:ln w="20000">
              <a:solidFill>
                <a:srgbClr val="0070C0"/>
              </a:solidFill>
            </a:ln>
          </c:spPr>
          <c:marker>
            <c:symbol val="none"/>
          </c:marker>
          <c:cat>
            <c:numRef>
              <c:f>Dashboard!$A$26:$A$225</c:f>
              <c:numCache>
                <c:formatCode>General</c:formatCode>
                <c:ptCount val="0"/>
              </c:numCache>
            </c:numRef>
          </c:cat>
          <c:val>
            <c:numRef>
              <c:f>Dashboard!$E$26:$E$225</c:f>
              <c:numCache>
                <c:formatCode>General</c:formatCode>
                <c:ptCount val="0"/>
              </c:numCache>
            </c:numRef>
          </c:val>
          <c:smooth val="0"/>
        </c:ser>
        <c:ser>
          <c:idx val="4"/>
          <c:order val="4"/>
          <c:tx>
            <c:strRef>
              <c:f>Dashboard!$F$25</c:f>
            </c:strRef>
          </c:tx>
          <c:spPr>
            <a:ln w="20000">
              <a:solidFill>
                <a:srgbClr val="5BA3D9"/>
              </a:solidFill>
            </a:ln>
          </c:spPr>
          <c:marker>
            <c:symbol val="none"/>
          </c:marker>
          <c:cat>
            <c:numRef>
              <c:f>Dashboard!$A$26:$A$225</c:f>
              <c:numCache>
                <c:formatCode>General</c:formatCode>
                <c:ptCount val="0"/>
              </c:numCache>
            </c:numRef>
          </c:cat>
          <c:val>
            <c:numRef>
              <c:f>Dashboard!$F$26:$F$225</c:f>
              <c:numCache>
                <c:formatCode>General</c:formatCode>
                <c:ptCount val="0"/>
              </c:numCache>
            </c:numRef>
          </c:val>
          <c:smooth val="0"/>
        </c:ser>
        <c:ser>
          <c:idx val="5"/>
          <c:order val="5"/>
          <c:tx>
            <c:strRef>
              <c:f>Dashboard!$G$25</c:f>
            </c:strRef>
          </c:tx>
          <c:spPr>
            <a:ln w="20000">
              <a:solidFill>
                <a:srgbClr val="375623"/>
              </a:solidFill>
            </a:ln>
          </c:spPr>
          <c:marker>
            <c:symbol val="none"/>
          </c:marker>
          <c:cat>
            <c:numRef>
              <c:f>Dashboard!$A$26:$A$225</c:f>
              <c:numCache>
                <c:formatCode>General</c:formatCode>
                <c:ptCount val="0"/>
              </c:numCache>
            </c:numRef>
          </c:cat>
          <c:val>
            <c:numRef>
              <c:f>Dashboard!$G$26:$G$225</c:f>
              <c:numCache>
                <c:formatCode>General</c:formatCode>
                <c:ptCount val="0"/>
              </c:numCache>
            </c:numRef>
          </c:val>
          <c:smooth val="0"/>
        </c:ser>
        <c:ser>
          <c:idx val="6"/>
          <c:order val="6"/>
          <c:tx>
            <c:strRef>
              <c:f>Dashboard!$H$25</c:f>
            </c:strRef>
          </c:tx>
          <c:spPr>
            <a:ln w="20000">
              <a:solidFill>
                <a:srgbClr val="70AD47"/>
              </a:solidFill>
            </a:ln>
          </c:spPr>
          <c:marker>
            <c:symbol val="none"/>
          </c:marker>
          <c:cat>
            <c:numRef>
              <c:f>Dashboard!$A$26:$A$225</c:f>
              <c:numCache>
                <c:formatCode>General</c:formatCode>
                <c:ptCount val="0"/>
              </c:numCache>
            </c:numRef>
          </c:cat>
          <c:val>
            <c:numRef>
              <c:f>Dashboard!$H$26:$H$225</c:f>
              <c:numCache>
                <c:formatCode>General</c:formatCode>
                <c:ptCount val="0"/>
              </c:numCache>
            </c:numRef>
          </c:val>
          <c:smooth val="0"/>
        </c:ser>
        <c:ser>
          <c:idx val="7"/>
          <c:order val="7"/>
          <c:tx>
            <c:strRef>
              <c:f>Dashboard!$I$25</c:f>
            </c:strRef>
          </c:tx>
          <c:spPr>
            <a:ln w="20000">
              <a:solidFill>
                <a:srgbClr val="4EA72C"/>
              </a:solidFill>
            </a:ln>
          </c:spPr>
          <c:marker>
            <c:symbol val="none"/>
          </c:marker>
          <c:cat>
            <c:numRef>
              <c:f>Dashboard!$A$26:$A$225</c:f>
              <c:numCache>
                <c:formatCode>General</c:formatCode>
                <c:ptCount val="0"/>
              </c:numCache>
            </c:numRef>
          </c:cat>
          <c:val>
            <c:numRef>
              <c:f>Dashboard!$I$26:$I$225</c:f>
              <c:numCache>
                <c:formatCode>General</c:formatCode>
                <c:ptCount val="0"/>
              </c:numCache>
            </c:numRef>
          </c:val>
          <c:smooth val="0"/>
        </c:ser>
        <c:ser>
          <c:idx val="8"/>
          <c:order val="8"/>
          <c:tx>
            <c:strRef>
              <c:f>Dashboard!$J$25</c:f>
            </c:strRef>
          </c:tx>
          <c:spPr>
            <a:ln w="20000">
              <a:solidFill>
                <a:srgbClr val="595959"/>
              </a:solidFill>
            </a:ln>
          </c:spPr>
          <c:marker>
            <c:symbol val="none"/>
          </c:marker>
          <c:cat>
            <c:numRef>
              <c:f>Dashboard!$A$26:$A$225</c:f>
              <c:numCache>
                <c:formatCode>General</c:formatCode>
                <c:ptCount val="0"/>
              </c:numCache>
            </c:numRef>
          </c:cat>
          <c:val>
            <c:numRef>
              <c:f>Dashboard!$J$26:$J$225</c:f>
              <c:numCache>
                <c:formatCode>General</c:formatCode>
                <c:ptCount val="0"/>
              </c:numCache>
            </c:numRef>
          </c:val>
          <c:smooth val="0"/>
        </c:ser>
        <c:ser>
          <c:idx val="9"/>
          <c:order val="9"/>
          <c:tx>
            <c:strRef>
              <c:f>Dashboard!$K$25</c:f>
            </c:strRef>
          </c:tx>
          <c:spPr>
            <a:ln w="20000">
              <a:solidFill>
                <a:srgbClr val="808080"/>
              </a:solidFill>
            </a:ln>
          </c:spPr>
          <c:marker>
            <c:symbol val="none"/>
          </c:marker>
          <c:cat>
            <c:numRef>
              <c:f>Dashboard!$A$26:$A$225</c:f>
              <c:numCache>
                <c:formatCode>General</c:formatCode>
                <c:ptCount val="0"/>
              </c:numCache>
            </c:numRef>
          </c:cat>
          <c:val>
            <c:numRef>
              <c:f>Dashboard!$K$26:$K$225</c:f>
              <c:numCache>
                <c:formatCode>General</c:formatCode>
                <c:ptCount val="0"/>
              </c:numCache>
            </c:numRef>
          </c:val>
          <c:smooth val="0"/>
        </c:ser>
        <c:smooth val="0"/>
        <c:axId val="1001"/>
        <c:axId val="1002"/>
      </c:lineChart>
      <c:lineChart>
        <c:grouping val="standard"/>
        <c:varyColors val="0"/>
        <c:ser>
          <c:idx val="10"/>
          <c:order val="10"/>
          <c:tx>
            <c:strRef>
              <c:f>Dashboard!$L$25</c:f>
            </c:strRef>
          </c:tx>
          <c:spPr>
            <a:ln w="20000">
              <a:solidFill>
                <a:srgbClr val="C55A11"/>
              </a:solidFill>
            </a:ln>
          </c:spPr>
          <c:marker>
            <c:symbol val="none"/>
          </c:marker>
          <c:cat>
            <c:numRef>
              <c:f>Dashboard!$A$26:$A$225</c:f>
              <c:numCache>
                <c:formatCode>General</c:formatCode>
                <c:ptCount val="0"/>
              </c:numCache>
            </c:numRef>
          </c:cat>
          <c:val>
            <c:numRef>
              <c:f>Dashboard!$L$26:$L$225</c:f>
              <c:numCache>
                <c:formatCode>General</c:formatCode>
                <c:ptCount val="0"/>
              </c:numCache>
            </c:numRef>
          </c:val>
          <c:smooth val="0"/>
        </c:ser>
        <c:ser>
          <c:idx val="11"/>
          <c:order val="11"/>
          <c:tx>
            <c:strRef>
              <c:f>Dashboard!$M$25</c:f>
            </c:strRef>
          </c:tx>
          <c:spPr>
            <a:ln w="20000">
              <a:solidFill>
                <a:srgbClr val="E67E22"/>
              </a:solidFill>
            </a:ln>
          </c:spPr>
          <c:marker>
            <c:symbol val="none"/>
          </c:marker>
          <c:cat>
            <c:numRef>
              <c:f>Dashboard!$A$26:$A$225</c:f>
              <c:numCache>
                <c:formatCode>General</c:formatCode>
                <c:ptCount val="0"/>
              </c:numCache>
            </c:numRef>
          </c:cat>
          <c:val>
            <c:numRef>
              <c:f>Dashboard!$M$26:$M$225</c:f>
              <c:numCache>
                <c:formatCode>General</c:formatCode>
                <c:ptCount val="0"/>
              </c:numCache>
            </c:numRef>
          </c:val>
          <c:smooth val="0"/>
        </c:ser>
        <c:ser>
          <c:idx val="12"/>
          <c:order val="12"/>
          <c:tx>
            <c:strRef>
              <c:f>Dashboard!$N$25</c:f>
            </c:strRef>
          </c:tx>
          <c:spPr>
            <a:ln w="20000">
              <a:solidFill>
                <a:srgbClr val="F39C12"/>
              </a:solidFill>
            </a:ln>
          </c:spPr>
          <c:marker>
            <c:symbol val="none"/>
          </c:marker>
          <c:cat>
            <c:numRef>
              <c:f>Dashboard!$A$26:$A$225</c:f>
              <c:numCache>
                <c:formatCode>General</c:formatCode>
                <c:ptCount val="0"/>
              </c:numCache>
            </c:numRef>
          </c:cat>
          <c:val>
            <c:numRef>
              <c:f>Dashboard!$N$26:$N$225</c:f>
              <c:numCache>
                <c:formatCode>General</c:formatCode>
                <c:ptCount val="0"/>
              </c:numCache>
            </c:numRef>
          </c:val>
          <c:smooth val="0"/>
        </c:ser>
        <c:ser>
          <c:idx val="13"/>
          <c:order val="13"/>
          <c:tx>
            <c:strRef>
              <c:f>Dashboard!$O$25</c:f>
            </c:strRef>
          </c:tx>
          <c:spPr>
            <a:ln w="20000">
              <a:solidFill>
                <a:srgbClr val="7030A0"/>
              </a:solidFill>
            </a:ln>
          </c:spPr>
          <c:marker>
            <c:symbol val="none"/>
          </c:marker>
          <c:cat>
            <c:numRef>
              <c:f>Dashboard!$A$26:$A$225</c:f>
              <c:numCache>
                <c:formatCode>General</c:formatCode>
                <c:ptCount val="0"/>
              </c:numCache>
            </c:numRef>
          </c:cat>
          <c:val>
            <c:numRef>
              <c:f>Dashboard!$O$26:$O$225</c:f>
              <c:numCache>
                <c:formatCode>General</c:formatCode>
                <c:ptCount val="0"/>
              </c:numCache>
            </c:numRef>
          </c:val>
          <c:smooth val="0"/>
        </c:ser>
        <c:ser>
          <c:idx val="14"/>
          <c:order val="14"/>
          <c:tx>
            <c:strRef>
              <c:f>Dashboard!$P$25</c:f>
            </c:strRef>
          </c:tx>
          <c:spPr>
            <a:ln w="20000">
              <a:solidFill>
                <a:srgbClr val="9B59B6"/>
              </a:solidFill>
            </a:ln>
          </c:spPr>
          <c:marker>
            <c:symbol val="none"/>
          </c:marker>
          <c:cat>
            <c:numRef>
              <c:f>Dashboard!$A$26:$A$225</c:f>
              <c:numCache>
                <c:formatCode>General</c:formatCode>
                <c:ptCount val="0"/>
              </c:numCache>
            </c:numRef>
          </c:cat>
          <c:val>
            <c:numRef>
              <c:f>Dashboard!$P$26:$P$225</c:f>
              <c:numCache>
                <c:formatCode>General</c:formatCode>
                <c:ptCount val="0"/>
              </c:numCache>
            </c:numRef>
          </c:val>
          <c:smooth val="0"/>
        </c:ser>
        <c:ser>
          <c:idx val="15"/>
          <c:order val="15"/>
          <c:tx>
            <c:strRef>
              <c:f>Dashboard!$Q$25</c:f>
            </c:strRef>
          </c:tx>
          <c:spPr>
            <a:ln w="20000">
              <a:solidFill>
                <a:srgbClr val="E74C3C"/>
              </a:solidFill>
            </a:ln>
          </c:spPr>
          <c:marker>
            <c:symbol val="none"/>
          </c:marker>
          <c:cat>
            <c:numRef>
              <c:f>Dashboard!$A$26:$A$225</c:f>
              <c:numCache>
                <c:formatCode>General</c:formatCode>
                <c:ptCount val="0"/>
              </c:numCache>
            </c:numRef>
          </c:cat>
          <c:val>
            <c:numRef>
              <c:f>Dashboard!$Q$26:$Q$225</c:f>
              <c:numCache>
                <c:formatCode>General</c:formatCode>
                <c:ptCount val="0"/>
              </c:numCache>
            </c:numRef>
          </c:val>
          <c:smooth val="0"/>
        </c:ser>
        <c:ser>
          <c:idx val="16"/>
          <c:order val="16"/>
          <c:tx>
            <c:strRef>
              <c:f>Dashboard!$R$25</c:f>
            </c:strRef>
          </c:tx>
          <c:spPr>
            <a:ln w="20000">
              <a:solidFill>
                <a:srgbClr val="922B21"/>
              </a:solidFill>
            </a:ln>
          </c:spPr>
          <c:marker>
            <c:symbol val="none"/>
          </c:marker>
          <c:cat>
            <c:numRef>
              <c:f>Dashboard!$A$26:$A$225</c:f>
              <c:numCache>
                <c:formatCode>General</c:formatCode>
                <c:ptCount val="0"/>
              </c:numCache>
            </c:numRef>
          </c:cat>
          <c:val>
            <c:numRef>
              <c:f>Dashboard!$R$26:$R$225</c:f>
              <c:numCache>
                <c:formatCode>General</c:formatCode>
                <c:ptCount val="0"/>
              </c:numCache>
            </c:numRef>
          </c:val>
          <c:smooth val="0"/>
        </c:ser>
        <c:ser>
          <c:idx val="17"/>
          <c:order val="17"/>
          <c:tx>
            <c:strRef>
              <c:f>Dashboard!$S$25</c:f>
            </c:strRef>
          </c:tx>
          <c:spPr>
            <a:ln w="20000">
              <a:solidFill>
                <a:srgbClr val="00695C"/>
              </a:solidFill>
            </a:ln>
          </c:spPr>
          <c:marker>
            <c:symbol val="none"/>
          </c:marker>
          <c:cat>
            <c:numRef>
              <c:f>Dashboard!$A$26:$A$225</c:f>
              <c:numCache>
                <c:formatCode>General</c:formatCode>
                <c:ptCount val="0"/>
              </c:numCache>
            </c:numRef>
          </c:cat>
          <c:val>
            <c:numRef>
              <c:f>Dashboard!$S$26:$S$225</c:f>
              <c:numCache>
                <c:formatCode>General</c:formatCode>
                <c:ptCount val="0"/>
              </c:numCache>
            </c:numRef>
          </c:val>
          <c:smooth val="0"/>
        </c:ser>
        <c:ser>
          <c:idx val="18"/>
          <c:order val="18"/>
          <c:tx>
            <c:strRef>
              <c:f>Dashboard!$T$25</c:f>
            </c:strRef>
          </c:tx>
          <c:spPr>
            <a:ln w="20000">
              <a:solidFill>
                <a:srgbClr val="26A69A"/>
              </a:solidFill>
            </a:ln>
          </c:spPr>
          <c:marker>
            <c:symbol val="none"/>
          </c:marker>
          <c:cat>
            <c:numRef>
              <c:f>Dashboard!$A$26:$A$225</c:f>
              <c:numCache>
                <c:formatCode>General</c:formatCode>
                <c:ptCount val="0"/>
              </c:numCache>
            </c:numRef>
          </c:cat>
          <c:val>
            <c:numRef>
              <c:f>Dashboard!$T$26:$T$225</c:f>
              <c:numCache>
                <c:formatCode>General</c:formatCode>
                <c:ptCount val="0"/>
              </c:numCache>
            </c:numRef>
          </c:val>
          <c:smooth val="0"/>
        </c:ser>
        <c:ser>
          <c:idx val="19"/>
          <c:order val="19"/>
          <c:tx>
            <c:strRef>
              <c:f>Dashboard!$U$25</c:f>
            </c:strRef>
          </c:tx>
          <c:spPr>
            <a:ln w="20000">
              <a:solidFill>
                <a:srgbClr val="FF6B35"/>
              </a:solidFill>
            </a:ln>
          </c:spPr>
          <c:marker>
            <c:symbol val="none"/>
          </c:marker>
          <c:cat>
            <c:numRef>
              <c:f>Dashboard!$A$26:$A$225</c:f>
              <c:numCache>
                <c:formatCode>General</c:formatCode>
                <c:ptCount val="0"/>
              </c:numCache>
            </c:numRef>
          </c:cat>
          <c:val>
            <c:numRef>
              <c:f>Dashboard!$U$26:$U$225</c:f>
              <c:numCache>
                <c:formatCode>General</c:formatCode>
                <c:ptCount val="0"/>
              </c:numCache>
            </c:numRef>
          </c:val>
          <c:smooth val="0"/>
        </c:ser>
        <c:ser>
          <c:idx val="20"/>
          <c:order val="20"/>
          <c:tx>
            <c:strRef>
              <c:f>Dashboard!$V$25</c:f>
            </c:strRef>
          </c:tx>
          <c:spPr>
            <a:ln w="20000">
              <a:solidFill>
                <a:srgbClr val="D4380D"/>
              </a:solidFill>
            </a:ln>
          </c:spPr>
          <c:marker>
            <c:symbol val="none"/>
          </c:marker>
          <c:cat>
            <c:numRef>
              <c:f>Dashboard!$A$26:$A$225</c:f>
              <c:numCache>
                <c:formatCode>General</c:formatCode>
                <c:ptCount val="0"/>
              </c:numCache>
            </c:numRef>
          </c:cat>
          <c:val>
            <c:numRef>
              <c:f>Dashboard!$V$26:$V$225</c:f>
              <c:numCache>
                <c:formatCode>General</c:formatCode>
                <c:ptCount val="0"/>
              </c:numCache>
            </c:numRef>
          </c:val>
          <c:smooth val="0"/>
        </c:ser>
        <c:ser>
          <c:idx val="21"/>
          <c:order val="21"/>
          <c:tx>
            <c:strRef>
              <c:f>Dashboard!$W$25</c:f>
            </c:strRef>
          </c:tx>
          <c:spPr>
            <a:ln w="20000">
              <a:solidFill>
                <a:srgbClr val="FA8C16"/>
              </a:solidFill>
            </a:ln>
          </c:spPr>
          <c:marker>
            <c:symbol val="none"/>
          </c:marker>
          <c:cat>
            <c:numRef>
              <c:f>Dashboard!$A$26:$A$225</c:f>
              <c:numCache>
                <c:formatCode>General</c:formatCode>
                <c:ptCount val="0"/>
              </c:numCache>
            </c:numRef>
          </c:cat>
          <c:val>
            <c:numRef>
              <c:f>Dashboard!$W$26:$W$225</c:f>
              <c:numCache>
                <c:formatCode>General</c:formatCode>
                <c:ptCount val="0"/>
              </c:numCache>
            </c:numRef>
          </c:val>
          <c:smooth val="0"/>
        </c:ser>
        <c:ser>
          <c:idx val="22"/>
          <c:order val="22"/>
          <c:tx>
            <c:strRef>
              <c:f>Dashboard!$X$25</c:f>
            </c:strRef>
          </c:tx>
          <c:spPr>
            <a:ln w="20000">
              <a:solidFill>
                <a:srgbClr val="FFC53D"/>
              </a:solidFill>
            </a:ln>
          </c:spPr>
          <c:marker>
            <c:symbol val="none"/>
          </c:marker>
          <c:cat>
            <c:numRef>
              <c:f>Dashboard!$A$26:$A$225</c:f>
              <c:numCache>
                <c:formatCode>General</c:formatCode>
                <c:ptCount val="0"/>
              </c:numCache>
            </c:numRef>
          </c:cat>
          <c:val>
            <c:numRef>
              <c:f>Dashboard!$X$26:$X$225</c:f>
              <c:numCache>
                <c:formatCode>General</c:formatCode>
                <c:ptCount val="0"/>
              </c:numCache>
            </c:numRef>
          </c:val>
          <c:smooth val="0"/>
        </c:ser>
        <c:ser>
          <c:idx val="23"/>
          <c:order val="23"/>
          <c:tx>
            <c:strRef>
              <c:f>Dashboard!$Y$25</c:f>
            </c:strRef>
          </c:tx>
          <c:spPr>
            <a:ln w="20000">
              <a:solidFill>
                <a:srgbClr val="52C41A"/>
              </a:solidFill>
            </a:ln>
          </c:spPr>
          <c:marker>
            <c:symbol val="none"/>
          </c:marker>
          <c:cat>
            <c:numRef>
              <c:f>Dashboard!$A$26:$A$225</c:f>
              <c:numCache>
                <c:formatCode>General</c:formatCode>
                <c:ptCount val="0"/>
              </c:numCache>
            </c:numRef>
          </c:cat>
          <c:val>
            <c:numRef>
              <c:f>Dashboard!$Y$26:$Y$225</c:f>
              <c:numCache>
                <c:formatCode>General</c:formatCode>
                <c:ptCount val="0"/>
              </c:numCache>
            </c:numRef>
          </c:val>
          <c:smooth val="0"/>
        </c:ser>
        <c:ser>
          <c:idx val="24"/>
          <c:order val="24"/>
          <c:tx>
            <c:strRef>
              <c:f>Dashboard!$Z$25</c:f>
            </c:strRef>
          </c:tx>
          <c:spPr>
            <a:ln w="20000">
              <a:solidFill>
                <a:srgbClr val="13C2C2"/>
              </a:solidFill>
            </a:ln>
          </c:spPr>
          <c:marker>
            <c:symbol val="none"/>
          </c:marker>
          <c:cat>
            <c:numRef>
              <c:f>Dashboard!$A$26:$A$225</c:f>
              <c:numCache>
                <c:formatCode>General</c:formatCode>
                <c:ptCount val="0"/>
              </c:numCache>
            </c:numRef>
          </c:cat>
          <c:val>
            <c:numRef>
              <c:f>Dashboard!$Z$26:$Z$225</c:f>
              <c:numCache>
                <c:formatCode>General</c:formatCode>
                <c:ptCount val="0"/>
              </c:numCache>
            </c:numRef>
          </c:val>
          <c:smooth val="0"/>
        </c:ser>
        <c:ser>
          <c:idx val="25"/>
          <c:order val="25"/>
          <c:tx>
            <c:strRef>
              <c:f>Dashboard!$AA$25</c:f>
            </c:strRef>
          </c:tx>
          <c:spPr>
            <a:ln w="20000">
              <a:solidFill>
                <a:srgbClr val="1890FF"/>
              </a:solidFill>
            </a:ln>
          </c:spPr>
          <c:marker>
            <c:symbol val="none"/>
          </c:marker>
          <c:cat>
            <c:numRef>
              <c:f>Dashboard!$A$26:$A$225</c:f>
              <c:numCache>
                <c:formatCode>General</c:formatCode>
                <c:ptCount val="0"/>
              </c:numCache>
            </c:numRef>
          </c:cat>
          <c:val>
            <c:numRef>
              <c:f>Dashboard!$AA$26:$AA$225</c:f>
              <c:numCache>
                <c:formatCode>General</c:formatCode>
                <c:ptCount val="0"/>
              </c:numCache>
            </c:numRef>
          </c:val>
          <c:smooth val="0"/>
        </c:ser>
        <c:ser>
          <c:idx val="26"/>
          <c:order val="26"/>
          <c:tx>
            <c:strRef>
              <c:f>Dashboard!$AB$25</c:f>
            </c:strRef>
          </c:tx>
          <c:spPr>
            <a:ln w="20000">
              <a:solidFill>
                <a:srgbClr val="722ED1"/>
              </a:solidFill>
            </a:ln>
          </c:spPr>
          <c:marker>
            <c:symbol val="none"/>
          </c:marker>
          <c:cat>
            <c:numRef>
              <c:f>Dashboard!$A$26:$A$225</c:f>
              <c:numCache>
                <c:formatCode>General</c:formatCode>
                <c:ptCount val="0"/>
              </c:numCache>
            </c:numRef>
          </c:cat>
          <c:val>
            <c:numRef>
              <c:f>Dashboard!$AB$26:$AB$225</c:f>
              <c:numCache>
                <c:formatCode>General</c:formatCode>
                <c:ptCount val="0"/>
              </c:numCache>
            </c:numRef>
          </c:val>
          <c:smooth val="0"/>
        </c:ser>
        <c:ser>
          <c:idx val="27"/>
          <c:order val="27"/>
          <c:tx>
            <c:strRef>
              <c:f>Dashboard!$AC$25</c:f>
            </c:strRef>
          </c:tx>
          <c:spPr>
            <a:ln w="20000">
              <a:solidFill>
                <a:srgbClr val="EB2F96"/>
              </a:solidFill>
            </a:ln>
          </c:spPr>
          <c:marker>
            <c:symbol val="none"/>
          </c:marker>
          <c:cat>
            <c:numRef>
              <c:f>Dashboard!$A$26:$A$225</c:f>
              <c:numCache>
                <c:formatCode>General</c:formatCode>
                <c:ptCount val="0"/>
              </c:numCache>
            </c:numRef>
          </c:cat>
          <c:val>
            <c:numRef>
              <c:f>Dashboard!$AC$26:$AC$225</c:f>
              <c:numCache>
                <c:formatCode>General</c:formatCode>
                <c:ptCount val="0"/>
              </c:numCache>
            </c:numRef>
          </c:val>
          <c:smooth val="0"/>
        </c:ser>
        <c:ser>
          <c:idx val="28"/>
          <c:order val="28"/>
          <c:tx>
            <c:strRef>
              <c:f>Dashboard!$AD$25</c:f>
            </c:strRef>
          </c:tx>
          <c:spPr>
            <a:ln w="20000">
              <a:solidFill>
                <a:srgbClr val="A0522D"/>
              </a:solidFill>
            </a:ln>
          </c:spPr>
          <c:marker>
            <c:symbol val="none"/>
          </c:marker>
          <c:cat>
            <c:numRef>
              <c:f>Dashboard!$A$26:$A$225</c:f>
              <c:numCache>
                <c:formatCode>General</c:formatCode>
                <c:ptCount val="0"/>
              </c:numCache>
            </c:numRef>
          </c:cat>
          <c:val>
            <c:numRef>
              <c:f>Dashboard!$AD$26:$AD$225</c:f>
              <c:numCache>
                <c:formatCode>General</c:formatCode>
                <c:ptCount val="0"/>
              </c:numCache>
            </c:numRef>
          </c:val>
          <c:smooth val="0"/>
        </c:ser>
        <c:ser>
          <c:idx val="29"/>
          <c:order val="29"/>
          <c:tx>
            <c:strRef>
              <c:f>Dashboard!$AE$25</c:f>
            </c:strRef>
          </c:tx>
          <c:spPr>
            <a:ln w="20000">
              <a:solidFill>
                <a:srgbClr val="2F4F4F"/>
              </a:solidFill>
            </a:ln>
          </c:spPr>
          <c:marker>
            <c:symbol val="none"/>
          </c:marker>
          <c:cat>
            <c:numRef>
              <c:f>Dashboard!$A$26:$A$225</c:f>
              <c:numCache>
                <c:formatCode>General</c:formatCode>
                <c:ptCount val="0"/>
              </c:numCache>
            </c:numRef>
          </c:cat>
          <c:val>
            <c:numRef>
              <c:f>Dashboard!$AE$26:$AE$225</c:f>
              <c:numCache>
                <c:formatCode>General</c:formatCode>
                <c:ptCount val="0"/>
              </c:numCache>
            </c:numRef>
          </c:val>
          <c:smooth val="0"/>
        </c:ser>
        <c:smooth val="0"/>
        <c:axId val="1001"/>
        <c:axId val="1003"/>
      </c:lineChart>
      <c:catAx>
        <c:axId val="1001"/>
        <c:scaling>
          <c:orientation val="minMax"/>
        </c:scaling>
        <c:delete val="0"/>
        <c:axPos val="b"/>
        <c:numFmt formatCode="d/m/yy h:mm" sourceLinked="1"/>
        <c:majorTickMark val="out"/>
        <c:minorTickMark val="none"/>
        <c:tickLblPos val="nextTo"/>
        <c:crossAx val="1002"/>
        <c:auto val="1"/>
        <c:lblAlign val="ctr"/>
        <c:lblOffset val="100"/>
        <c:noMultiLvlLbl val="0"/>
      </c:catAx>
      <c:valAx>
        <c:axId val="1002"/>
        <c:scaling>
          <c:orientation val="minMax"/>
        </c:scaling>
        <c:delete val="0"/>
        <c:axPos val="l"/>
        <c:majorGridlines/>
        <c:title>
          <c:tx>
            <c:rich>
              <a:bodyPr/>
              <a:lstStyle/>
              <a:p>
                <a:r>
                  <a:t>Flow Adjusted</a:t>
                </a:r>
              </a:p>
            </c:rich>
          </c:tx>
          <c:overlay val="0"/>
        </c:title>
        <c:numFmt formatCode="General" sourceLinked="1"/>
        <c:majorTickMark val="out"/>
        <c:minorTickMark val="none"/>
        <c:tickLblPos val="nextTo"/>
        <c:crossAx val="1001"/>
        <c:crosses val="autoZero"/>
        <c:crossBetween val="between"/>
      </c:valAx>
      <c:valAx>
        <c:axId val="1003"/>
        <c:scaling>
          <c:orientation val="minMax"/>
        </c:scaling>
        <c:delete val="0"/>
        <c:axPos val="r"/>
        <c:majorGridlines/>
        <c:title>
          <c:tx>
            <c:rich>
              <a:bodyPr/>
              <a:lstStyle/>
              <a:p>
                <a:r>
                  <a:t>Pressure Adjusted</a:t>
                </a:r>
              </a:p>
            </c:rich>
          </c:tx>
          <c:overlay val="0"/>
        </c:title>
        <c:numFmt formatCode="General" sourceLinked="1"/>
        <c:majorTickMark val="out"/>
        <c:minorTickMark val="none"/>
        <c:tickLblPos val="nextTo"/>
        <c:crossAx val="1001"/>
        <c:crosses val="max"/>
        <c:crossBetween val="between"/>
      </c:valAx>
    </c:plotArea>
    <c:legend>
      <c:legendPos val="r"/>
      <c:overlay val="0"/>
    </c:legend>
    <c:plotVisOnly val="1"/>
    <c:dispBlanksAs val="gap"/>
    <c:showDLblsOverMax val="0"/>
  </c:chart>
</c:chartSpace>
</file>

<file path=xl/drawings/_rels/drawing1.xml.rels><?xml version="1.0" encoding="UTF-8" standalone="yes"?>
<Relationships xmlns="http://schemas.openxmlformats.org/package/2006/relationships">
  <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c="http://schemas.openxmlformats.org/drawingml/2006/chart" xmlns:r="http://schemas.openxmlformats.org/officeDocument/2006/relationships">
  <xdr:twoCellAnchor editAs="oneCell">
    <xdr:from>
      <xdr:col>12</xdr:col>
      <xdr:colOff>0</xdr:colOff>
      <xdr:row>0</xdr:row>
      <xdr:rowOff>0</xdr:rowOff>
    </xdr:from>
    <xdr:to>
      <xdr:col>19</xdr:col>
      <xdr:colOff>799200</xdr:colOff>
      <xdr:row>16</xdr:row>
      <xdr:rowOff>112400</xdr:rowOff>
    </xdr:to>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FlowData" displayName="FlowData" ref="A1:Q29" headerRowCount="1">
  <autoFilter ref="A1:Q29"/>
  <tableColumns count="17">
    <tableColumn id="1" name="Date"/>
    <tableColumn id="2" name="AL012"/>
    <tableColumn id="3" name="AL013"/>
    <tableColumn id="4" name="AL014"/>
    <tableColumn id="5" name="AL023"/>
    <tableColumn id="6" name="AL028"/>
    <tableColumn id="7" name="AL029"/>
    <tableColumn id="8" name="AL035"/>
    <tableColumn id="9" name="AL036"/>
    <tableColumn id="10" name="AL038"/>
    <tableColumn id="11" name="AL063"/>
    <tableColumn id="12" name="AM005"/>
    <tableColumn id="13" name="AM014"/>
    <tableColumn id="14" name="AM015"/>
    <tableColumn id="15" name="AM022"/>
    <tableColumn id="16" name="AM024"/>
    <tableColumn id="17" name="AM026"/>
  </tableColumns>
  <tableStyleInfo name="TableStyleMedium2" showRowStripes="1" showColumnStripes="0"/>
</table>
</file>

<file path=xl/tables/table2.xml><?xml version="1.0" encoding="utf-8"?>
<table xmlns="http://schemas.openxmlformats.org/spreadsheetml/2006/main" id="2" name="PressureData" displayName="PressureData" ref="A1:Q29" headerRowCount="1">
  <autoFilter ref="A1:Q29"/>
  <tableColumns count="17">
    <tableColumn id="1" name="Date"/>
    <tableColumn id="2" name="AL012"/>
    <tableColumn id="3" name="AL013"/>
    <tableColumn id="4" name="AL014"/>
    <tableColumn id="5" name="AL023"/>
    <tableColumn id="6" name="AL028"/>
    <tableColumn id="7" name="AL029"/>
    <tableColumn id="8" name="AL035"/>
    <tableColumn id="9" name="AL036"/>
    <tableColumn id="10" name="AL038"/>
    <tableColumn id="11" name="AL063"/>
    <tableColumn id="12" name="AM005"/>
    <tableColumn id="13" name="AM014"/>
    <tableColumn id="14" name="AM015"/>
    <tableColumn id="15" name="AM022"/>
    <tableColumn id="16" name="AM024"/>
    <tableColumn id="17" name="AM026"/>
  </tableColumns>
  <tableStyleInfo name="TableStyleMedium2"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Q29"/>
  <sheetViews>
    <sheetView workbookViewId="0">
      <selection activeCell="A1" sqref="A1"/>
    </sheetView>
  </sheetViews>
  <sheetFormatPr baseColWidth="8" defaultRowHeight="15"/>
  <cols>
    <col width="21"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ht="22" customHeight="1">
      <c r="A1" s="1" t="inlineStr">
        <is>
          <t>Date</t>
        </is>
      </c>
      <c r="B1" s="2" t="inlineStr">
        <is>
          <t>AL012</t>
        </is>
      </c>
      <c r="C1" s="2" t="inlineStr">
        <is>
          <t>AL013</t>
        </is>
      </c>
      <c r="D1" s="2" t="inlineStr">
        <is>
          <t>AL014</t>
        </is>
      </c>
      <c r="E1" s="2" t="inlineStr">
        <is>
          <t>AL023</t>
        </is>
      </c>
      <c r="F1" s="2" t="inlineStr">
        <is>
          <t>AL028</t>
        </is>
      </c>
      <c r="G1" s="2" t="inlineStr">
        <is>
          <t>AL029</t>
        </is>
      </c>
      <c r="H1" s="2" t="inlineStr">
        <is>
          <t>AL035</t>
        </is>
      </c>
      <c r="I1" s="2" t="inlineStr">
        <is>
          <t>AL036</t>
        </is>
      </c>
      <c r="J1" s="2" t="inlineStr">
        <is>
          <t>AL038</t>
        </is>
      </c>
      <c r="K1" s="2" t="inlineStr">
        <is>
          <t>AL063</t>
        </is>
      </c>
      <c r="L1" s="2" t="inlineStr">
        <is>
          <t>AM005</t>
        </is>
      </c>
      <c r="M1" s="2" t="inlineStr">
        <is>
          <t>AM014</t>
        </is>
      </c>
      <c r="N1" s="2" t="inlineStr">
        <is>
          <t>AM015</t>
        </is>
      </c>
      <c r="O1" s="2" t="inlineStr">
        <is>
          <t>AM022</t>
        </is>
      </c>
      <c r="P1" s="2" t="inlineStr">
        <is>
          <t>AM024</t>
        </is>
      </c>
      <c r="Q1" s="2" t="inlineStr">
        <is>
          <t>AM026</t>
        </is>
      </c>
    </row>
    <row r="2">
      <c r="A2" s="3" t="n">
        <v>46357</v>
      </c>
      <c r="B2" s="4" t="n">
        <v>3.168205</v>
      </c>
      <c r="C2" s="4" t="n">
        <v>2.20425</v>
      </c>
      <c r="D2" s="4" t="n">
        <v>2.665153</v>
      </c>
      <c r="E2" s="4" t="n">
        <v>3.43625</v>
      </c>
      <c r="F2" s="4" t="n">
        <v>3.225157</v>
      </c>
      <c r="G2" s="4" t="n">
        <v>2.57455</v>
      </c>
      <c r="H2" s="4" t="n">
        <v>3.67</v>
      </c>
      <c r="I2" s="4" t="n">
        <v>2.038</v>
      </c>
      <c r="J2" s="4" t="n">
        <v>3.130835</v>
      </c>
      <c r="K2" s="4" t="n">
        <v>4.02125</v>
      </c>
      <c r="L2" s="4" t="n">
        <v>22.68599</v>
      </c>
      <c r="M2" s="4" t="n">
        <v>19.81207</v>
      </c>
      <c r="N2" s="4" t="n">
        <v>-999</v>
      </c>
      <c r="O2" s="4" t="n">
        <v>16.92209</v>
      </c>
      <c r="P2" s="4" t="n">
        <v>16.58575</v>
      </c>
      <c r="Q2" s="4" t="n">
        <v>18.88019</v>
      </c>
    </row>
    <row r="3">
      <c r="A3" s="3" t="n">
        <v>46357.01041666666</v>
      </c>
      <c r="B3" s="4" t="n">
        <v>3.190769</v>
      </c>
      <c r="C3" s="4" t="n">
        <v>2.22525</v>
      </c>
      <c r="D3" s="4" t="n">
        <v>2.681334</v>
      </c>
      <c r="E3" s="4" t="n">
        <v>3.41125</v>
      </c>
      <c r="F3" s="4" t="n">
        <v>3.236456</v>
      </c>
      <c r="G3" s="4" t="n">
        <v>2.583137</v>
      </c>
      <c r="H3" s="4" t="n">
        <v>3.68375</v>
      </c>
      <c r="I3" s="4" t="n">
        <v>2.049</v>
      </c>
      <c r="J3" s="4" t="n">
        <v>3.145557</v>
      </c>
      <c r="K3" s="4" t="n">
        <v>4.04875</v>
      </c>
      <c r="L3" s="4" t="n">
        <v>22.45106</v>
      </c>
      <c r="M3" s="4" t="n">
        <v>19.72593</v>
      </c>
      <c r="N3" s="4" t="n">
        <v>-999</v>
      </c>
      <c r="O3" s="4" t="n">
        <v>17.1022</v>
      </c>
      <c r="P3" s="4" t="n">
        <v>18.43384</v>
      </c>
      <c r="Q3" s="4" t="n">
        <v>15.47377</v>
      </c>
    </row>
    <row r="4">
      <c r="A4" s="3" t="n">
        <v>46357.02083333334</v>
      </c>
      <c r="B4" s="4" t="n">
        <v>3.21641</v>
      </c>
      <c r="C4" s="4" t="n">
        <v>2.24625</v>
      </c>
      <c r="D4" s="4" t="n">
        <v>2.674793</v>
      </c>
      <c r="E4" s="4" t="n">
        <v>3.3875</v>
      </c>
      <c r="F4" s="4" t="n">
        <v>3.262896</v>
      </c>
      <c r="G4" s="4" t="n">
        <v>2.597148</v>
      </c>
      <c r="H4" s="4" t="n">
        <v>3.7075</v>
      </c>
      <c r="I4" s="4" t="n">
        <v>2.06</v>
      </c>
      <c r="J4" s="4" t="n">
        <v>3.148535</v>
      </c>
      <c r="K4" s="4" t="n">
        <v>4.07375</v>
      </c>
      <c r="L4" s="4" t="n">
        <v>22.20831</v>
      </c>
      <c r="M4" s="4" t="n">
        <v>19.66328</v>
      </c>
      <c r="N4" s="4" t="n">
        <v>-999</v>
      </c>
      <c r="O4" s="4" t="n">
        <v>16.90642</v>
      </c>
      <c r="P4" s="4" t="n">
        <v>18.70008</v>
      </c>
      <c r="Q4" s="4" t="n">
        <v>16.69538</v>
      </c>
    </row>
    <row r="5">
      <c r="A5" s="3" t="n">
        <v>46357.03125</v>
      </c>
      <c r="B5" s="4" t="n">
        <v>3.242051</v>
      </c>
      <c r="C5" s="4" t="n">
        <v>2.26575</v>
      </c>
      <c r="D5" s="4" t="n">
        <v>2.707717</v>
      </c>
      <c r="E5" s="4" t="n">
        <v>3.3925</v>
      </c>
      <c r="F5" s="4" t="n">
        <v>3.289562</v>
      </c>
      <c r="G5" s="4" t="n">
        <v>2.612967</v>
      </c>
      <c r="H5" s="4" t="n">
        <v>3.73125</v>
      </c>
      <c r="I5" s="4" t="n">
        <v>2.072</v>
      </c>
      <c r="J5" s="4" t="n">
        <v>3.148144</v>
      </c>
      <c r="K5" s="4" t="n">
        <v>4.12375</v>
      </c>
      <c r="L5" s="4" t="n">
        <v>21.40173</v>
      </c>
      <c r="M5" s="4" t="n">
        <v>19.91387</v>
      </c>
      <c r="N5" s="4" t="n">
        <v>-999</v>
      </c>
      <c r="O5" s="4" t="n">
        <v>16.70282</v>
      </c>
      <c r="P5" s="4" t="n">
        <v>18.12843</v>
      </c>
      <c r="Q5" s="4" t="n">
        <v>13.89194</v>
      </c>
    </row>
    <row r="6">
      <c r="A6" s="3" t="n">
        <v>46357.04166666666</v>
      </c>
      <c r="B6" s="4" t="n">
        <v>3.265641</v>
      </c>
      <c r="C6" s="4" t="n">
        <v>2.28675</v>
      </c>
      <c r="D6" s="4" t="n">
        <v>2.73515</v>
      </c>
      <c r="E6" s="4" t="n">
        <v>3.43375</v>
      </c>
      <c r="F6" s="4" t="n">
        <v>3.29363</v>
      </c>
      <c r="G6" s="4" t="n">
        <v>2.629012</v>
      </c>
      <c r="H6" s="4" t="n">
        <v>3.7575</v>
      </c>
      <c r="I6" s="4" t="n">
        <v>2.084</v>
      </c>
      <c r="J6" s="4" t="n">
        <v>3.140112</v>
      </c>
      <c r="K6" s="4" t="n">
        <v>4.15</v>
      </c>
      <c r="L6" s="4" t="n">
        <v>21.87158</v>
      </c>
      <c r="M6" s="4" t="n">
        <v>19.90604</v>
      </c>
      <c r="N6" s="4" t="n">
        <v>-999</v>
      </c>
      <c r="O6" s="4" t="n">
        <v>16.92992</v>
      </c>
      <c r="P6" s="4" t="n">
        <v>18.02663</v>
      </c>
      <c r="Q6" s="4" t="n">
        <v>13.51606</v>
      </c>
    </row>
    <row r="7">
      <c r="A7" s="3" t="n">
        <v>46357.05208333334</v>
      </c>
      <c r="B7" s="4" t="n">
        <v>3.289231</v>
      </c>
      <c r="C7" s="4" t="n">
        <v>2.3085</v>
      </c>
      <c r="D7" s="4" t="n">
        <v>2.76107</v>
      </c>
      <c r="E7" s="4" t="n">
        <v>3.4725</v>
      </c>
      <c r="F7" s="4" t="n">
        <v>3.295212</v>
      </c>
      <c r="G7" s="4" t="n">
        <v>2.642345</v>
      </c>
      <c r="H7" s="4" t="n">
        <v>3.78375</v>
      </c>
      <c r="I7" s="4" t="n">
        <v>2.096</v>
      </c>
      <c r="J7" s="4" t="n">
        <v>3.131763</v>
      </c>
      <c r="K7" s="4" t="n">
        <v>4.20125</v>
      </c>
      <c r="L7" s="4" t="n">
        <v>21.9264</v>
      </c>
      <c r="M7" s="4" t="n">
        <v>19.55365</v>
      </c>
      <c r="N7" s="4" t="n">
        <v>-999</v>
      </c>
      <c r="O7" s="4" t="n">
        <v>17.04738</v>
      </c>
      <c r="P7" s="4" t="n">
        <v>19.00549</v>
      </c>
      <c r="Q7" s="4" t="n">
        <v>14.4401</v>
      </c>
    </row>
    <row r="8">
      <c r="A8" s="3" t="n">
        <v>46357.0625</v>
      </c>
      <c r="B8" s="4" t="n">
        <v>3.31282</v>
      </c>
      <c r="C8" s="4" t="n">
        <v>2.331</v>
      </c>
      <c r="D8" s="4" t="n">
        <v>2.780839</v>
      </c>
      <c r="E8" s="4" t="n">
        <v>3.52</v>
      </c>
      <c r="F8" s="4" t="n">
        <v>3.299054</v>
      </c>
      <c r="G8" s="4" t="n">
        <v>2.654774</v>
      </c>
      <c r="H8" s="4" t="n">
        <v>3.81125</v>
      </c>
      <c r="I8" s="4" t="n">
        <v>2.109</v>
      </c>
      <c r="J8" s="4" t="n">
        <v>3.122534</v>
      </c>
      <c r="K8" s="4" t="n">
        <v>4.22875</v>
      </c>
      <c r="L8" s="4" t="n">
        <v>21.77761</v>
      </c>
      <c r="M8" s="4" t="n">
        <v>19.82773</v>
      </c>
      <c r="N8" s="4" t="n">
        <v>-999</v>
      </c>
      <c r="O8" s="4" t="n">
        <v>16.8751</v>
      </c>
      <c r="P8" s="4" t="n">
        <v>18.58262</v>
      </c>
      <c r="Q8" s="4" t="n">
        <v>13.68834</v>
      </c>
    </row>
    <row r="9">
      <c r="A9" s="3" t="n">
        <v>46357.07291666666</v>
      </c>
      <c r="B9" s="4" t="n">
        <v>3.33641</v>
      </c>
      <c r="C9" s="4" t="n">
        <v>2.3535</v>
      </c>
      <c r="D9" s="4" t="n">
        <v>2.799314</v>
      </c>
      <c r="E9" s="4" t="n">
        <v>3.5475</v>
      </c>
      <c r="F9" s="4" t="n">
        <v>3.304251</v>
      </c>
      <c r="G9" s="4" t="n">
        <v>2.667655</v>
      </c>
      <c r="H9" s="4" t="n">
        <v>3.83625</v>
      </c>
      <c r="I9" s="4" t="n">
        <v>2.122</v>
      </c>
      <c r="J9" s="4" t="n">
        <v>3.124414</v>
      </c>
      <c r="K9" s="4" t="n">
        <v>4.27875</v>
      </c>
      <c r="L9" s="4" t="n">
        <v>22.25529</v>
      </c>
      <c r="M9" s="4" t="n">
        <v>20.39155</v>
      </c>
      <c r="N9" s="4" t="n">
        <v>-999</v>
      </c>
      <c r="O9" s="4" t="n">
        <v>16.96907</v>
      </c>
      <c r="P9" s="4" t="n">
        <v>18.61395</v>
      </c>
      <c r="Q9" s="4" t="n">
        <v>13.22632</v>
      </c>
    </row>
    <row r="10">
      <c r="A10" s="3" t="n">
        <v>46357.08333333334</v>
      </c>
      <c r="B10" s="4" t="n">
        <v>3.361026</v>
      </c>
      <c r="C10" s="4" t="n">
        <v>2.376</v>
      </c>
      <c r="D10" s="4" t="n">
        <v>2.818888</v>
      </c>
      <c r="E10" s="4" t="n">
        <v>3.56875</v>
      </c>
      <c r="F10" s="4" t="n">
        <v>3.311031</v>
      </c>
      <c r="G10" s="4" t="n">
        <v>2.679632</v>
      </c>
      <c r="H10" s="4" t="n">
        <v>3.86375</v>
      </c>
      <c r="I10" s="4" t="n">
        <v>2.134</v>
      </c>
      <c r="J10" s="4" t="n">
        <v>3.126025</v>
      </c>
      <c r="K10" s="4" t="n">
        <v>4.305</v>
      </c>
      <c r="L10" s="4" t="n">
        <v>21.56618</v>
      </c>
      <c r="M10" s="4" t="n">
        <v>19.71027</v>
      </c>
      <c r="N10" s="4" t="n">
        <v>-999</v>
      </c>
      <c r="O10" s="4" t="n">
        <v>17.07087</v>
      </c>
      <c r="P10" s="4" t="n">
        <v>18.55913</v>
      </c>
      <c r="Q10" s="4" t="n">
        <v>15.30149</v>
      </c>
    </row>
    <row r="11">
      <c r="A11" s="3" t="n">
        <v>46357.09375</v>
      </c>
      <c r="B11" s="4" t="n">
        <v>3.386667</v>
      </c>
      <c r="C11" s="4" t="n">
        <v>2.39925</v>
      </c>
      <c r="D11" s="4" t="n">
        <v>2.838779</v>
      </c>
      <c r="E11" s="4" t="n">
        <v>3.5625</v>
      </c>
      <c r="F11" s="4" t="n">
        <v>3.319166</v>
      </c>
      <c r="G11" s="4" t="n">
        <v>2.690253</v>
      </c>
      <c r="H11" s="4" t="n">
        <v>3.89125</v>
      </c>
      <c r="I11" s="4" t="n">
        <v>2.132</v>
      </c>
      <c r="J11" s="4" t="n">
        <v>3.146167</v>
      </c>
      <c r="K11" s="4" t="n">
        <v>4.35625</v>
      </c>
      <c r="L11" s="4" t="n">
        <v>22.04386</v>
      </c>
      <c r="M11" s="4" t="n">
        <v>20.29758</v>
      </c>
      <c r="N11" s="4" t="n">
        <v>-999</v>
      </c>
      <c r="O11" s="4" t="n">
        <v>17.27448</v>
      </c>
      <c r="P11" s="4" t="n">
        <v>18.80189</v>
      </c>
      <c r="Q11" s="4" t="n">
        <v>13.704</v>
      </c>
    </row>
    <row r="12">
      <c r="A12" s="3" t="n">
        <v>46357.10416666666</v>
      </c>
      <c r="B12" s="4" t="n">
        <v>3.408205</v>
      </c>
      <c r="C12" s="4" t="n">
        <v>2.42175</v>
      </c>
      <c r="D12" s="4" t="n">
        <v>2.859207</v>
      </c>
      <c r="E12" s="4" t="n">
        <v>3.5325</v>
      </c>
      <c r="F12" s="4" t="n">
        <v>3.327754</v>
      </c>
      <c r="G12" s="4" t="n">
        <v>2.700649</v>
      </c>
      <c r="H12" s="4" t="n">
        <v>3.92</v>
      </c>
      <c r="I12" s="4" t="n">
        <v>2.126</v>
      </c>
      <c r="J12" s="4" t="n">
        <v>3.177197</v>
      </c>
      <c r="K12" s="4" t="n">
        <v>4.3825</v>
      </c>
      <c r="L12" s="4" t="n">
        <v>21.87158</v>
      </c>
      <c r="M12" s="4" t="n">
        <v>20.21144</v>
      </c>
      <c r="N12" s="4" t="n">
        <v>-999</v>
      </c>
      <c r="O12" s="4" t="n">
        <v>17.17267</v>
      </c>
      <c r="P12" s="4" t="n">
        <v>18.28505</v>
      </c>
      <c r="Q12" s="4" t="n">
        <v>14.43227</v>
      </c>
    </row>
    <row r="13">
      <c r="A13" s="3" t="n">
        <v>46357.11458333334</v>
      </c>
      <c r="B13" s="4" t="n">
        <v>3.43282</v>
      </c>
      <c r="C13" s="4" t="n">
        <v>2.4435</v>
      </c>
      <c r="D13" s="4" t="n">
        <v>2.879171</v>
      </c>
      <c r="E13" s="4" t="n">
        <v>3.48625</v>
      </c>
      <c r="F13" s="4" t="n">
        <v>3.337245</v>
      </c>
      <c r="G13" s="4" t="n">
        <v>2.711044</v>
      </c>
      <c r="H13" s="4" t="n">
        <v>3.94625</v>
      </c>
      <c r="I13" s="4" t="n">
        <v>2.122</v>
      </c>
      <c r="J13" s="4" t="n">
        <v>3.214893</v>
      </c>
      <c r="K13" s="4" t="n">
        <v>4.43375</v>
      </c>
      <c r="L13" s="4" t="n">
        <v>21.9029</v>
      </c>
      <c r="M13" s="4" t="n">
        <v>19.25608</v>
      </c>
      <c r="N13" s="4" t="n">
        <v>-999</v>
      </c>
      <c r="O13" s="4" t="n">
        <v>16.8751</v>
      </c>
      <c r="P13" s="4" t="n">
        <v>17.63509</v>
      </c>
      <c r="Q13" s="4" t="n">
        <v>15.83399</v>
      </c>
    </row>
    <row r="14">
      <c r="A14" s="3" t="n">
        <v>46357.125</v>
      </c>
      <c r="B14" s="4" t="n">
        <v>3.459487</v>
      </c>
      <c r="C14" s="4" t="n">
        <v>2.466</v>
      </c>
      <c r="D14" s="4" t="n">
        <v>2.899551</v>
      </c>
      <c r="E14" s="4" t="n">
        <v>3.43375</v>
      </c>
      <c r="F14" s="4" t="n">
        <v>3.346736</v>
      </c>
      <c r="G14" s="4" t="n">
        <v>2.721213</v>
      </c>
      <c r="H14" s="4" t="n">
        <v>3.98375</v>
      </c>
      <c r="I14" s="4" t="n">
        <v>2.118</v>
      </c>
      <c r="J14" s="4" t="n">
        <v>3.255225</v>
      </c>
      <c r="K14" s="4" t="n">
        <v>4.4625</v>
      </c>
      <c r="L14" s="4" t="n">
        <v>22.41191</v>
      </c>
      <c r="M14" s="4" t="n">
        <v>19.23259</v>
      </c>
      <c r="N14" s="4" t="n">
        <v>-999</v>
      </c>
      <c r="O14" s="4" t="n">
        <v>16.89076</v>
      </c>
      <c r="P14" s="4" t="n">
        <v>18.30854</v>
      </c>
      <c r="Q14" s="4" t="n">
        <v>13.99374</v>
      </c>
    </row>
    <row r="15">
      <c r="A15" s="3" t="n">
        <v>46357.13541666666</v>
      </c>
      <c r="B15" s="4" t="n">
        <v>3.483077</v>
      </c>
      <c r="C15" s="4" t="n">
        <v>2.4885</v>
      </c>
      <c r="D15" s="4" t="n">
        <v>2.920345</v>
      </c>
      <c r="E15" s="4" t="n">
        <v>3.40125</v>
      </c>
      <c r="F15" s="4" t="n">
        <v>3.356454</v>
      </c>
      <c r="G15" s="4" t="n">
        <v>2.731382</v>
      </c>
      <c r="H15" s="4" t="n">
        <v>4.02</v>
      </c>
      <c r="I15" s="4" t="n">
        <v>2.114</v>
      </c>
      <c r="J15" s="4" t="n">
        <v>3.294092</v>
      </c>
      <c r="K15" s="4" t="n">
        <v>4.51625</v>
      </c>
      <c r="L15" s="4" t="n">
        <v>21.76195</v>
      </c>
      <c r="M15" s="4" t="n">
        <v>20.37589</v>
      </c>
      <c r="N15" s="4" t="n">
        <v>-999</v>
      </c>
      <c r="O15" s="4" t="n">
        <v>16.99256</v>
      </c>
      <c r="P15" s="4" t="n">
        <v>18.44167</v>
      </c>
      <c r="Q15" s="4" t="n">
        <v>14.43227</v>
      </c>
    </row>
    <row r="16">
      <c r="A16" s="3" t="n">
        <v>46357.14583333334</v>
      </c>
      <c r="B16" s="4" t="n">
        <v>3.509743</v>
      </c>
      <c r="C16" s="4" t="n">
        <v>2.51025</v>
      </c>
      <c r="D16" s="4" t="n">
        <v>2.940358</v>
      </c>
      <c r="E16" s="4" t="n">
        <v>3.39625</v>
      </c>
      <c r="F16" s="4" t="n">
        <v>3.366623</v>
      </c>
      <c r="G16" s="4" t="n">
        <v>2.741778</v>
      </c>
      <c r="H16" s="4" t="n">
        <v>4.05625</v>
      </c>
      <c r="I16" s="4" t="n">
        <v>2.109</v>
      </c>
      <c r="J16" s="4" t="n">
        <v>3.317798</v>
      </c>
      <c r="K16" s="4" t="n">
        <v>4.54125</v>
      </c>
      <c r="L16" s="4" t="n">
        <v>21.66015</v>
      </c>
      <c r="M16" s="4" t="n">
        <v>19.3892</v>
      </c>
      <c r="N16" s="4" t="n">
        <v>-999</v>
      </c>
      <c r="O16" s="4" t="n">
        <v>16.71848</v>
      </c>
      <c r="P16" s="4" t="n">
        <v>17.90134</v>
      </c>
      <c r="Q16" s="4" t="n">
        <v>18.26155</v>
      </c>
    </row>
    <row r="17">
      <c r="A17" s="3" t="n">
        <v>46357.15625</v>
      </c>
      <c r="B17" s="4" t="n">
        <v>3.53641</v>
      </c>
      <c r="C17" s="4" t="n">
        <v>2.532</v>
      </c>
      <c r="D17" s="4" t="n">
        <v>2.960762</v>
      </c>
      <c r="E17" s="4" t="n">
        <v>3.4375</v>
      </c>
      <c r="F17" s="4" t="n">
        <v>3.375436</v>
      </c>
      <c r="G17" s="4" t="n">
        <v>2.750817</v>
      </c>
      <c r="H17" s="4" t="n">
        <v>4.09</v>
      </c>
      <c r="I17" s="4" t="n">
        <v>2.106</v>
      </c>
      <c r="J17" s="4" t="n">
        <v>3.326123</v>
      </c>
      <c r="K17" s="4" t="n">
        <v>4.59875</v>
      </c>
      <c r="L17" s="4" t="n">
        <v>21.96555</v>
      </c>
      <c r="M17" s="4" t="n">
        <v>19.57714</v>
      </c>
      <c r="N17" s="4" t="n">
        <v>-999</v>
      </c>
      <c r="O17" s="4" t="n">
        <v>16.86727</v>
      </c>
      <c r="P17" s="4" t="n">
        <v>18.25373</v>
      </c>
      <c r="Q17" s="4" t="n">
        <v>14.0094</v>
      </c>
    </row>
    <row r="18">
      <c r="A18" s="3" t="n">
        <v>46357.16666666666</v>
      </c>
      <c r="B18" s="4" t="n">
        <v>3.557949</v>
      </c>
      <c r="C18" s="4" t="n">
        <v>2.55375</v>
      </c>
      <c r="D18" s="4" t="n">
        <v>2.980775</v>
      </c>
      <c r="E18" s="4" t="n">
        <v>3.505</v>
      </c>
      <c r="F18" s="4" t="n">
        <v>3.382216</v>
      </c>
      <c r="G18" s="4" t="n">
        <v>2.759856</v>
      </c>
      <c r="H18" s="4" t="n">
        <v>4.12625</v>
      </c>
      <c r="I18" s="4" t="n">
        <v>2.101</v>
      </c>
      <c r="J18" s="4" t="n">
        <v>3.323169</v>
      </c>
      <c r="K18" s="4" t="n">
        <v>4.63</v>
      </c>
      <c r="L18" s="4" t="n">
        <v>21.89507</v>
      </c>
      <c r="M18" s="4" t="n">
        <v>19.89038</v>
      </c>
      <c r="N18" s="4" t="n">
        <v>-999</v>
      </c>
      <c r="O18" s="4" t="n">
        <v>16.89076</v>
      </c>
      <c r="P18" s="4" t="n">
        <v>18.1206</v>
      </c>
      <c r="Q18" s="4" t="n">
        <v>14.1347</v>
      </c>
    </row>
    <row r="19">
      <c r="A19" s="3" t="n">
        <v>46357.17708333334</v>
      </c>
      <c r="B19" s="4" t="n">
        <v>3.582564</v>
      </c>
      <c r="C19" s="4" t="n">
        <v>2.57625</v>
      </c>
      <c r="D19" s="4" t="n">
        <v>3.000666</v>
      </c>
      <c r="E19" s="4" t="n">
        <v>3.5425</v>
      </c>
      <c r="F19" s="4" t="n">
        <v>3.384476</v>
      </c>
      <c r="G19" s="4" t="n">
        <v>2.77093</v>
      </c>
      <c r="H19" s="4" t="n">
        <v>4.16125</v>
      </c>
      <c r="I19" s="4" t="n">
        <v>2.097</v>
      </c>
      <c r="J19" s="4" t="n">
        <v>3.337646</v>
      </c>
      <c r="K19" s="4" t="n">
        <v>4.64</v>
      </c>
      <c r="L19" s="4" t="n">
        <v>21.56618</v>
      </c>
      <c r="M19" s="4" t="n">
        <v>20.18012</v>
      </c>
      <c r="N19" s="4" t="n">
        <v>-999</v>
      </c>
      <c r="O19" s="4" t="n">
        <v>17.06304</v>
      </c>
      <c r="P19" s="4" t="n">
        <v>18.63744</v>
      </c>
      <c r="Q19" s="4" t="n">
        <v>13.35944</v>
      </c>
    </row>
    <row r="20">
      <c r="A20" s="3" t="n">
        <v>46357.1875</v>
      </c>
      <c r="B20" s="4" t="n">
        <v>3.608205</v>
      </c>
      <c r="C20" s="4" t="n">
        <v>2.59725</v>
      </c>
      <c r="D20" s="4" t="n">
        <v>3.020386</v>
      </c>
      <c r="E20" s="4" t="n">
        <v>3.56625</v>
      </c>
      <c r="F20" s="4" t="n">
        <v>3.388544</v>
      </c>
      <c r="G20" s="4" t="n">
        <v>2.780873</v>
      </c>
      <c r="H20" s="4" t="n">
        <v>4.1975</v>
      </c>
      <c r="I20" s="4" t="n">
        <v>2.092</v>
      </c>
      <c r="J20" s="4" t="n">
        <v>3.355957</v>
      </c>
      <c r="K20" s="4" t="n">
        <v>4.62125</v>
      </c>
      <c r="L20" s="4" t="n">
        <v>21.82459</v>
      </c>
      <c r="M20" s="4" t="n">
        <v>20.15663</v>
      </c>
      <c r="N20" s="4" t="n">
        <v>-999</v>
      </c>
      <c r="O20" s="4" t="n">
        <v>17.01606</v>
      </c>
      <c r="P20" s="4" t="n">
        <v>18.47299</v>
      </c>
      <c r="Q20" s="4" t="n">
        <v>12.7643</v>
      </c>
    </row>
    <row r="21">
      <c r="A21" s="3" t="n">
        <v>46357.19791666666</v>
      </c>
      <c r="B21" s="4" t="n">
        <v>3.630769</v>
      </c>
      <c r="C21" s="4" t="n">
        <v>2.61975</v>
      </c>
      <c r="D21" s="4" t="n">
        <v>3.036445</v>
      </c>
      <c r="E21" s="4" t="n">
        <v>3.565</v>
      </c>
      <c r="F21" s="4" t="n">
        <v>3.394193</v>
      </c>
      <c r="G21" s="4" t="n">
        <v>2.791042</v>
      </c>
      <c r="H21" s="4" t="n">
        <v>4.23125</v>
      </c>
      <c r="I21" s="4" t="n">
        <v>2.088</v>
      </c>
      <c r="J21" s="4" t="n">
        <v>3.357056</v>
      </c>
      <c r="K21" s="4" t="n">
        <v>4.585</v>
      </c>
      <c r="L21" s="4" t="n">
        <v>22.4354</v>
      </c>
      <c r="M21" s="4" t="n">
        <v>19.6163</v>
      </c>
      <c r="N21" s="4" t="n">
        <v>-999</v>
      </c>
      <c r="O21" s="4" t="n">
        <v>16.89076</v>
      </c>
      <c r="P21" s="4" t="n">
        <v>18.33204</v>
      </c>
      <c r="Q21" s="4" t="n">
        <v>13.22632</v>
      </c>
    </row>
    <row r="22">
      <c r="A22" s="3" t="n">
        <v>46357.20833333334</v>
      </c>
      <c r="B22" s="4" t="n">
        <v>3.655385</v>
      </c>
      <c r="C22" s="4" t="n">
        <v>2.64</v>
      </c>
      <c r="D22" s="4" t="n">
        <v>3.027903</v>
      </c>
      <c r="E22" s="4" t="n">
        <v>3.53375</v>
      </c>
      <c r="F22" s="4" t="n">
        <v>3.398035</v>
      </c>
      <c r="G22" s="4" t="n">
        <v>2.799856</v>
      </c>
      <c r="H22" s="4" t="n">
        <v>4.265</v>
      </c>
      <c r="I22" s="4" t="n">
        <v>2.083</v>
      </c>
      <c r="J22" s="4" t="n">
        <v>3.353101</v>
      </c>
      <c r="K22" s="4" t="n">
        <v>4.5675</v>
      </c>
      <c r="L22" s="4" t="n">
        <v>21.37041</v>
      </c>
      <c r="M22" s="4" t="n">
        <v>20.14096</v>
      </c>
      <c r="N22" s="4" t="n">
        <v>-999</v>
      </c>
      <c r="O22" s="4" t="n">
        <v>17.11786</v>
      </c>
      <c r="P22" s="4" t="n">
        <v>18.79405</v>
      </c>
      <c r="Q22" s="4" t="n">
        <v>14.00157</v>
      </c>
    </row>
    <row r="23">
      <c r="A23" s="3" t="n">
        <v>46357.21875</v>
      </c>
      <c r="B23" s="4" t="n">
        <v>3.678974</v>
      </c>
      <c r="C23" s="4" t="n">
        <v>2.661</v>
      </c>
      <c r="D23" s="4" t="n">
        <v>3.017896</v>
      </c>
      <c r="E23" s="4" t="n">
        <v>3.4875</v>
      </c>
      <c r="F23" s="4" t="n">
        <v>3.399164</v>
      </c>
      <c r="G23" s="4" t="n">
        <v>2.807991</v>
      </c>
      <c r="H23" s="4" t="n">
        <v>4.2975</v>
      </c>
      <c r="I23" s="4" t="n">
        <v>2.078</v>
      </c>
      <c r="J23" s="4" t="n">
        <v>3.355786</v>
      </c>
      <c r="K23" s="4" t="n">
        <v>4.53125</v>
      </c>
      <c r="L23" s="4" t="n">
        <v>22.05169</v>
      </c>
      <c r="M23" s="4" t="n">
        <v>20.10181</v>
      </c>
      <c r="N23" s="4" t="n">
        <v>-999</v>
      </c>
      <c r="O23" s="4" t="n">
        <v>17.24315</v>
      </c>
      <c r="P23" s="4" t="n">
        <v>17.46281</v>
      </c>
      <c r="Q23" s="4" t="n">
        <v>18.08145</v>
      </c>
    </row>
    <row r="24">
      <c r="A24" s="3" t="n">
        <v>46357.22916666666</v>
      </c>
      <c r="B24" s="4" t="n">
        <v>3.700513</v>
      </c>
      <c r="C24" s="4" t="n">
        <v>2.6775</v>
      </c>
      <c r="D24" s="4" t="n">
        <v>3.007158</v>
      </c>
      <c r="E24" s="4" t="n">
        <v>3.435</v>
      </c>
      <c r="F24" s="4" t="n">
        <v>3.406622</v>
      </c>
      <c r="G24" s="4" t="n">
        <v>2.8446</v>
      </c>
      <c r="H24" s="4" t="n">
        <v>4.32875</v>
      </c>
      <c r="I24" s="4" t="n">
        <v>2.073</v>
      </c>
      <c r="J24" s="4" t="n">
        <v>3.358057</v>
      </c>
      <c r="K24" s="4" t="n">
        <v>4.5125</v>
      </c>
      <c r="L24" s="4" t="n">
        <v>21.56618</v>
      </c>
      <c r="M24" s="4" t="n">
        <v>19.55365</v>
      </c>
      <c r="N24" s="4" t="n">
        <v>-999</v>
      </c>
      <c r="O24" s="4" t="n">
        <v>16.91426</v>
      </c>
      <c r="P24" s="4" t="n">
        <v>17.43932</v>
      </c>
      <c r="Q24" s="4" t="n">
        <v>17.95615</v>
      </c>
    </row>
    <row r="25">
      <c r="A25" s="3" t="n">
        <v>46357.23958333334</v>
      </c>
      <c r="B25" s="4" t="n">
        <v>3.72</v>
      </c>
      <c r="C25" s="4" t="n">
        <v>2.69625</v>
      </c>
      <c r="D25" s="4" t="n">
        <v>2.99637</v>
      </c>
      <c r="E25" s="4" t="n">
        <v>3.39625</v>
      </c>
      <c r="F25" s="4" t="n">
        <v>3.372951</v>
      </c>
      <c r="G25" s="4" t="n">
        <v>2.861775</v>
      </c>
      <c r="H25" s="4" t="n">
        <v>4.3525</v>
      </c>
      <c r="I25" s="4" t="n">
        <v>2.07</v>
      </c>
      <c r="J25" s="4" t="n">
        <v>3.367798</v>
      </c>
      <c r="K25" s="4" t="n">
        <v>4.47625</v>
      </c>
      <c r="L25" s="4" t="n">
        <v>21.23728</v>
      </c>
      <c r="M25" s="4" t="n">
        <v>19.95302</v>
      </c>
      <c r="N25" s="4" t="n">
        <v>-999</v>
      </c>
      <c r="O25" s="4" t="n">
        <v>17.01606</v>
      </c>
      <c r="P25" s="4" t="n">
        <v>17.3845</v>
      </c>
      <c r="Q25" s="4" t="n">
        <v>19.17776</v>
      </c>
    </row>
    <row r="26">
      <c r="A26" s="3" t="n">
        <v>46357.25</v>
      </c>
      <c r="B26" s="4" t="n">
        <v>3.737436</v>
      </c>
      <c r="C26" s="4" t="n">
        <v>2.712</v>
      </c>
      <c r="D26" s="4" t="n">
        <v>2.986949</v>
      </c>
      <c r="E26" s="4" t="n">
        <v>3.3875</v>
      </c>
      <c r="F26" s="4" t="n">
        <v>3.340183</v>
      </c>
      <c r="G26" s="4" t="n">
        <v>2.857933</v>
      </c>
      <c r="H26" s="4" t="n">
        <v>4.37125</v>
      </c>
      <c r="I26" s="4" t="n">
        <v>2.062</v>
      </c>
      <c r="J26" s="4" t="n">
        <v>3.381812</v>
      </c>
      <c r="K26" s="4" t="n">
        <v>4.45625</v>
      </c>
      <c r="L26" s="4" t="n">
        <v>20.77526</v>
      </c>
      <c r="M26" s="4" t="n">
        <v>19.89821</v>
      </c>
      <c r="N26" s="4" t="n">
        <v>-999</v>
      </c>
      <c r="O26" s="4" t="n">
        <v>16.66367</v>
      </c>
      <c r="P26" s="4" t="n">
        <v>17.36101</v>
      </c>
      <c r="Q26" s="4" t="n">
        <v>18.64527</v>
      </c>
    </row>
    <row r="27">
      <c r="A27" s="3" t="n">
        <v>46357.26041666666</v>
      </c>
      <c r="B27" s="4" t="n">
        <v>3.744615</v>
      </c>
      <c r="C27" s="4" t="n">
        <v>2.72325</v>
      </c>
      <c r="D27" s="4" t="n">
        <v>2.94419</v>
      </c>
      <c r="E27" s="4" t="n">
        <v>3.40875</v>
      </c>
      <c r="F27" s="4" t="n">
        <v>3.320748</v>
      </c>
      <c r="G27" s="4" t="n">
        <v>2.852058</v>
      </c>
      <c r="H27" s="4" t="n">
        <v>4.3825</v>
      </c>
      <c r="I27" s="4" t="n">
        <v>2.053</v>
      </c>
      <c r="J27" s="4" t="n">
        <v>3.390039</v>
      </c>
      <c r="K27" s="4" t="n">
        <v>4.4175</v>
      </c>
      <c r="L27" s="4" t="n">
        <v>21.5975</v>
      </c>
      <c r="M27" s="4" t="n">
        <v>19.35005</v>
      </c>
      <c r="N27" s="4" t="n">
        <v>-999</v>
      </c>
      <c r="O27" s="4" t="n">
        <v>16.69499</v>
      </c>
      <c r="P27" s="4" t="n">
        <v>17.40799</v>
      </c>
      <c r="Q27" s="4" t="n">
        <v>18.93501</v>
      </c>
    </row>
    <row r="28">
      <c r="A28" s="3" t="n">
        <v>46357.27083333334</v>
      </c>
      <c r="B28" s="4" t="n">
        <v>3.749743</v>
      </c>
      <c r="C28" s="4" t="n">
        <v>2.73075</v>
      </c>
      <c r="D28" s="4" t="n">
        <v>2.942969</v>
      </c>
      <c r="E28" s="4" t="n">
        <v>3.4475</v>
      </c>
      <c r="F28" s="4" t="n">
        <v>3.304025</v>
      </c>
      <c r="G28" s="4" t="n">
        <v>2.842115</v>
      </c>
      <c r="H28" s="4" t="n">
        <v>4.38625</v>
      </c>
      <c r="I28" s="4" t="n">
        <v>2.056</v>
      </c>
      <c r="J28" s="4" t="n">
        <v>3.391602</v>
      </c>
      <c r="K28" s="4" t="n">
        <v>4.39625</v>
      </c>
      <c r="L28" s="4" t="n">
        <v>21.48004</v>
      </c>
      <c r="M28" s="4" t="n">
        <v>19.64762</v>
      </c>
      <c r="N28" s="4" t="n">
        <v>-999</v>
      </c>
      <c r="O28" s="4" t="n">
        <v>16.38959</v>
      </c>
      <c r="P28" s="4" t="n">
        <v>17.84652</v>
      </c>
      <c r="Q28" s="4" t="n">
        <v>20.49335</v>
      </c>
    </row>
    <row r="29">
      <c r="A29" s="3" t="n">
        <v>46357.28125</v>
      </c>
      <c r="B29" s="4" t="n">
        <v>3.746667</v>
      </c>
      <c r="C29" s="4" t="n">
        <v>2.73225</v>
      </c>
      <c r="D29" s="4" t="n">
        <v>2.938479</v>
      </c>
      <c r="E29" s="4" t="n">
        <v>3.48875</v>
      </c>
      <c r="F29" s="4" t="n">
        <v>3.288884</v>
      </c>
      <c r="G29" s="4" t="n">
        <v>2.830589</v>
      </c>
      <c r="H29" s="4" t="n">
        <v>4.38625</v>
      </c>
      <c r="I29" s="4" t="n">
        <v>2.062</v>
      </c>
      <c r="J29" s="4" t="n">
        <v>3.384717</v>
      </c>
      <c r="K29" s="4" t="n">
        <v>4.35125</v>
      </c>
      <c r="L29" s="4" t="n">
        <v>21.62099</v>
      </c>
      <c r="M29" s="4" t="n">
        <v>18.58262</v>
      </c>
      <c r="N29" s="4" t="n">
        <v>-999</v>
      </c>
      <c r="O29" s="4" t="n">
        <v>16.37393</v>
      </c>
      <c r="P29" s="4" t="n">
        <v>18.44167</v>
      </c>
      <c r="Q29" s="4" t="n">
        <v>20.41504</v>
      </c>
    </row>
  </sheetData>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Q29"/>
  <sheetViews>
    <sheetView workbookViewId="0">
      <selection activeCell="A1" sqref="A1"/>
    </sheetView>
  </sheetViews>
  <sheetFormatPr baseColWidth="8" defaultRowHeight="15"/>
  <cols>
    <col width="21"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ht="22" customHeight="1">
      <c r="A1" s="1" t="inlineStr">
        <is>
          <t>Date</t>
        </is>
      </c>
      <c r="B1" s="2" t="inlineStr">
        <is>
          <t>AL012</t>
        </is>
      </c>
      <c r="C1" s="2" t="inlineStr">
        <is>
          <t>AL013</t>
        </is>
      </c>
      <c r="D1" s="2" t="inlineStr">
        <is>
          <t>AL014</t>
        </is>
      </c>
      <c r="E1" s="2" t="inlineStr">
        <is>
          <t>AL023</t>
        </is>
      </c>
      <c r="F1" s="2" t="inlineStr">
        <is>
          <t>AL028</t>
        </is>
      </c>
      <c r="G1" s="2" t="inlineStr">
        <is>
          <t>AL029</t>
        </is>
      </c>
      <c r="H1" s="2" t="inlineStr">
        <is>
          <t>AL035</t>
        </is>
      </c>
      <c r="I1" s="2" t="inlineStr">
        <is>
          <t>AL036</t>
        </is>
      </c>
      <c r="J1" s="2" t="inlineStr">
        <is>
          <t>AL038</t>
        </is>
      </c>
      <c r="K1" s="2" t="inlineStr">
        <is>
          <t>AL063</t>
        </is>
      </c>
      <c r="L1" s="2" t="inlineStr">
        <is>
          <t>AM005</t>
        </is>
      </c>
      <c r="M1" s="2" t="inlineStr">
        <is>
          <t>AM014</t>
        </is>
      </c>
      <c r="N1" s="2" t="inlineStr">
        <is>
          <t>AM015</t>
        </is>
      </c>
      <c r="O1" s="2" t="inlineStr">
        <is>
          <t>AM022</t>
        </is>
      </c>
      <c r="P1" s="2" t="inlineStr">
        <is>
          <t>AM024</t>
        </is>
      </c>
      <c r="Q1" s="2" t="inlineStr">
        <is>
          <t>AM026</t>
        </is>
      </c>
    </row>
    <row r="2">
      <c r="A2" s="3" t="n">
        <v>46357</v>
      </c>
      <c r="B2" s="4" t="n">
        <v>3.373159</v>
      </c>
      <c r="C2" s="4" t="n">
        <v>2.438122</v>
      </c>
      <c r="D2" s="4" t="n">
        <v>2.885198</v>
      </c>
      <c r="E2" s="4" t="n">
        <v>3.633162</v>
      </c>
      <c r="F2" s="4" t="n">
        <v>3.428402</v>
      </c>
      <c r="G2" s="4" t="n">
        <v>2.797313</v>
      </c>
      <c r="H2" s="4" t="n">
        <v>3.8599</v>
      </c>
      <c r="I2" s="4" t="n">
        <v>2.27686</v>
      </c>
      <c r="J2" s="4" t="n">
        <v>3.33691</v>
      </c>
      <c r="K2" s="4" t="n">
        <v>4.200613</v>
      </c>
      <c r="L2" s="4" t="n">
        <v>22.30541</v>
      </c>
      <c r="M2" s="4" t="n">
        <v>19.517708</v>
      </c>
      <c r="N2" s="4" t="n">
        <v>-999</v>
      </c>
      <c r="O2" s="4" t="n">
        <v>16.714427</v>
      </c>
      <c r="P2" s="4" t="n">
        <v>16.388178</v>
      </c>
      <c r="Q2" s="4" t="n">
        <v>18.613784</v>
      </c>
    </row>
    <row r="3">
      <c r="A3" s="3" t="n">
        <v>46357.01041666666</v>
      </c>
      <c r="B3" s="4" t="n">
        <v>3.395046</v>
      </c>
      <c r="C3" s="4" t="n">
        <v>2.458492</v>
      </c>
      <c r="D3" s="4" t="n">
        <v>2.900894</v>
      </c>
      <c r="E3" s="4" t="n">
        <v>3.608912</v>
      </c>
      <c r="F3" s="4" t="n">
        <v>3.439362</v>
      </c>
      <c r="G3" s="4" t="n">
        <v>2.805643</v>
      </c>
      <c r="H3" s="4" t="n">
        <v>3.873237</v>
      </c>
      <c r="I3" s="4" t="n">
        <v>2.28753</v>
      </c>
      <c r="J3" s="4" t="n">
        <v>3.35119</v>
      </c>
      <c r="K3" s="4" t="n">
        <v>4.227288</v>
      </c>
      <c r="L3" s="4" t="n">
        <v>22.077528</v>
      </c>
      <c r="M3" s="4" t="n">
        <v>19.434152</v>
      </c>
      <c r="N3" s="4" t="n">
        <v>-999</v>
      </c>
      <c r="O3" s="4" t="n">
        <v>16.889134</v>
      </c>
      <c r="P3" s="4" t="n">
        <v>18.180825</v>
      </c>
      <c r="Q3" s="4" t="n">
        <v>15.309557</v>
      </c>
    </row>
    <row r="4">
      <c r="A4" s="3" t="n">
        <v>46357.02083333334</v>
      </c>
      <c r="B4" s="4" t="n">
        <v>3.419918</v>
      </c>
      <c r="C4" s="4" t="n">
        <v>2.478862</v>
      </c>
      <c r="D4" s="4" t="n">
        <v>2.894549</v>
      </c>
      <c r="E4" s="4" t="n">
        <v>3.585875</v>
      </c>
      <c r="F4" s="4" t="n">
        <v>3.465009</v>
      </c>
      <c r="G4" s="4" t="n">
        <v>2.819234</v>
      </c>
      <c r="H4" s="4" t="n">
        <v>3.896275</v>
      </c>
      <c r="I4" s="4" t="n">
        <v>2.2982</v>
      </c>
      <c r="J4" s="4" t="n">
        <v>3.354079</v>
      </c>
      <c r="K4" s="4" t="n">
        <v>4.251538</v>
      </c>
      <c r="L4" s="4" t="n">
        <v>21.842061</v>
      </c>
      <c r="M4" s="4" t="n">
        <v>19.373382</v>
      </c>
      <c r="N4" s="4" t="n">
        <v>-999</v>
      </c>
      <c r="O4" s="4" t="n">
        <v>16.699227</v>
      </c>
      <c r="P4" s="4" t="n">
        <v>18.439078</v>
      </c>
      <c r="Q4" s="4" t="n">
        <v>16.494519</v>
      </c>
    </row>
    <row r="5">
      <c r="A5" s="3" t="n">
        <v>46357.03125</v>
      </c>
      <c r="B5" s="4" t="n">
        <v>3.444789</v>
      </c>
      <c r="C5" s="4" t="n">
        <v>2.497777</v>
      </c>
      <c r="D5" s="4" t="n">
        <v>2.926485</v>
      </c>
      <c r="E5" s="4" t="n">
        <v>3.590725</v>
      </c>
      <c r="F5" s="4" t="n">
        <v>3.490875</v>
      </c>
      <c r="G5" s="4" t="n">
        <v>2.834578</v>
      </c>
      <c r="H5" s="4" t="n">
        <v>3.919312</v>
      </c>
      <c r="I5" s="4" t="n">
        <v>2.30984</v>
      </c>
      <c r="J5" s="4" t="n">
        <v>3.3537</v>
      </c>
      <c r="K5" s="4" t="n">
        <v>4.300038</v>
      </c>
      <c r="L5" s="4" t="n">
        <v>21.059678</v>
      </c>
      <c r="M5" s="4" t="n">
        <v>19.616454</v>
      </c>
      <c r="N5" s="4" t="n">
        <v>-999</v>
      </c>
      <c r="O5" s="4" t="n">
        <v>16.501735</v>
      </c>
      <c r="P5" s="4" t="n">
        <v>17.884577</v>
      </c>
      <c r="Q5" s="4" t="n">
        <v>13.775182</v>
      </c>
    </row>
    <row r="6">
      <c r="A6" s="3" t="n">
        <v>46357.04166666666</v>
      </c>
      <c r="B6" s="4" t="n">
        <v>3.467672</v>
      </c>
      <c r="C6" s="4" t="n">
        <v>2.518147</v>
      </c>
      <c r="D6" s="4" t="n">
        <v>2.953095</v>
      </c>
      <c r="E6" s="4" t="n">
        <v>3.630737</v>
      </c>
      <c r="F6" s="4" t="n">
        <v>3.494821</v>
      </c>
      <c r="G6" s="4" t="n">
        <v>2.850142</v>
      </c>
      <c r="H6" s="4" t="n">
        <v>3.944775</v>
      </c>
      <c r="I6" s="4" t="n">
        <v>2.32148</v>
      </c>
      <c r="J6" s="4" t="n">
        <v>3.345909</v>
      </c>
      <c r="K6" s="4" t="n">
        <v>4.3255</v>
      </c>
      <c r="L6" s="4" t="n">
        <v>21.515433</v>
      </c>
      <c r="M6" s="4" t="n">
        <v>19.608859</v>
      </c>
      <c r="N6" s="4" t="n">
        <v>-999</v>
      </c>
      <c r="O6" s="4" t="n">
        <v>16.722022</v>
      </c>
      <c r="P6" s="4" t="n">
        <v>17.785831</v>
      </c>
      <c r="Q6" s="4" t="n">
        <v>13.410578</v>
      </c>
    </row>
    <row r="7">
      <c r="A7" s="3" t="n">
        <v>46357.05208333334</v>
      </c>
      <c r="B7" s="4" t="n">
        <v>3.490554</v>
      </c>
      <c r="C7" s="4" t="n">
        <v>2.539245</v>
      </c>
      <c r="D7" s="4" t="n">
        <v>2.978238</v>
      </c>
      <c r="E7" s="4" t="n">
        <v>3.668325</v>
      </c>
      <c r="F7" s="4" t="n">
        <v>3.496356</v>
      </c>
      <c r="G7" s="4" t="n">
        <v>2.863075</v>
      </c>
      <c r="H7" s="4" t="n">
        <v>3.970237</v>
      </c>
      <c r="I7" s="4" t="n">
        <v>2.33312</v>
      </c>
      <c r="J7" s="4" t="n">
        <v>3.33781</v>
      </c>
      <c r="K7" s="4" t="n">
        <v>4.375212</v>
      </c>
      <c r="L7" s="4" t="n">
        <v>21.568608</v>
      </c>
      <c r="M7" s="4" t="n">
        <v>19.267041</v>
      </c>
      <c r="N7" s="4" t="n">
        <v>-999</v>
      </c>
      <c r="O7" s="4" t="n">
        <v>16.835959</v>
      </c>
      <c r="P7" s="4" t="n">
        <v>18.735325</v>
      </c>
      <c r="Q7" s="4" t="n">
        <v>14.306897</v>
      </c>
    </row>
    <row r="8">
      <c r="A8" s="3" t="n">
        <v>46357.0625</v>
      </c>
      <c r="B8" s="4" t="n">
        <v>3.513435</v>
      </c>
      <c r="C8" s="4" t="n">
        <v>2.56107</v>
      </c>
      <c r="D8" s="4" t="n">
        <v>2.997414</v>
      </c>
      <c r="E8" s="4" t="n">
        <v>3.7144</v>
      </c>
      <c r="F8" s="4" t="n">
        <v>3.500082</v>
      </c>
      <c r="G8" s="4" t="n">
        <v>2.875131</v>
      </c>
      <c r="H8" s="4" t="n">
        <v>3.996912</v>
      </c>
      <c r="I8" s="4" t="n">
        <v>2.34573</v>
      </c>
      <c r="J8" s="4" t="n">
        <v>3.328858</v>
      </c>
      <c r="K8" s="4" t="n">
        <v>4.401887</v>
      </c>
      <c r="L8" s="4" t="n">
        <v>21.424282</v>
      </c>
      <c r="M8" s="4" t="n">
        <v>19.532898</v>
      </c>
      <c r="N8" s="4" t="n">
        <v>-999</v>
      </c>
      <c r="O8" s="4" t="n">
        <v>16.668847</v>
      </c>
      <c r="P8" s="4" t="n">
        <v>18.325141</v>
      </c>
      <c r="Q8" s="4" t="n">
        <v>13.57769</v>
      </c>
    </row>
    <row r="9">
      <c r="A9" s="3" t="n">
        <v>46357.07291666666</v>
      </c>
      <c r="B9" s="4" t="n">
        <v>3.536318</v>
      </c>
      <c r="C9" s="4" t="n">
        <v>2.582895</v>
      </c>
      <c r="D9" s="4" t="n">
        <v>3.015335</v>
      </c>
      <c r="E9" s="4" t="n">
        <v>3.741075</v>
      </c>
      <c r="F9" s="4" t="n">
        <v>3.505123</v>
      </c>
      <c r="G9" s="4" t="n">
        <v>2.887625</v>
      </c>
      <c r="H9" s="4" t="n">
        <v>4.021162</v>
      </c>
      <c r="I9" s="4" t="n">
        <v>2.35834</v>
      </c>
      <c r="J9" s="4" t="n">
        <v>3.330682</v>
      </c>
      <c r="K9" s="4" t="n">
        <v>4.450387</v>
      </c>
      <c r="L9" s="4" t="n">
        <v>21.887631</v>
      </c>
      <c r="M9" s="4" t="n">
        <v>20.079804</v>
      </c>
      <c r="N9" s="4" t="n">
        <v>-999</v>
      </c>
      <c r="O9" s="4" t="n">
        <v>16.759998</v>
      </c>
      <c r="P9" s="4" t="n">
        <v>18.355531</v>
      </c>
      <c r="Q9" s="4" t="n">
        <v>13.12953</v>
      </c>
    </row>
    <row r="10">
      <c r="A10" s="3" t="n">
        <v>46357.08333333334</v>
      </c>
      <c r="B10" s="4" t="n">
        <v>3.560195</v>
      </c>
      <c r="C10" s="4" t="n">
        <v>2.60472</v>
      </c>
      <c r="D10" s="4" t="n">
        <v>3.034321</v>
      </c>
      <c r="E10" s="4" t="n">
        <v>3.761687</v>
      </c>
      <c r="F10" s="4" t="n">
        <v>3.5117</v>
      </c>
      <c r="G10" s="4" t="n">
        <v>2.899243</v>
      </c>
      <c r="H10" s="4" t="n">
        <v>4.047837</v>
      </c>
      <c r="I10" s="4" t="n">
        <v>2.36998</v>
      </c>
      <c r="J10" s="4" t="n">
        <v>3.332244</v>
      </c>
      <c r="K10" s="4" t="n">
        <v>4.47585</v>
      </c>
      <c r="L10" s="4" t="n">
        <v>21.219195</v>
      </c>
      <c r="M10" s="4" t="n">
        <v>19.418962</v>
      </c>
      <c r="N10" s="4" t="n">
        <v>-999</v>
      </c>
      <c r="O10" s="4" t="n">
        <v>16.858744</v>
      </c>
      <c r="P10" s="4" t="n">
        <v>18.302356</v>
      </c>
      <c r="Q10" s="4" t="n">
        <v>15.142445</v>
      </c>
    </row>
    <row r="11">
      <c r="A11" s="3" t="n">
        <v>46357.09375</v>
      </c>
      <c r="B11" s="4" t="n">
        <v>3.585067</v>
      </c>
      <c r="C11" s="4" t="n">
        <v>2.627272</v>
      </c>
      <c r="D11" s="4" t="n">
        <v>3.053616</v>
      </c>
      <c r="E11" s="4" t="n">
        <v>3.755625</v>
      </c>
      <c r="F11" s="4" t="n">
        <v>3.519591</v>
      </c>
      <c r="G11" s="4" t="n">
        <v>2.909545</v>
      </c>
      <c r="H11" s="4" t="n">
        <v>4.074512</v>
      </c>
      <c r="I11" s="4" t="n">
        <v>2.36804</v>
      </c>
      <c r="J11" s="4" t="n">
        <v>3.351782</v>
      </c>
      <c r="K11" s="4" t="n">
        <v>4.525562</v>
      </c>
      <c r="L11" s="4" t="n">
        <v>21.682544</v>
      </c>
      <c r="M11" s="4" t="n">
        <v>19.988653</v>
      </c>
      <c r="N11" s="4" t="n">
        <v>-999</v>
      </c>
      <c r="O11" s="4" t="n">
        <v>17.056246</v>
      </c>
      <c r="P11" s="4" t="n">
        <v>18.537833</v>
      </c>
      <c r="Q11" s="4" t="n">
        <v>13.59288</v>
      </c>
    </row>
    <row r="12">
      <c r="A12" s="3" t="n">
        <v>46357.10416666666</v>
      </c>
      <c r="B12" s="4" t="n">
        <v>3.605959</v>
      </c>
      <c r="C12" s="4" t="n">
        <v>2.649097</v>
      </c>
      <c r="D12" s="4" t="n">
        <v>3.073431</v>
      </c>
      <c r="E12" s="4" t="n">
        <v>3.726525</v>
      </c>
      <c r="F12" s="4" t="n">
        <v>3.527921</v>
      </c>
      <c r="G12" s="4" t="n">
        <v>2.91963</v>
      </c>
      <c r="H12" s="4" t="n">
        <v>4.1024</v>
      </c>
      <c r="I12" s="4" t="n">
        <v>2.36222</v>
      </c>
      <c r="J12" s="4" t="n">
        <v>3.381881</v>
      </c>
      <c r="K12" s="4" t="n">
        <v>4.551025</v>
      </c>
      <c r="L12" s="4" t="n">
        <v>21.515433</v>
      </c>
      <c r="M12" s="4" t="n">
        <v>19.905097</v>
      </c>
      <c r="N12" s="4" t="n">
        <v>-999</v>
      </c>
      <c r="O12" s="4" t="n">
        <v>16.95749</v>
      </c>
      <c r="P12" s="4" t="n">
        <v>18.036498</v>
      </c>
      <c r="Q12" s="4" t="n">
        <v>14.299302</v>
      </c>
    </row>
    <row r="13">
      <c r="A13" s="3" t="n">
        <v>46357.11458333334</v>
      </c>
      <c r="B13" s="4" t="n">
        <v>3.629835</v>
      </c>
      <c r="C13" s="4" t="n">
        <v>2.670195</v>
      </c>
      <c r="D13" s="4" t="n">
        <v>3.092796</v>
      </c>
      <c r="E13" s="4" t="n">
        <v>3.681662</v>
      </c>
      <c r="F13" s="4" t="n">
        <v>3.537128</v>
      </c>
      <c r="G13" s="4" t="n">
        <v>2.929713</v>
      </c>
      <c r="H13" s="4" t="n">
        <v>4.127862</v>
      </c>
      <c r="I13" s="4" t="n">
        <v>2.35834</v>
      </c>
      <c r="J13" s="4" t="n">
        <v>3.418446</v>
      </c>
      <c r="K13" s="4" t="n">
        <v>4.600737</v>
      </c>
      <c r="L13" s="4" t="n">
        <v>21.545813</v>
      </c>
      <c r="M13" s="4" t="n">
        <v>18.978398</v>
      </c>
      <c r="N13" s="4" t="n">
        <v>-999</v>
      </c>
      <c r="O13" s="4" t="n">
        <v>16.668847</v>
      </c>
      <c r="P13" s="4" t="n">
        <v>17.406037</v>
      </c>
      <c r="Q13" s="4" t="n">
        <v>15.65897</v>
      </c>
    </row>
    <row r="14">
      <c r="A14" s="3" t="n">
        <v>46357.125</v>
      </c>
      <c r="B14" s="4" t="n">
        <v>3.655702</v>
      </c>
      <c r="C14" s="4" t="n">
        <v>2.69202</v>
      </c>
      <c r="D14" s="4" t="n">
        <v>3.112564</v>
      </c>
      <c r="E14" s="4" t="n">
        <v>3.630737</v>
      </c>
      <c r="F14" s="4" t="n">
        <v>3.546334</v>
      </c>
      <c r="G14" s="4" t="n">
        <v>2.939577</v>
      </c>
      <c r="H14" s="4" t="n">
        <v>4.164238</v>
      </c>
      <c r="I14" s="4" t="n">
        <v>2.35446</v>
      </c>
      <c r="J14" s="4" t="n">
        <v>3.457568</v>
      </c>
      <c r="K14" s="4" t="n">
        <v>4.628625</v>
      </c>
      <c r="L14" s="4" t="n">
        <v>22.039553</v>
      </c>
      <c r="M14" s="4" t="n">
        <v>18.955612</v>
      </c>
      <c r="N14" s="4" t="n">
        <v>-999</v>
      </c>
      <c r="O14" s="4" t="n">
        <v>16.684037</v>
      </c>
      <c r="P14" s="4" t="n">
        <v>18.059284</v>
      </c>
      <c r="Q14" s="4" t="n">
        <v>13.873928</v>
      </c>
    </row>
    <row r="15">
      <c r="A15" s="3" t="n">
        <v>46357.13541666666</v>
      </c>
      <c r="B15" s="4" t="n">
        <v>3.678585</v>
      </c>
      <c r="C15" s="4" t="n">
        <v>2.713845</v>
      </c>
      <c r="D15" s="4" t="n">
        <v>3.132735</v>
      </c>
      <c r="E15" s="4" t="n">
        <v>3.599212</v>
      </c>
      <c r="F15" s="4" t="n">
        <v>3.55576</v>
      </c>
      <c r="G15" s="4" t="n">
        <v>2.949441</v>
      </c>
      <c r="H15" s="4" t="n">
        <v>4.1994</v>
      </c>
      <c r="I15" s="4" t="n">
        <v>2.35058</v>
      </c>
      <c r="J15" s="4" t="n">
        <v>3.495269</v>
      </c>
      <c r="K15" s="4" t="n">
        <v>4.680763</v>
      </c>
      <c r="L15" s="4" t="n">
        <v>21.409091</v>
      </c>
      <c r="M15" s="4" t="n">
        <v>20.064613</v>
      </c>
      <c r="N15" s="4" t="n">
        <v>-999</v>
      </c>
      <c r="O15" s="4" t="n">
        <v>16.782783</v>
      </c>
      <c r="P15" s="4" t="n">
        <v>18.18842</v>
      </c>
      <c r="Q15" s="4" t="n">
        <v>14.299302</v>
      </c>
    </row>
    <row r="16">
      <c r="A16" s="3" t="n">
        <v>46357.14583333334</v>
      </c>
      <c r="B16" s="4" t="n">
        <v>3.704451</v>
      </c>
      <c r="C16" s="4" t="n">
        <v>2.734942</v>
      </c>
      <c r="D16" s="4" t="n">
        <v>3.152147</v>
      </c>
      <c r="E16" s="4" t="n">
        <v>3.594362</v>
      </c>
      <c r="F16" s="4" t="n">
        <v>3.565624</v>
      </c>
      <c r="G16" s="4" t="n">
        <v>2.959525</v>
      </c>
      <c r="H16" s="4" t="n">
        <v>4.234563</v>
      </c>
      <c r="I16" s="4" t="n">
        <v>2.34573</v>
      </c>
      <c r="J16" s="4" t="n">
        <v>3.518264</v>
      </c>
      <c r="K16" s="4" t="n">
        <v>4.705012</v>
      </c>
      <c r="L16" s="4" t="n">
        <v>21.310346</v>
      </c>
      <c r="M16" s="4" t="n">
        <v>19.107524</v>
      </c>
      <c r="N16" s="4" t="n">
        <v>-999</v>
      </c>
      <c r="O16" s="4" t="n">
        <v>16.516926</v>
      </c>
      <c r="P16" s="4" t="n">
        <v>17.6643</v>
      </c>
      <c r="Q16" s="4" t="n">
        <v>18.013703</v>
      </c>
    </row>
    <row r="17">
      <c r="A17" s="3" t="n">
        <v>46357.15625</v>
      </c>
      <c r="B17" s="4" t="n">
        <v>3.730318</v>
      </c>
      <c r="C17" s="4" t="n">
        <v>2.75604</v>
      </c>
      <c r="D17" s="4" t="n">
        <v>3.171939</v>
      </c>
      <c r="E17" s="4" t="n">
        <v>3.634375</v>
      </c>
      <c r="F17" s="4" t="n">
        <v>3.574173</v>
      </c>
      <c r="G17" s="4" t="n">
        <v>2.968292</v>
      </c>
      <c r="H17" s="4" t="n">
        <v>4.2673</v>
      </c>
      <c r="I17" s="4" t="n">
        <v>2.34282</v>
      </c>
      <c r="J17" s="4" t="n">
        <v>3.526339</v>
      </c>
      <c r="K17" s="4" t="n">
        <v>4.760787</v>
      </c>
      <c r="L17" s="4" t="n">
        <v>21.606583</v>
      </c>
      <c r="M17" s="4" t="n">
        <v>19.289826</v>
      </c>
      <c r="N17" s="4" t="n">
        <v>-999</v>
      </c>
      <c r="O17" s="4" t="n">
        <v>16.661252</v>
      </c>
      <c r="P17" s="4" t="n">
        <v>18.006118</v>
      </c>
      <c r="Q17" s="4" t="n">
        <v>13.889118</v>
      </c>
    </row>
    <row r="18">
      <c r="A18" s="3" t="n">
        <v>46357.16666666666</v>
      </c>
      <c r="B18" s="4" t="n">
        <v>3.751211</v>
      </c>
      <c r="C18" s="4" t="n">
        <v>2.777137</v>
      </c>
      <c r="D18" s="4" t="n">
        <v>3.191352</v>
      </c>
      <c r="E18" s="4" t="n">
        <v>3.69985</v>
      </c>
      <c r="F18" s="4" t="n">
        <v>3.58075</v>
      </c>
      <c r="G18" s="4" t="n">
        <v>2.97706</v>
      </c>
      <c r="H18" s="4" t="n">
        <v>4.302462</v>
      </c>
      <c r="I18" s="4" t="n">
        <v>2.33797</v>
      </c>
      <c r="J18" s="4" t="n">
        <v>3.523474</v>
      </c>
      <c r="K18" s="4" t="n">
        <v>4.7911</v>
      </c>
      <c r="L18" s="4" t="n">
        <v>21.538218</v>
      </c>
      <c r="M18" s="4" t="n">
        <v>19.593669</v>
      </c>
      <c r="N18" s="4" t="n">
        <v>-999</v>
      </c>
      <c r="O18" s="4" t="n">
        <v>16.684037</v>
      </c>
      <c r="P18" s="4" t="n">
        <v>17.876982</v>
      </c>
      <c r="Q18" s="4" t="n">
        <v>14.010659</v>
      </c>
    </row>
    <row r="19">
      <c r="A19" s="3" t="n">
        <v>46357.17708333334</v>
      </c>
      <c r="B19" s="4" t="n">
        <v>3.775087</v>
      </c>
      <c r="C19" s="4" t="n">
        <v>2.798962</v>
      </c>
      <c r="D19" s="4" t="n">
        <v>3.210646</v>
      </c>
      <c r="E19" s="4" t="n">
        <v>3.736225</v>
      </c>
      <c r="F19" s="4" t="n">
        <v>3.582942</v>
      </c>
      <c r="G19" s="4" t="n">
        <v>2.987802</v>
      </c>
      <c r="H19" s="4" t="n">
        <v>4.336412</v>
      </c>
      <c r="I19" s="4" t="n">
        <v>2.33409</v>
      </c>
      <c r="J19" s="4" t="n">
        <v>3.537517</v>
      </c>
      <c r="K19" s="4" t="n">
        <v>4.8008</v>
      </c>
      <c r="L19" s="4" t="n">
        <v>21.219195</v>
      </c>
      <c r="M19" s="4" t="n">
        <v>19.874716</v>
      </c>
      <c r="N19" s="4" t="n">
        <v>-999</v>
      </c>
      <c r="O19" s="4" t="n">
        <v>16.851149</v>
      </c>
      <c r="P19" s="4" t="n">
        <v>18.378317</v>
      </c>
      <c r="Q19" s="4" t="n">
        <v>13.258657</v>
      </c>
    </row>
    <row r="20">
      <c r="A20" s="3" t="n">
        <v>46357.1875</v>
      </c>
      <c r="B20" s="4" t="n">
        <v>3.799959</v>
      </c>
      <c r="C20" s="4" t="n">
        <v>2.819332</v>
      </c>
      <c r="D20" s="4" t="n">
        <v>3.229774</v>
      </c>
      <c r="E20" s="4" t="n">
        <v>3.759262</v>
      </c>
      <c r="F20" s="4" t="n">
        <v>3.586888</v>
      </c>
      <c r="G20" s="4" t="n">
        <v>2.997447</v>
      </c>
      <c r="H20" s="4" t="n">
        <v>4.371575</v>
      </c>
      <c r="I20" s="4" t="n">
        <v>2.32924</v>
      </c>
      <c r="J20" s="4" t="n">
        <v>3.555278</v>
      </c>
      <c r="K20" s="4" t="n">
        <v>4.782612</v>
      </c>
      <c r="L20" s="4" t="n">
        <v>21.469852</v>
      </c>
      <c r="M20" s="4" t="n">
        <v>19.851931</v>
      </c>
      <c r="N20" s="4" t="n">
        <v>-999</v>
      </c>
      <c r="O20" s="4" t="n">
        <v>16.805578</v>
      </c>
      <c r="P20" s="4" t="n">
        <v>18.2188</v>
      </c>
      <c r="Q20" s="4" t="n">
        <v>12.681371</v>
      </c>
    </row>
    <row r="21">
      <c r="A21" s="3" t="n">
        <v>46357.19791666666</v>
      </c>
      <c r="B21" s="4" t="n">
        <v>3.821846</v>
      </c>
      <c r="C21" s="4" t="n">
        <v>2.841157</v>
      </c>
      <c r="D21" s="4" t="n">
        <v>3.245352</v>
      </c>
      <c r="E21" s="4" t="n">
        <v>3.75805</v>
      </c>
      <c r="F21" s="4" t="n">
        <v>3.592367</v>
      </c>
      <c r="G21" s="4" t="n">
        <v>3.007311</v>
      </c>
      <c r="H21" s="4" t="n">
        <v>4.404312</v>
      </c>
      <c r="I21" s="4" t="n">
        <v>2.32536</v>
      </c>
      <c r="J21" s="4" t="n">
        <v>3.556344</v>
      </c>
      <c r="K21" s="4" t="n">
        <v>4.74745</v>
      </c>
      <c r="L21" s="4" t="n">
        <v>22.062338</v>
      </c>
      <c r="M21" s="4" t="n">
        <v>19.327811</v>
      </c>
      <c r="N21" s="4" t="n">
        <v>-999</v>
      </c>
      <c r="O21" s="4" t="n">
        <v>16.684037</v>
      </c>
      <c r="P21" s="4" t="n">
        <v>18.082079</v>
      </c>
      <c r="Q21" s="4" t="n">
        <v>13.12953</v>
      </c>
    </row>
    <row r="22">
      <c r="A22" s="3" t="n">
        <v>46357.20833333334</v>
      </c>
      <c r="B22" s="4" t="n">
        <v>3.845723</v>
      </c>
      <c r="C22" s="4" t="n">
        <v>2.8608</v>
      </c>
      <c r="D22" s="4" t="n">
        <v>3.237066</v>
      </c>
      <c r="E22" s="4" t="n">
        <v>3.727737</v>
      </c>
      <c r="F22" s="4" t="n">
        <v>3.596094</v>
      </c>
      <c r="G22" s="4" t="n">
        <v>3.01586</v>
      </c>
      <c r="H22" s="4" t="n">
        <v>4.43705</v>
      </c>
      <c r="I22" s="4" t="n">
        <v>2.32051</v>
      </c>
      <c r="J22" s="4" t="n">
        <v>3.552508</v>
      </c>
      <c r="K22" s="4" t="n">
        <v>4.730475</v>
      </c>
      <c r="L22" s="4" t="n">
        <v>21.029298</v>
      </c>
      <c r="M22" s="4" t="n">
        <v>19.836731</v>
      </c>
      <c r="N22" s="4" t="n">
        <v>-999</v>
      </c>
      <c r="O22" s="4" t="n">
        <v>16.904324</v>
      </c>
      <c r="P22" s="4" t="n">
        <v>18.530228</v>
      </c>
      <c r="Q22" s="4" t="n">
        <v>13.881523</v>
      </c>
    </row>
    <row r="23">
      <c r="A23" s="3" t="n">
        <v>46357.21875</v>
      </c>
      <c r="B23" s="4" t="n">
        <v>3.868605</v>
      </c>
      <c r="C23" s="4" t="n">
        <v>2.88117</v>
      </c>
      <c r="D23" s="4" t="n">
        <v>3.227359</v>
      </c>
      <c r="E23" s="4" t="n">
        <v>3.682875</v>
      </c>
      <c r="F23" s="4" t="n">
        <v>3.597189</v>
      </c>
      <c r="G23" s="4" t="n">
        <v>3.023751</v>
      </c>
      <c r="H23" s="4" t="n">
        <v>4.468575</v>
      </c>
      <c r="I23" s="4" t="n">
        <v>2.31566</v>
      </c>
      <c r="J23" s="4" t="n">
        <v>3.555112</v>
      </c>
      <c r="K23" s="4" t="n">
        <v>4.695312</v>
      </c>
      <c r="L23" s="4" t="n">
        <v>21.690139</v>
      </c>
      <c r="M23" s="4" t="n">
        <v>19.798756</v>
      </c>
      <c r="N23" s="4" t="n">
        <v>-999</v>
      </c>
      <c r="O23" s="4" t="n">
        <v>17.025855</v>
      </c>
      <c r="P23" s="4" t="n">
        <v>17.238926</v>
      </c>
      <c r="Q23" s="4" t="n">
        <v>17.839006</v>
      </c>
    </row>
    <row r="24">
      <c r="A24" s="3" t="n">
        <v>46357.22916666666</v>
      </c>
      <c r="B24" s="4" t="n">
        <v>3.889498</v>
      </c>
      <c r="C24" s="4" t="n">
        <v>2.897175</v>
      </c>
      <c r="D24" s="4" t="n">
        <v>3.216943</v>
      </c>
      <c r="E24" s="4" t="n">
        <v>3.63195</v>
      </c>
      <c r="F24" s="4" t="n">
        <v>3.604423</v>
      </c>
      <c r="G24" s="4" t="n">
        <v>3.059262</v>
      </c>
      <c r="H24" s="4" t="n">
        <v>4.498888</v>
      </c>
      <c r="I24" s="4" t="n">
        <v>2.31081</v>
      </c>
      <c r="J24" s="4" t="n">
        <v>3.557315</v>
      </c>
      <c r="K24" s="4" t="n">
        <v>4.677125</v>
      </c>
      <c r="L24" s="4" t="n">
        <v>21.219195</v>
      </c>
      <c r="M24" s="4" t="n">
        <v>19.267041</v>
      </c>
      <c r="N24" s="4" t="n">
        <v>-999</v>
      </c>
      <c r="O24" s="4" t="n">
        <v>16.706832</v>
      </c>
      <c r="P24" s="4" t="n">
        <v>17.21614</v>
      </c>
      <c r="Q24" s="4" t="n">
        <v>17.717465</v>
      </c>
    </row>
    <row r="25">
      <c r="A25" s="3" t="n">
        <v>46357.23958333334</v>
      </c>
      <c r="B25" s="4" t="n">
        <v>3.9084</v>
      </c>
      <c r="C25" s="4" t="n">
        <v>2.915362</v>
      </c>
      <c r="D25" s="4" t="n">
        <v>3.206479</v>
      </c>
      <c r="E25" s="4" t="n">
        <v>3.594362</v>
      </c>
      <c r="F25" s="4" t="n">
        <v>3.571762</v>
      </c>
      <c r="G25" s="4" t="n">
        <v>3.075922</v>
      </c>
      <c r="H25" s="4" t="n">
        <v>4.521925</v>
      </c>
      <c r="I25" s="4" t="n">
        <v>2.3079</v>
      </c>
      <c r="J25" s="4" t="n">
        <v>3.566764</v>
      </c>
      <c r="K25" s="4" t="n">
        <v>4.641962</v>
      </c>
      <c r="L25" s="4" t="n">
        <v>20.900162</v>
      </c>
      <c r="M25" s="4" t="n">
        <v>19.654429</v>
      </c>
      <c r="N25" s="4" t="n">
        <v>-999</v>
      </c>
      <c r="O25" s="4" t="n">
        <v>16.805578</v>
      </c>
      <c r="P25" s="4" t="n">
        <v>17.162965</v>
      </c>
      <c r="Q25" s="4" t="n">
        <v>18.902427</v>
      </c>
    </row>
    <row r="26">
      <c r="A26" s="3" t="n">
        <v>46357.25</v>
      </c>
      <c r="B26" s="4" t="n">
        <v>3.925313</v>
      </c>
      <c r="C26" s="4" t="n">
        <v>2.93064</v>
      </c>
      <c r="D26" s="4" t="n">
        <v>3.197341</v>
      </c>
      <c r="E26" s="4" t="n">
        <v>3.585875</v>
      </c>
      <c r="F26" s="4" t="n">
        <v>3.539978</v>
      </c>
      <c r="G26" s="4" t="n">
        <v>3.072195</v>
      </c>
      <c r="H26" s="4" t="n">
        <v>4.540112</v>
      </c>
      <c r="I26" s="4" t="n">
        <v>2.30014</v>
      </c>
      <c r="J26" s="4" t="n">
        <v>3.580358</v>
      </c>
      <c r="K26" s="4" t="n">
        <v>4.622562</v>
      </c>
      <c r="L26" s="4" t="n">
        <v>20.452002</v>
      </c>
      <c r="M26" s="4" t="n">
        <v>19.601264</v>
      </c>
      <c r="N26" s="4" t="n">
        <v>-999</v>
      </c>
      <c r="O26" s="4" t="n">
        <v>16.46376</v>
      </c>
      <c r="P26" s="4" t="n">
        <v>17.14018</v>
      </c>
      <c r="Q26" s="4" t="n">
        <v>18.385912</v>
      </c>
    </row>
    <row r="27">
      <c r="A27" s="3" t="n">
        <v>46357.26041666666</v>
      </c>
      <c r="B27" s="4" t="n">
        <v>3.932277</v>
      </c>
      <c r="C27" s="4" t="n">
        <v>2.941552</v>
      </c>
      <c r="D27" s="4" t="n">
        <v>3.155864</v>
      </c>
      <c r="E27" s="4" t="n">
        <v>3.606487</v>
      </c>
      <c r="F27" s="4" t="n">
        <v>3.521126</v>
      </c>
      <c r="G27" s="4" t="n">
        <v>3.066496</v>
      </c>
      <c r="H27" s="4" t="n">
        <v>4.551025</v>
      </c>
      <c r="I27" s="4" t="n">
        <v>2.29141</v>
      </c>
      <c r="J27" s="4" t="n">
        <v>3.588338</v>
      </c>
      <c r="K27" s="4" t="n">
        <v>4.584975</v>
      </c>
      <c r="L27" s="4" t="n">
        <v>21.249575</v>
      </c>
      <c r="M27" s="4" t="n">
        <v>19.069548</v>
      </c>
      <c r="N27" s="4" t="n">
        <v>-999</v>
      </c>
      <c r="O27" s="4" t="n">
        <v>16.49414</v>
      </c>
      <c r="P27" s="4" t="n">
        <v>17.18575</v>
      </c>
      <c r="Q27" s="4" t="n">
        <v>18.66696</v>
      </c>
    </row>
    <row r="28">
      <c r="A28" s="3" t="n">
        <v>46357.27083333334</v>
      </c>
      <c r="B28" s="4" t="n">
        <v>3.937251</v>
      </c>
      <c r="C28" s="4" t="n">
        <v>2.948827</v>
      </c>
      <c r="D28" s="4" t="n">
        <v>3.15468</v>
      </c>
      <c r="E28" s="4" t="n">
        <v>3.644075</v>
      </c>
      <c r="F28" s="4" t="n">
        <v>3.504904</v>
      </c>
      <c r="G28" s="4" t="n">
        <v>3.056852</v>
      </c>
      <c r="H28" s="4" t="n">
        <v>4.554663</v>
      </c>
      <c r="I28" s="4" t="n">
        <v>2.29432</v>
      </c>
      <c r="J28" s="4" t="n">
        <v>3.589854</v>
      </c>
      <c r="K28" s="4" t="n">
        <v>4.564362</v>
      </c>
      <c r="L28" s="4" t="n">
        <v>21.135639</v>
      </c>
      <c r="M28" s="4" t="n">
        <v>19.358191</v>
      </c>
      <c r="N28" s="4" t="n">
        <v>-999</v>
      </c>
      <c r="O28" s="4" t="n">
        <v>16.197902</v>
      </c>
      <c r="P28" s="4" t="n">
        <v>17.611124</v>
      </c>
      <c r="Q28" s="4" t="n">
        <v>20.178549</v>
      </c>
    </row>
    <row r="29">
      <c r="A29" s="3" t="n">
        <v>46357.28125</v>
      </c>
      <c r="B29" s="4" t="n">
        <v>3.934267</v>
      </c>
      <c r="C29" s="4" t="n">
        <v>2.950282</v>
      </c>
      <c r="D29" s="4" t="n">
        <v>3.150325</v>
      </c>
      <c r="E29" s="4" t="n">
        <v>3.684087</v>
      </c>
      <c r="F29" s="4" t="n">
        <v>3.490217</v>
      </c>
      <c r="G29" s="4" t="n">
        <v>3.045671</v>
      </c>
      <c r="H29" s="4" t="n">
        <v>4.554663</v>
      </c>
      <c r="I29" s="4" t="n">
        <v>2.30014</v>
      </c>
      <c r="J29" s="4" t="n">
        <v>3.583175</v>
      </c>
      <c r="K29" s="4" t="n">
        <v>4.520713</v>
      </c>
      <c r="L29" s="4" t="n">
        <v>21.27236</v>
      </c>
      <c r="M29" s="4" t="n">
        <v>18.325141</v>
      </c>
      <c r="N29" s="4" t="n">
        <v>-999</v>
      </c>
      <c r="O29" s="4" t="n">
        <v>16.182712</v>
      </c>
      <c r="P29" s="4" t="n">
        <v>18.18842</v>
      </c>
      <c r="Q29" s="4" t="n">
        <v>20.102589</v>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E226"/>
  <sheetViews>
    <sheetView showGridLines="0" workbookViewId="0">
      <selection activeCell="A1" sqref="A1"/>
    </sheetView>
  </sheetViews>
  <sheetFormatPr baseColWidth="8" defaultRowHeight="15"/>
  <cols>
    <col width="6" customWidth="1" min="1" max="1"/>
    <col width="15" customWidth="1" min="2" max="2"/>
    <col width="10" customWidth="1" min="3" max="3"/>
    <col width="8" customWidth="1" min="4" max="4"/>
    <col width="6" customWidth="1" min="5" max="5"/>
    <col width="15" customWidth="1" min="6" max="6"/>
    <col width="10" customWidth="1" min="7" max="7"/>
    <col width="8" customWidth="1" min="8" max="8"/>
    <col width="13" customWidth="1" min="9" max="9"/>
    <col width="20" customWidth="1" min="10" max="10"/>
    <col width="14" customWidth="1" min="11" max="11"/>
    <col width="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s>
  <sheetData>
    <row r="1" ht="30" customHeight="1">
      <c r="A1" s="5" t="inlineStr">
        <is>
          <t>Flow &amp; Pressure Analysis Dashboard</t>
        </is>
      </c>
    </row>
    <row r="2" ht="22" customHeight="1">
      <c r="A2" s="6" t="inlineStr">
        <is>
          <t>#</t>
        </is>
      </c>
      <c r="B2" s="6" t="inlineStr">
        <is>
          <t>Flow  ▼</t>
        </is>
      </c>
      <c r="C2" s="6" t="inlineStr">
        <is>
          <t>Scale</t>
        </is>
      </c>
      <c r="D2" s="6" t="inlineStr">
        <is>
          <t>Δt</t>
        </is>
      </c>
      <c r="E2" s="7" t="inlineStr">
        <is>
          <t>#</t>
        </is>
      </c>
      <c r="F2" s="7" t="inlineStr">
        <is>
          <t>Pres  ▼</t>
        </is>
      </c>
      <c r="G2" s="7" t="inlineStr">
        <is>
          <t>Offset</t>
        </is>
      </c>
      <c r="H2" s="7" t="inlineStr">
        <is>
          <t>Δt</t>
        </is>
      </c>
      <c r="J2" s="8" t="inlineStr">
        <is>
          <t>Chart Controls</t>
        </is>
      </c>
    </row>
    <row r="3" ht="24" customHeight="1">
      <c r="A3" s="9" t="n">
        <v>1</v>
      </c>
      <c r="B3" s="10" t="inlineStr">
        <is>
          <t>AL012</t>
        </is>
      </c>
      <c r="C3" s="11" t="n">
        <v>1</v>
      </c>
      <c r="D3" s="12" t="n">
        <v>0</v>
      </c>
      <c r="E3" s="13" t="n">
        <v>1</v>
      </c>
      <c r="F3" s="14" t="inlineStr">
        <is>
          <t>AL012</t>
        </is>
      </c>
      <c r="G3" s="15" t="n">
        <v>0</v>
      </c>
      <c r="H3" s="12" t="n">
        <v>0</v>
      </c>
      <c r="J3" s="16" t="inlineStr">
        <is>
          <t>Start Date  ▶</t>
        </is>
      </c>
      <c r="K3" s="17" t="inlineStr"/>
    </row>
    <row r="4" ht="24" customHeight="1">
      <c r="A4" s="9" t="n">
        <v>2</v>
      </c>
      <c r="B4" s="10" t="inlineStr">
        <is>
          <t>AL013</t>
        </is>
      </c>
      <c r="C4" s="11" t="n">
        <v>1</v>
      </c>
      <c r="D4" s="12" t="n">
        <v>0</v>
      </c>
      <c r="E4" s="13" t="n">
        <v>2</v>
      </c>
      <c r="F4" s="14" t="inlineStr">
        <is>
          <t>AL013</t>
        </is>
      </c>
      <c r="G4" s="15" t="n">
        <v>0</v>
      </c>
      <c r="H4" s="12" t="n">
        <v>0</v>
      </c>
      <c r="J4" s="16" t="inlineStr">
        <is>
          <t>End Date  ▶</t>
        </is>
      </c>
      <c r="K4" s="17" t="inlineStr"/>
    </row>
    <row r="5" ht="24" customHeight="1">
      <c r="A5" s="9" t="n">
        <v>3</v>
      </c>
      <c r="B5" s="10" t="inlineStr">
        <is>
          <t>AL014</t>
        </is>
      </c>
      <c r="C5" s="11" t="n">
        <v>1</v>
      </c>
      <c r="D5" s="12" t="n">
        <v>0</v>
      </c>
      <c r="E5" s="13" t="n">
        <v>3</v>
      </c>
      <c r="F5" s="14" t="inlineStr">
        <is>
          <t>AL014</t>
        </is>
      </c>
      <c r="G5" s="15" t="n">
        <v>0</v>
      </c>
      <c r="H5" s="12" t="n">
        <v>0</v>
      </c>
      <c r="J5" s="18" t="inlineStr">
        <is>
          <t>▸ start row:</t>
        </is>
      </c>
      <c r="K5" s="19">
        <f>IF($K$3="",2,IFERROR(MATCH($K$3,'Raw Flow Data'!$A$2:$A$50001,1)+1,2))</f>
        <v/>
      </c>
    </row>
    <row r="6" ht="24" customHeight="1">
      <c r="A6" s="9" t="n">
        <v>4</v>
      </c>
      <c r="B6" s="10" t="inlineStr">
        <is>
          <t>AL023</t>
        </is>
      </c>
      <c r="C6" s="11" t="n">
        <v>1</v>
      </c>
      <c r="D6" s="12" t="n">
        <v>0</v>
      </c>
      <c r="E6" s="13" t="n">
        <v>4</v>
      </c>
      <c r="F6" s="14" t="inlineStr">
        <is>
          <t>AL023</t>
        </is>
      </c>
      <c r="G6" s="15" t="n">
        <v>0</v>
      </c>
      <c r="H6" s="12" t="n">
        <v>0</v>
      </c>
      <c r="J6" s="18" t="inlineStr">
        <is>
          <t>▸ end row:</t>
        </is>
      </c>
      <c r="K6" s="19">
        <f>IF($K$4="",9999999,IFERROR(MATCH($K$4,'Raw Flow Data'!$A$2:$A$50001,1)+1,9999999))</f>
        <v/>
      </c>
    </row>
    <row r="7" ht="24" customHeight="1">
      <c r="A7" s="9" t="n">
        <v>5</v>
      </c>
      <c r="B7" s="10" t="inlineStr">
        <is>
          <t>AL028</t>
        </is>
      </c>
      <c r="C7" s="11" t="n">
        <v>1</v>
      </c>
      <c r="D7" s="12" t="n">
        <v>0</v>
      </c>
      <c r="E7" s="13" t="n">
        <v>5</v>
      </c>
      <c r="F7" s="14" t="inlineStr">
        <is>
          <t>AL028</t>
        </is>
      </c>
      <c r="G7" s="15" t="n">
        <v>0</v>
      </c>
      <c r="H7" s="12" t="n">
        <v>0</v>
      </c>
    </row>
    <row r="8" ht="24" customHeight="1">
      <c r="A8" s="9" t="n">
        <v>6</v>
      </c>
      <c r="B8" s="10" t="inlineStr">
        <is>
          <t>AL029</t>
        </is>
      </c>
      <c r="C8" s="11" t="n">
        <v>1</v>
      </c>
      <c r="D8" s="12" t="n">
        <v>0</v>
      </c>
      <c r="E8" s="13" t="n">
        <v>6</v>
      </c>
      <c r="F8" s="14" t="inlineStr">
        <is>
          <t>AL029</t>
        </is>
      </c>
      <c r="G8" s="15" t="n">
        <v>0</v>
      </c>
      <c r="H8" s="12" t="n">
        <v>0</v>
      </c>
    </row>
    <row r="9" ht="24" customHeight="1">
      <c r="A9" s="9" t="n">
        <v>7</v>
      </c>
      <c r="B9" s="10" t="inlineStr">
        <is>
          <t>AL035</t>
        </is>
      </c>
      <c r="C9" s="11" t="n">
        <v>1</v>
      </c>
      <c r="D9" s="12" t="n">
        <v>0</v>
      </c>
      <c r="E9" s="13" t="n">
        <v>7</v>
      </c>
      <c r="F9" s="14" t="inlineStr">
        <is>
          <t>AL035</t>
        </is>
      </c>
      <c r="G9" s="15" t="n">
        <v>0</v>
      </c>
      <c r="H9" s="12" t="n">
        <v>0</v>
      </c>
    </row>
    <row r="10" ht="24" customHeight="1">
      <c r="A10" s="9" t="n">
        <v>8</v>
      </c>
      <c r="B10" s="10" t="inlineStr">
        <is>
          <t>AL036</t>
        </is>
      </c>
      <c r="C10" s="11" t="n">
        <v>1</v>
      </c>
      <c r="D10" s="12" t="n">
        <v>0</v>
      </c>
      <c r="E10" s="13" t="n">
        <v>8</v>
      </c>
      <c r="F10" s="14" t="inlineStr">
        <is>
          <t>AL036</t>
        </is>
      </c>
      <c r="G10" s="15" t="n">
        <v>0</v>
      </c>
      <c r="H10" s="12" t="n">
        <v>0</v>
      </c>
    </row>
    <row r="11" ht="24" customHeight="1">
      <c r="A11" s="9" t="n">
        <v>9</v>
      </c>
      <c r="B11" s="10" t="inlineStr">
        <is>
          <t>AL038</t>
        </is>
      </c>
      <c r="C11" s="11" t="n">
        <v>1</v>
      </c>
      <c r="D11" s="12" t="n">
        <v>0</v>
      </c>
      <c r="E11" s="13" t="n">
        <v>9</v>
      </c>
      <c r="F11" s="14" t="inlineStr">
        <is>
          <t>AL038</t>
        </is>
      </c>
      <c r="G11" s="15" t="n">
        <v>0</v>
      </c>
      <c r="H11" s="12" t="n">
        <v>0</v>
      </c>
    </row>
    <row r="12" ht="24" customHeight="1">
      <c r="A12" s="9" t="n">
        <v>10</v>
      </c>
      <c r="B12" s="10" t="inlineStr">
        <is>
          <t>AL063</t>
        </is>
      </c>
      <c r="C12" s="11" t="n">
        <v>1</v>
      </c>
      <c r="D12" s="12" t="n">
        <v>0</v>
      </c>
      <c r="E12" s="13" t="n">
        <v>10</v>
      </c>
      <c r="F12" s="14" t="inlineStr">
        <is>
          <t>AL063</t>
        </is>
      </c>
      <c r="G12" s="15" t="n">
        <v>0</v>
      </c>
      <c r="H12" s="12" t="n">
        <v>0</v>
      </c>
    </row>
    <row r="13" ht="24" customHeight="1">
      <c r="E13" s="13" t="n">
        <v>11</v>
      </c>
      <c r="F13" s="14" t="inlineStr">
        <is>
          <t>AM005</t>
        </is>
      </c>
      <c r="G13" s="15" t="n">
        <v>0</v>
      </c>
      <c r="H13" s="12" t="n">
        <v>0</v>
      </c>
    </row>
    <row r="14" ht="24" customHeight="1">
      <c r="E14" s="13" t="n">
        <v>12</v>
      </c>
      <c r="F14" s="14" t="inlineStr">
        <is>
          <t>AM014</t>
        </is>
      </c>
      <c r="G14" s="15" t="n">
        <v>0</v>
      </c>
      <c r="H14" s="12" t="n">
        <v>0</v>
      </c>
    </row>
    <row r="15" ht="24" customHeight="1">
      <c r="E15" s="13" t="n">
        <v>13</v>
      </c>
      <c r="F15" s="14" t="inlineStr">
        <is>
          <t>AM015</t>
        </is>
      </c>
      <c r="G15" s="15" t="n">
        <v>0</v>
      </c>
      <c r="H15" s="12" t="n">
        <v>0</v>
      </c>
    </row>
    <row r="16" ht="24" customHeight="1">
      <c r="E16" s="13" t="n">
        <v>14</v>
      </c>
      <c r="F16" s="14" t="inlineStr">
        <is>
          <t>AM022</t>
        </is>
      </c>
      <c r="G16" s="15" t="n">
        <v>0</v>
      </c>
      <c r="H16" s="12" t="n">
        <v>0</v>
      </c>
    </row>
    <row r="17" ht="24" customHeight="1">
      <c r="E17" s="13" t="n">
        <v>15</v>
      </c>
      <c r="F17" s="14" t="inlineStr">
        <is>
          <t>AM024</t>
        </is>
      </c>
      <c r="G17" s="15" t="n">
        <v>0</v>
      </c>
      <c r="H17" s="12" t="n">
        <v>0</v>
      </c>
    </row>
    <row r="18" ht="24" customHeight="1">
      <c r="E18" s="13" t="n">
        <v>16</v>
      </c>
      <c r="F18" s="14" t="inlineStr">
        <is>
          <t>AM026</t>
        </is>
      </c>
      <c r="G18" s="15" t="n">
        <v>0</v>
      </c>
      <c r="H18" s="12" t="n">
        <v>0</v>
      </c>
    </row>
    <row r="19" ht="24" customHeight="1">
      <c r="E19" s="13" t="n">
        <v>17</v>
      </c>
      <c r="F19" s="14" t="inlineStr"/>
      <c r="G19" s="15" t="n">
        <v>0</v>
      </c>
      <c r="H19" s="12" t="n">
        <v>0</v>
      </c>
    </row>
    <row r="20" ht="24" customHeight="1">
      <c r="E20" s="13" t="n">
        <v>18</v>
      </c>
      <c r="F20" s="14" t="inlineStr"/>
      <c r="G20" s="15" t="n">
        <v>0</v>
      </c>
      <c r="H20" s="12" t="n">
        <v>0</v>
      </c>
    </row>
    <row r="21" ht="24" customHeight="1">
      <c r="E21" s="13" t="n">
        <v>19</v>
      </c>
      <c r="F21" s="14" t="inlineStr"/>
      <c r="G21" s="15" t="n">
        <v>0</v>
      </c>
      <c r="H21" s="12" t="n">
        <v>0</v>
      </c>
    </row>
    <row r="22" ht="24" customHeight="1">
      <c r="E22" s="13" t="n">
        <v>20</v>
      </c>
      <c r="F22" s="14" t="inlineStr"/>
      <c r="G22" s="15" t="n">
        <v>0</v>
      </c>
      <c r="H22" s="12" t="n">
        <v>0</v>
      </c>
    </row>
    <row r="23" ht="44" customHeight="1">
      <c r="A23" s="20" t="inlineStr">
        <is>
          <t>ℹ  Up to 10 flow and 20 pressure series.  Leave a Name cell blank to hide that series.  Each row has its own Scale (flow multiplier), Offset (pressure addend) and Δt (integer timestep offset — positive shifts the series later, negative shifts it earlier).  After pasting your own data, right-click a Name cell → Data Validation → update the Source range to match your column headers.  Values of -999 are treated as no-data and excluded.</t>
        </is>
      </c>
    </row>
    <row r="24" ht="20" customHeight="1">
      <c r="A24" s="21" t="inlineStr">
        <is>
          <t>FORMULA TABLE  —  updates automatically when you change selections or adjustments above</t>
        </is>
      </c>
    </row>
    <row r="25" ht="22" customHeight="1">
      <c r="A25" s="1" t="inlineStr">
        <is>
          <t>Date</t>
        </is>
      </c>
      <c r="B25" s="2">
        <f>IF($B$3="","Flow 1 Adj.",$B$3)</f>
        <v/>
      </c>
      <c r="C25" s="2">
        <f>IF($B$4="","Flow 2 Adj.",$B$4)</f>
        <v/>
      </c>
      <c r="D25" s="2">
        <f>IF($B$5="","Flow 3 Adj.",$B$5)</f>
        <v/>
      </c>
      <c r="E25" s="2">
        <f>IF($B$6="","Flow 4 Adj.",$B$6)</f>
        <v/>
      </c>
      <c r="F25" s="2">
        <f>IF($B$7="","Flow 5 Adj.",$B$7)</f>
        <v/>
      </c>
      <c r="G25" s="2">
        <f>IF($B$8="","Flow 6 Adj.",$B$8)</f>
        <v/>
      </c>
      <c r="H25" s="2">
        <f>IF($B$9="","Flow 7 Adj.",$B$9)</f>
        <v/>
      </c>
      <c r="I25" s="2">
        <f>IF($B$10="","Flow 8 Adj.",$B$10)</f>
        <v/>
      </c>
      <c r="J25" s="2">
        <f>IF($B$11="","Flow 9 Adj.",$B$11)</f>
        <v/>
      </c>
      <c r="K25" s="2">
        <f>IF($B$12="","Flow 10 Adj.",$B$12)</f>
        <v/>
      </c>
      <c r="L25" s="22">
        <f>IF($F$3="","Pres 1 Adj.",$F$3)</f>
        <v/>
      </c>
      <c r="M25" s="22">
        <f>IF($F$4="","Pres 2 Adj.",$F$4)</f>
        <v/>
      </c>
      <c r="N25" s="22">
        <f>IF($F$5="","Pres 3 Adj.",$F$5)</f>
        <v/>
      </c>
      <c r="O25" s="22">
        <f>IF($F$6="","Pres 4 Adj.",$F$6)</f>
        <v/>
      </c>
      <c r="P25" s="22">
        <f>IF($F$7="","Pres 5 Adj.",$F$7)</f>
        <v/>
      </c>
      <c r="Q25" s="22">
        <f>IF($F$8="","Pres 6 Adj.",$F$8)</f>
        <v/>
      </c>
      <c r="R25" s="22">
        <f>IF($F$9="","Pres 7 Adj.",$F$9)</f>
        <v/>
      </c>
      <c r="S25" s="22">
        <f>IF($F$10="","Pres 8 Adj.",$F$10)</f>
        <v/>
      </c>
      <c r="T25" s="22">
        <f>IF($F$11="","Pres 9 Adj.",$F$11)</f>
        <v/>
      </c>
      <c r="U25" s="22">
        <f>IF($F$12="","Pres 10 Adj.",$F$12)</f>
        <v/>
      </c>
      <c r="V25" s="22">
        <f>IF($F$13="","Pres 11 Adj.",$F$13)</f>
        <v/>
      </c>
      <c r="W25" s="22">
        <f>IF($F$14="","Pres 12 Adj.",$F$14)</f>
        <v/>
      </c>
      <c r="X25" s="22">
        <f>IF($F$15="","Pres 13 Adj.",$F$15)</f>
        <v/>
      </c>
      <c r="Y25" s="22">
        <f>IF($F$16="","Pres 14 Adj.",$F$16)</f>
        <v/>
      </c>
      <c r="Z25" s="22">
        <f>IF($F$17="","Pres 15 Adj.",$F$17)</f>
        <v/>
      </c>
      <c r="AA25" s="22">
        <f>IF($F$18="","Pres 16 Adj.",$F$18)</f>
        <v/>
      </c>
      <c r="AB25" s="22">
        <f>IF($F$19="","Pres 17 Adj.",$F$19)</f>
        <v/>
      </c>
      <c r="AC25" s="22">
        <f>IF($F$20="","Pres 18 Adj.",$F$20)</f>
        <v/>
      </c>
      <c r="AD25" s="22">
        <f>IF($F$21="","Pres 19 Adj.",$F$21)</f>
        <v/>
      </c>
      <c r="AE25" s="22">
        <f>IF($F$22="","Pres 20 Adj.",$F$22)</f>
        <v/>
      </c>
    </row>
    <row r="26" ht="15" customHeight="1">
      <c r="A26" s="23">
        <f>IFERROR(IF($K$5+ROW()-26&gt;$K$6,"",IF(INDEX('Raw Flow Data'!$A:$A,$K$5+ROW()-26)="","",INDEX('Raw Flow Data'!$A:$A,$K$5+ROW()-26))),"")</f>
        <v/>
      </c>
      <c r="B26" s="24">
        <f>IFERROR(IF($B$3="","",IF($K$5+ROW()-26&gt;$K$6,"",IF(INDEX('Raw Flow Data'!$A:$ZZ,$K$5+ROW()-26+$D$3,MATCH($B$3,'Raw Flow Data'!$1:$1,0))=-999,"",INDEX('Raw Flow Data'!$A:$ZZ,$K$5+ROW()-26+$D$3,MATCH($B$3,'Raw Flow Data'!$1:$1,0))*$C$3))),"")</f>
        <v/>
      </c>
      <c r="C26" s="24">
        <f>IFERROR(IF($B$4="","",IF($K$5+ROW()-26&gt;$K$6,"",IF(INDEX('Raw Flow Data'!$A:$ZZ,$K$5+ROW()-26+$D$4,MATCH($B$4,'Raw Flow Data'!$1:$1,0))=-999,"",INDEX('Raw Flow Data'!$A:$ZZ,$K$5+ROW()-26+$D$4,MATCH($B$4,'Raw Flow Data'!$1:$1,0))*$C$4))),"")</f>
        <v/>
      </c>
      <c r="D26" s="24">
        <f>IFERROR(IF($B$5="","",IF($K$5+ROW()-26&gt;$K$6,"",IF(INDEX('Raw Flow Data'!$A:$ZZ,$K$5+ROW()-26+$D$5,MATCH($B$5,'Raw Flow Data'!$1:$1,0))=-999,"",INDEX('Raw Flow Data'!$A:$ZZ,$K$5+ROW()-26+$D$5,MATCH($B$5,'Raw Flow Data'!$1:$1,0))*$C$5))),"")</f>
        <v/>
      </c>
      <c r="E26" s="24">
        <f>IFERROR(IF($B$6="","",IF($K$5+ROW()-26&gt;$K$6,"",IF(INDEX('Raw Flow Data'!$A:$ZZ,$K$5+ROW()-26+$D$6,MATCH($B$6,'Raw Flow Data'!$1:$1,0))=-999,"",INDEX('Raw Flow Data'!$A:$ZZ,$K$5+ROW()-26+$D$6,MATCH($B$6,'Raw Flow Data'!$1:$1,0))*$C$6))),"")</f>
        <v/>
      </c>
      <c r="F26" s="24">
        <f>IFERROR(IF($B$7="","",IF($K$5+ROW()-26&gt;$K$6,"",IF(INDEX('Raw Flow Data'!$A:$ZZ,$K$5+ROW()-26+$D$7,MATCH($B$7,'Raw Flow Data'!$1:$1,0))=-999,"",INDEX('Raw Flow Data'!$A:$ZZ,$K$5+ROW()-26+$D$7,MATCH($B$7,'Raw Flow Data'!$1:$1,0))*$C$7))),"")</f>
        <v/>
      </c>
      <c r="G26" s="24">
        <f>IFERROR(IF($B$8="","",IF($K$5+ROW()-26&gt;$K$6,"",IF(INDEX('Raw Flow Data'!$A:$ZZ,$K$5+ROW()-26+$D$8,MATCH($B$8,'Raw Flow Data'!$1:$1,0))=-999,"",INDEX('Raw Flow Data'!$A:$ZZ,$K$5+ROW()-26+$D$8,MATCH($B$8,'Raw Flow Data'!$1:$1,0))*$C$8))),"")</f>
        <v/>
      </c>
      <c r="H26" s="24">
        <f>IFERROR(IF($B$9="","",IF($K$5+ROW()-26&gt;$K$6,"",IF(INDEX('Raw Flow Data'!$A:$ZZ,$K$5+ROW()-26+$D$9,MATCH($B$9,'Raw Flow Data'!$1:$1,0))=-999,"",INDEX('Raw Flow Data'!$A:$ZZ,$K$5+ROW()-26+$D$9,MATCH($B$9,'Raw Flow Data'!$1:$1,0))*$C$9))),"")</f>
        <v/>
      </c>
      <c r="I26" s="24">
        <f>IFERROR(IF($B$10="","",IF($K$5+ROW()-26&gt;$K$6,"",IF(INDEX('Raw Flow Data'!$A:$ZZ,$K$5+ROW()-26+$D$10,MATCH($B$10,'Raw Flow Data'!$1:$1,0))=-999,"",INDEX('Raw Flow Data'!$A:$ZZ,$K$5+ROW()-26+$D$10,MATCH($B$10,'Raw Flow Data'!$1:$1,0))*$C$10))),"")</f>
        <v/>
      </c>
      <c r="J26" s="24">
        <f>IFERROR(IF($B$11="","",IF($K$5+ROW()-26&gt;$K$6,"",IF(INDEX('Raw Flow Data'!$A:$ZZ,$K$5+ROW()-26+$D$11,MATCH($B$11,'Raw Flow Data'!$1:$1,0))=-999,"",INDEX('Raw Flow Data'!$A:$ZZ,$K$5+ROW()-26+$D$11,MATCH($B$11,'Raw Flow Data'!$1:$1,0))*$C$11))),"")</f>
        <v/>
      </c>
      <c r="K26" s="24">
        <f>IFERROR(IF($B$12="","",IF($K$5+ROW()-26&gt;$K$6,"",IF(INDEX('Raw Flow Data'!$A:$ZZ,$K$5+ROW()-26+$D$12,MATCH($B$12,'Raw Flow Data'!$1:$1,0))=-999,"",INDEX('Raw Flow Data'!$A:$ZZ,$K$5+ROW()-26+$D$12,MATCH($B$12,'Raw Flow Data'!$1:$1,0))*$C$12))),"")</f>
        <v/>
      </c>
      <c r="L26" s="24">
        <f>IFERROR(IF($F$3="","",IF($K$5+ROW()-26&gt;$K$6,"",IF(INDEX('Raw Pressure Data'!$A:$ZZ,$K$5+ROW()-26+$H$3,MATCH($F$3,'Raw Pressure Data'!$1:$1,0))=-999,"",INDEX('Raw Pressure Data'!$A:$ZZ,$K$5+ROW()-26+$H$3,MATCH($F$3,'Raw Pressure Data'!$1:$1,0))+$G$3))),"")</f>
        <v/>
      </c>
      <c r="M26" s="24">
        <f>IFERROR(IF($F$4="","",IF($K$5+ROW()-26&gt;$K$6,"",IF(INDEX('Raw Pressure Data'!$A:$ZZ,$K$5+ROW()-26+$H$4,MATCH($F$4,'Raw Pressure Data'!$1:$1,0))=-999,"",INDEX('Raw Pressure Data'!$A:$ZZ,$K$5+ROW()-26+$H$4,MATCH($F$4,'Raw Pressure Data'!$1:$1,0))+$G$4))),"")</f>
        <v/>
      </c>
      <c r="N26" s="24">
        <f>IFERROR(IF($F$5="","",IF($K$5+ROW()-26&gt;$K$6,"",IF(INDEX('Raw Pressure Data'!$A:$ZZ,$K$5+ROW()-26+$H$5,MATCH($F$5,'Raw Pressure Data'!$1:$1,0))=-999,"",INDEX('Raw Pressure Data'!$A:$ZZ,$K$5+ROW()-26+$H$5,MATCH($F$5,'Raw Pressure Data'!$1:$1,0))+$G$5))),"")</f>
        <v/>
      </c>
      <c r="O26" s="24">
        <f>IFERROR(IF($F$6="","",IF($K$5+ROW()-26&gt;$K$6,"",IF(INDEX('Raw Pressure Data'!$A:$ZZ,$K$5+ROW()-26+$H$6,MATCH($F$6,'Raw Pressure Data'!$1:$1,0))=-999,"",INDEX('Raw Pressure Data'!$A:$ZZ,$K$5+ROW()-26+$H$6,MATCH($F$6,'Raw Pressure Data'!$1:$1,0))+$G$6))),"")</f>
        <v/>
      </c>
      <c r="P26" s="24">
        <f>IFERROR(IF($F$7="","",IF($K$5+ROW()-26&gt;$K$6,"",IF(INDEX('Raw Pressure Data'!$A:$ZZ,$K$5+ROW()-26+$H$7,MATCH($F$7,'Raw Pressure Data'!$1:$1,0))=-999,"",INDEX('Raw Pressure Data'!$A:$ZZ,$K$5+ROW()-26+$H$7,MATCH($F$7,'Raw Pressure Data'!$1:$1,0))+$G$7))),"")</f>
        <v/>
      </c>
      <c r="Q26" s="24">
        <f>IFERROR(IF($F$8="","",IF($K$5+ROW()-26&gt;$K$6,"",IF(INDEX('Raw Pressure Data'!$A:$ZZ,$K$5+ROW()-26+$H$8,MATCH($F$8,'Raw Pressure Data'!$1:$1,0))=-999,"",INDEX('Raw Pressure Data'!$A:$ZZ,$K$5+ROW()-26+$H$8,MATCH($F$8,'Raw Pressure Data'!$1:$1,0))+$G$8))),"")</f>
        <v/>
      </c>
      <c r="R26" s="24">
        <f>IFERROR(IF($F$9="","",IF($K$5+ROW()-26&gt;$K$6,"",IF(INDEX('Raw Pressure Data'!$A:$ZZ,$K$5+ROW()-26+$H$9,MATCH($F$9,'Raw Pressure Data'!$1:$1,0))=-999,"",INDEX('Raw Pressure Data'!$A:$ZZ,$K$5+ROW()-26+$H$9,MATCH($F$9,'Raw Pressure Data'!$1:$1,0))+$G$9))),"")</f>
        <v/>
      </c>
      <c r="S26" s="24">
        <f>IFERROR(IF($F$10="","",IF($K$5+ROW()-26&gt;$K$6,"",IF(INDEX('Raw Pressure Data'!$A:$ZZ,$K$5+ROW()-26+$H$10,MATCH($F$10,'Raw Pressure Data'!$1:$1,0))=-999,"",INDEX('Raw Pressure Data'!$A:$ZZ,$K$5+ROW()-26+$H$10,MATCH($F$10,'Raw Pressure Data'!$1:$1,0))+$G$10))),"")</f>
        <v/>
      </c>
      <c r="T26" s="24">
        <f>IFERROR(IF($F$11="","",IF($K$5+ROW()-26&gt;$K$6,"",IF(INDEX('Raw Pressure Data'!$A:$ZZ,$K$5+ROW()-26+$H$11,MATCH($F$11,'Raw Pressure Data'!$1:$1,0))=-999,"",INDEX('Raw Pressure Data'!$A:$ZZ,$K$5+ROW()-26+$H$11,MATCH($F$11,'Raw Pressure Data'!$1:$1,0))+$G$11))),"")</f>
        <v/>
      </c>
      <c r="U26" s="24">
        <f>IFERROR(IF($F$12="","",IF($K$5+ROW()-26&gt;$K$6,"",IF(INDEX('Raw Pressure Data'!$A:$ZZ,$K$5+ROW()-26+$H$12,MATCH($F$12,'Raw Pressure Data'!$1:$1,0))=-999,"",INDEX('Raw Pressure Data'!$A:$ZZ,$K$5+ROW()-26+$H$12,MATCH($F$12,'Raw Pressure Data'!$1:$1,0))+$G$12))),"")</f>
        <v/>
      </c>
      <c r="V26" s="24">
        <f>IFERROR(IF($F$13="","",IF($K$5+ROW()-26&gt;$K$6,"",IF(INDEX('Raw Pressure Data'!$A:$ZZ,$K$5+ROW()-26+$H$13,MATCH($F$13,'Raw Pressure Data'!$1:$1,0))=-999,"",INDEX('Raw Pressure Data'!$A:$ZZ,$K$5+ROW()-26+$H$13,MATCH($F$13,'Raw Pressure Data'!$1:$1,0))+$G$13))),"")</f>
        <v/>
      </c>
      <c r="W26" s="24">
        <f>IFERROR(IF($F$14="","",IF($K$5+ROW()-26&gt;$K$6,"",IF(INDEX('Raw Pressure Data'!$A:$ZZ,$K$5+ROW()-26+$H$14,MATCH($F$14,'Raw Pressure Data'!$1:$1,0))=-999,"",INDEX('Raw Pressure Data'!$A:$ZZ,$K$5+ROW()-26+$H$14,MATCH($F$14,'Raw Pressure Data'!$1:$1,0))+$G$14))),"")</f>
        <v/>
      </c>
      <c r="X26" s="24">
        <f>IFERROR(IF($F$15="","",IF($K$5+ROW()-26&gt;$K$6,"",IF(INDEX('Raw Pressure Data'!$A:$ZZ,$K$5+ROW()-26+$H$15,MATCH($F$15,'Raw Pressure Data'!$1:$1,0))=-999,"",INDEX('Raw Pressure Data'!$A:$ZZ,$K$5+ROW()-26+$H$15,MATCH($F$15,'Raw Pressure Data'!$1:$1,0))+$G$15))),"")</f>
        <v/>
      </c>
      <c r="Y26" s="24">
        <f>IFERROR(IF($F$16="","",IF($K$5+ROW()-26&gt;$K$6,"",IF(INDEX('Raw Pressure Data'!$A:$ZZ,$K$5+ROW()-26+$H$16,MATCH($F$16,'Raw Pressure Data'!$1:$1,0))=-999,"",INDEX('Raw Pressure Data'!$A:$ZZ,$K$5+ROW()-26+$H$16,MATCH($F$16,'Raw Pressure Data'!$1:$1,0))+$G$16))),"")</f>
        <v/>
      </c>
      <c r="Z26" s="24">
        <f>IFERROR(IF($F$17="","",IF($K$5+ROW()-26&gt;$K$6,"",IF(INDEX('Raw Pressure Data'!$A:$ZZ,$K$5+ROW()-26+$H$17,MATCH($F$17,'Raw Pressure Data'!$1:$1,0))=-999,"",INDEX('Raw Pressure Data'!$A:$ZZ,$K$5+ROW()-26+$H$17,MATCH($F$17,'Raw Pressure Data'!$1:$1,0))+$G$17))),"")</f>
        <v/>
      </c>
      <c r="AA26" s="24">
        <f>IFERROR(IF($F$18="","",IF($K$5+ROW()-26&gt;$K$6,"",IF(INDEX('Raw Pressure Data'!$A:$ZZ,$K$5+ROW()-26+$H$18,MATCH($F$18,'Raw Pressure Data'!$1:$1,0))=-999,"",INDEX('Raw Pressure Data'!$A:$ZZ,$K$5+ROW()-26+$H$18,MATCH($F$18,'Raw Pressure Data'!$1:$1,0))+$G$18))),"")</f>
        <v/>
      </c>
      <c r="AB26" s="24">
        <f>IFERROR(IF($F$19="","",IF($K$5+ROW()-26&gt;$K$6,"",IF(INDEX('Raw Pressure Data'!$A:$ZZ,$K$5+ROW()-26+$H$19,MATCH($F$19,'Raw Pressure Data'!$1:$1,0))=-999,"",INDEX('Raw Pressure Data'!$A:$ZZ,$K$5+ROW()-26+$H$19,MATCH($F$19,'Raw Pressure Data'!$1:$1,0))+$G$19))),"")</f>
        <v/>
      </c>
      <c r="AC26" s="24">
        <f>IFERROR(IF($F$20="","",IF($K$5+ROW()-26&gt;$K$6,"",IF(INDEX('Raw Pressure Data'!$A:$ZZ,$K$5+ROW()-26+$H$20,MATCH($F$20,'Raw Pressure Data'!$1:$1,0))=-999,"",INDEX('Raw Pressure Data'!$A:$ZZ,$K$5+ROW()-26+$H$20,MATCH($F$20,'Raw Pressure Data'!$1:$1,0))+$G$20))),"")</f>
        <v/>
      </c>
      <c r="AD26" s="24">
        <f>IFERROR(IF($F$21="","",IF($K$5+ROW()-26&gt;$K$6,"",IF(INDEX('Raw Pressure Data'!$A:$ZZ,$K$5+ROW()-26+$H$21,MATCH($F$21,'Raw Pressure Data'!$1:$1,0))=-999,"",INDEX('Raw Pressure Data'!$A:$ZZ,$K$5+ROW()-26+$H$21,MATCH($F$21,'Raw Pressure Data'!$1:$1,0))+$G$21))),"")</f>
        <v/>
      </c>
      <c r="AE26" s="24">
        <f>IFERROR(IF($F$22="","",IF($K$5+ROW()-26&gt;$K$6,"",IF(INDEX('Raw Pressure Data'!$A:$ZZ,$K$5+ROW()-26+$H$22,MATCH($F$22,'Raw Pressure Data'!$1:$1,0))=-999,"",INDEX('Raw Pressure Data'!$A:$ZZ,$K$5+ROW()-26+$H$22,MATCH($F$22,'Raw Pressure Data'!$1:$1,0))+$G$22))),"")</f>
        <v/>
      </c>
    </row>
    <row r="27" ht="15" customHeight="1">
      <c r="A27" s="25">
        <f>IFERROR(IF($K$5+ROW()-26&gt;$K$6,"",IF(INDEX('Raw Flow Data'!$A:$A,$K$5+ROW()-26)="","",INDEX('Raw Flow Data'!$A:$A,$K$5+ROW()-26))),"")</f>
        <v/>
      </c>
      <c r="B27" s="26">
        <f>IFERROR(IF($B$3="","",IF($K$5+ROW()-26&gt;$K$6,"",IF(INDEX('Raw Flow Data'!$A:$ZZ,$K$5+ROW()-26+$D$3,MATCH($B$3,'Raw Flow Data'!$1:$1,0))=-999,"",INDEX('Raw Flow Data'!$A:$ZZ,$K$5+ROW()-26+$D$3,MATCH($B$3,'Raw Flow Data'!$1:$1,0))*$C$3))),"")</f>
        <v/>
      </c>
      <c r="C27" s="26">
        <f>IFERROR(IF($B$4="","",IF($K$5+ROW()-26&gt;$K$6,"",IF(INDEX('Raw Flow Data'!$A:$ZZ,$K$5+ROW()-26+$D$4,MATCH($B$4,'Raw Flow Data'!$1:$1,0))=-999,"",INDEX('Raw Flow Data'!$A:$ZZ,$K$5+ROW()-26+$D$4,MATCH($B$4,'Raw Flow Data'!$1:$1,0))*$C$4))),"")</f>
        <v/>
      </c>
      <c r="D27" s="26">
        <f>IFERROR(IF($B$5="","",IF($K$5+ROW()-26&gt;$K$6,"",IF(INDEX('Raw Flow Data'!$A:$ZZ,$K$5+ROW()-26+$D$5,MATCH($B$5,'Raw Flow Data'!$1:$1,0))=-999,"",INDEX('Raw Flow Data'!$A:$ZZ,$K$5+ROW()-26+$D$5,MATCH($B$5,'Raw Flow Data'!$1:$1,0))*$C$5))),"")</f>
        <v/>
      </c>
      <c r="E27" s="26">
        <f>IFERROR(IF($B$6="","",IF($K$5+ROW()-26&gt;$K$6,"",IF(INDEX('Raw Flow Data'!$A:$ZZ,$K$5+ROW()-26+$D$6,MATCH($B$6,'Raw Flow Data'!$1:$1,0))=-999,"",INDEX('Raw Flow Data'!$A:$ZZ,$K$5+ROW()-26+$D$6,MATCH($B$6,'Raw Flow Data'!$1:$1,0))*$C$6))),"")</f>
        <v/>
      </c>
      <c r="F27" s="26">
        <f>IFERROR(IF($B$7="","",IF($K$5+ROW()-26&gt;$K$6,"",IF(INDEX('Raw Flow Data'!$A:$ZZ,$K$5+ROW()-26+$D$7,MATCH($B$7,'Raw Flow Data'!$1:$1,0))=-999,"",INDEX('Raw Flow Data'!$A:$ZZ,$K$5+ROW()-26+$D$7,MATCH($B$7,'Raw Flow Data'!$1:$1,0))*$C$7))),"")</f>
        <v/>
      </c>
      <c r="G27" s="26">
        <f>IFERROR(IF($B$8="","",IF($K$5+ROW()-26&gt;$K$6,"",IF(INDEX('Raw Flow Data'!$A:$ZZ,$K$5+ROW()-26+$D$8,MATCH($B$8,'Raw Flow Data'!$1:$1,0))=-999,"",INDEX('Raw Flow Data'!$A:$ZZ,$K$5+ROW()-26+$D$8,MATCH($B$8,'Raw Flow Data'!$1:$1,0))*$C$8))),"")</f>
        <v/>
      </c>
      <c r="H27" s="26">
        <f>IFERROR(IF($B$9="","",IF($K$5+ROW()-26&gt;$K$6,"",IF(INDEX('Raw Flow Data'!$A:$ZZ,$K$5+ROW()-26+$D$9,MATCH($B$9,'Raw Flow Data'!$1:$1,0))=-999,"",INDEX('Raw Flow Data'!$A:$ZZ,$K$5+ROW()-26+$D$9,MATCH($B$9,'Raw Flow Data'!$1:$1,0))*$C$9))),"")</f>
        <v/>
      </c>
      <c r="I27" s="26">
        <f>IFERROR(IF($B$10="","",IF($K$5+ROW()-26&gt;$K$6,"",IF(INDEX('Raw Flow Data'!$A:$ZZ,$K$5+ROW()-26+$D$10,MATCH($B$10,'Raw Flow Data'!$1:$1,0))=-999,"",INDEX('Raw Flow Data'!$A:$ZZ,$K$5+ROW()-26+$D$10,MATCH($B$10,'Raw Flow Data'!$1:$1,0))*$C$10))),"")</f>
        <v/>
      </c>
      <c r="J27" s="26">
        <f>IFERROR(IF($B$11="","",IF($K$5+ROW()-26&gt;$K$6,"",IF(INDEX('Raw Flow Data'!$A:$ZZ,$K$5+ROW()-26+$D$11,MATCH($B$11,'Raw Flow Data'!$1:$1,0))=-999,"",INDEX('Raw Flow Data'!$A:$ZZ,$K$5+ROW()-26+$D$11,MATCH($B$11,'Raw Flow Data'!$1:$1,0))*$C$11))),"")</f>
        <v/>
      </c>
      <c r="K27" s="26">
        <f>IFERROR(IF($B$12="","",IF($K$5+ROW()-26&gt;$K$6,"",IF(INDEX('Raw Flow Data'!$A:$ZZ,$K$5+ROW()-26+$D$12,MATCH($B$12,'Raw Flow Data'!$1:$1,0))=-999,"",INDEX('Raw Flow Data'!$A:$ZZ,$K$5+ROW()-26+$D$12,MATCH($B$12,'Raw Flow Data'!$1:$1,0))*$C$12))),"")</f>
        <v/>
      </c>
      <c r="L27" s="26">
        <f>IFERROR(IF($F$3="","",IF($K$5+ROW()-26&gt;$K$6,"",IF(INDEX('Raw Pressure Data'!$A:$ZZ,$K$5+ROW()-26+$H$3,MATCH($F$3,'Raw Pressure Data'!$1:$1,0))=-999,"",INDEX('Raw Pressure Data'!$A:$ZZ,$K$5+ROW()-26+$H$3,MATCH($F$3,'Raw Pressure Data'!$1:$1,0))+$G$3))),"")</f>
        <v/>
      </c>
      <c r="M27" s="26">
        <f>IFERROR(IF($F$4="","",IF($K$5+ROW()-26&gt;$K$6,"",IF(INDEX('Raw Pressure Data'!$A:$ZZ,$K$5+ROW()-26+$H$4,MATCH($F$4,'Raw Pressure Data'!$1:$1,0))=-999,"",INDEX('Raw Pressure Data'!$A:$ZZ,$K$5+ROW()-26+$H$4,MATCH($F$4,'Raw Pressure Data'!$1:$1,0))+$G$4))),"")</f>
        <v/>
      </c>
      <c r="N27" s="26">
        <f>IFERROR(IF($F$5="","",IF($K$5+ROW()-26&gt;$K$6,"",IF(INDEX('Raw Pressure Data'!$A:$ZZ,$K$5+ROW()-26+$H$5,MATCH($F$5,'Raw Pressure Data'!$1:$1,0))=-999,"",INDEX('Raw Pressure Data'!$A:$ZZ,$K$5+ROW()-26+$H$5,MATCH($F$5,'Raw Pressure Data'!$1:$1,0))+$G$5))),"")</f>
        <v/>
      </c>
      <c r="O27" s="26">
        <f>IFERROR(IF($F$6="","",IF($K$5+ROW()-26&gt;$K$6,"",IF(INDEX('Raw Pressure Data'!$A:$ZZ,$K$5+ROW()-26+$H$6,MATCH($F$6,'Raw Pressure Data'!$1:$1,0))=-999,"",INDEX('Raw Pressure Data'!$A:$ZZ,$K$5+ROW()-26+$H$6,MATCH($F$6,'Raw Pressure Data'!$1:$1,0))+$G$6))),"")</f>
        <v/>
      </c>
      <c r="P27" s="26">
        <f>IFERROR(IF($F$7="","",IF($K$5+ROW()-26&gt;$K$6,"",IF(INDEX('Raw Pressure Data'!$A:$ZZ,$K$5+ROW()-26+$H$7,MATCH($F$7,'Raw Pressure Data'!$1:$1,0))=-999,"",INDEX('Raw Pressure Data'!$A:$ZZ,$K$5+ROW()-26+$H$7,MATCH($F$7,'Raw Pressure Data'!$1:$1,0))+$G$7))),"")</f>
        <v/>
      </c>
      <c r="Q27" s="26">
        <f>IFERROR(IF($F$8="","",IF($K$5+ROW()-26&gt;$K$6,"",IF(INDEX('Raw Pressure Data'!$A:$ZZ,$K$5+ROW()-26+$H$8,MATCH($F$8,'Raw Pressure Data'!$1:$1,0))=-999,"",INDEX('Raw Pressure Data'!$A:$ZZ,$K$5+ROW()-26+$H$8,MATCH($F$8,'Raw Pressure Data'!$1:$1,0))+$G$8))),"")</f>
        <v/>
      </c>
      <c r="R27" s="26">
        <f>IFERROR(IF($F$9="","",IF($K$5+ROW()-26&gt;$K$6,"",IF(INDEX('Raw Pressure Data'!$A:$ZZ,$K$5+ROW()-26+$H$9,MATCH($F$9,'Raw Pressure Data'!$1:$1,0))=-999,"",INDEX('Raw Pressure Data'!$A:$ZZ,$K$5+ROW()-26+$H$9,MATCH($F$9,'Raw Pressure Data'!$1:$1,0))+$G$9))),"")</f>
        <v/>
      </c>
      <c r="S27" s="26">
        <f>IFERROR(IF($F$10="","",IF($K$5+ROW()-26&gt;$K$6,"",IF(INDEX('Raw Pressure Data'!$A:$ZZ,$K$5+ROW()-26+$H$10,MATCH($F$10,'Raw Pressure Data'!$1:$1,0))=-999,"",INDEX('Raw Pressure Data'!$A:$ZZ,$K$5+ROW()-26+$H$10,MATCH($F$10,'Raw Pressure Data'!$1:$1,0))+$G$10))),"")</f>
        <v/>
      </c>
      <c r="T27" s="26">
        <f>IFERROR(IF($F$11="","",IF($K$5+ROW()-26&gt;$K$6,"",IF(INDEX('Raw Pressure Data'!$A:$ZZ,$K$5+ROW()-26+$H$11,MATCH($F$11,'Raw Pressure Data'!$1:$1,0))=-999,"",INDEX('Raw Pressure Data'!$A:$ZZ,$K$5+ROW()-26+$H$11,MATCH($F$11,'Raw Pressure Data'!$1:$1,0))+$G$11))),"")</f>
        <v/>
      </c>
      <c r="U27" s="26">
        <f>IFERROR(IF($F$12="","",IF($K$5+ROW()-26&gt;$K$6,"",IF(INDEX('Raw Pressure Data'!$A:$ZZ,$K$5+ROW()-26+$H$12,MATCH($F$12,'Raw Pressure Data'!$1:$1,0))=-999,"",INDEX('Raw Pressure Data'!$A:$ZZ,$K$5+ROW()-26+$H$12,MATCH($F$12,'Raw Pressure Data'!$1:$1,0))+$G$12))),"")</f>
        <v/>
      </c>
      <c r="V27" s="26">
        <f>IFERROR(IF($F$13="","",IF($K$5+ROW()-26&gt;$K$6,"",IF(INDEX('Raw Pressure Data'!$A:$ZZ,$K$5+ROW()-26+$H$13,MATCH($F$13,'Raw Pressure Data'!$1:$1,0))=-999,"",INDEX('Raw Pressure Data'!$A:$ZZ,$K$5+ROW()-26+$H$13,MATCH($F$13,'Raw Pressure Data'!$1:$1,0))+$G$13))),"")</f>
        <v/>
      </c>
      <c r="W27" s="26">
        <f>IFERROR(IF($F$14="","",IF($K$5+ROW()-26&gt;$K$6,"",IF(INDEX('Raw Pressure Data'!$A:$ZZ,$K$5+ROW()-26+$H$14,MATCH($F$14,'Raw Pressure Data'!$1:$1,0))=-999,"",INDEX('Raw Pressure Data'!$A:$ZZ,$K$5+ROW()-26+$H$14,MATCH($F$14,'Raw Pressure Data'!$1:$1,0))+$G$14))),"")</f>
        <v/>
      </c>
      <c r="X27" s="26">
        <f>IFERROR(IF($F$15="","",IF($K$5+ROW()-26&gt;$K$6,"",IF(INDEX('Raw Pressure Data'!$A:$ZZ,$K$5+ROW()-26+$H$15,MATCH($F$15,'Raw Pressure Data'!$1:$1,0))=-999,"",INDEX('Raw Pressure Data'!$A:$ZZ,$K$5+ROW()-26+$H$15,MATCH($F$15,'Raw Pressure Data'!$1:$1,0))+$G$15))),"")</f>
        <v/>
      </c>
      <c r="Y27" s="26">
        <f>IFERROR(IF($F$16="","",IF($K$5+ROW()-26&gt;$K$6,"",IF(INDEX('Raw Pressure Data'!$A:$ZZ,$K$5+ROW()-26+$H$16,MATCH($F$16,'Raw Pressure Data'!$1:$1,0))=-999,"",INDEX('Raw Pressure Data'!$A:$ZZ,$K$5+ROW()-26+$H$16,MATCH($F$16,'Raw Pressure Data'!$1:$1,0))+$G$16))),"")</f>
        <v/>
      </c>
      <c r="Z27" s="26">
        <f>IFERROR(IF($F$17="","",IF($K$5+ROW()-26&gt;$K$6,"",IF(INDEX('Raw Pressure Data'!$A:$ZZ,$K$5+ROW()-26+$H$17,MATCH($F$17,'Raw Pressure Data'!$1:$1,0))=-999,"",INDEX('Raw Pressure Data'!$A:$ZZ,$K$5+ROW()-26+$H$17,MATCH($F$17,'Raw Pressure Data'!$1:$1,0))+$G$17))),"")</f>
        <v/>
      </c>
      <c r="AA27" s="26">
        <f>IFERROR(IF($F$18="","",IF($K$5+ROW()-26&gt;$K$6,"",IF(INDEX('Raw Pressure Data'!$A:$ZZ,$K$5+ROW()-26+$H$18,MATCH($F$18,'Raw Pressure Data'!$1:$1,0))=-999,"",INDEX('Raw Pressure Data'!$A:$ZZ,$K$5+ROW()-26+$H$18,MATCH($F$18,'Raw Pressure Data'!$1:$1,0))+$G$18))),"")</f>
        <v/>
      </c>
      <c r="AB27" s="26">
        <f>IFERROR(IF($F$19="","",IF($K$5+ROW()-26&gt;$K$6,"",IF(INDEX('Raw Pressure Data'!$A:$ZZ,$K$5+ROW()-26+$H$19,MATCH($F$19,'Raw Pressure Data'!$1:$1,0))=-999,"",INDEX('Raw Pressure Data'!$A:$ZZ,$K$5+ROW()-26+$H$19,MATCH($F$19,'Raw Pressure Data'!$1:$1,0))+$G$19))),"")</f>
        <v/>
      </c>
      <c r="AC27" s="26">
        <f>IFERROR(IF($F$20="","",IF($K$5+ROW()-26&gt;$K$6,"",IF(INDEX('Raw Pressure Data'!$A:$ZZ,$K$5+ROW()-26+$H$20,MATCH($F$20,'Raw Pressure Data'!$1:$1,0))=-999,"",INDEX('Raw Pressure Data'!$A:$ZZ,$K$5+ROW()-26+$H$20,MATCH($F$20,'Raw Pressure Data'!$1:$1,0))+$G$20))),"")</f>
        <v/>
      </c>
      <c r="AD27" s="26">
        <f>IFERROR(IF($F$21="","",IF($K$5+ROW()-26&gt;$K$6,"",IF(INDEX('Raw Pressure Data'!$A:$ZZ,$K$5+ROW()-26+$H$21,MATCH($F$21,'Raw Pressure Data'!$1:$1,0))=-999,"",INDEX('Raw Pressure Data'!$A:$ZZ,$K$5+ROW()-26+$H$21,MATCH($F$21,'Raw Pressure Data'!$1:$1,0))+$G$21))),"")</f>
        <v/>
      </c>
      <c r="AE27" s="26">
        <f>IFERROR(IF($F$22="","",IF($K$5+ROW()-26&gt;$K$6,"",IF(INDEX('Raw Pressure Data'!$A:$ZZ,$K$5+ROW()-26+$H$22,MATCH($F$22,'Raw Pressure Data'!$1:$1,0))=-999,"",INDEX('Raw Pressure Data'!$A:$ZZ,$K$5+ROW()-26+$H$22,MATCH($F$22,'Raw Pressure Data'!$1:$1,0))+$G$22))),"")</f>
        <v/>
      </c>
    </row>
    <row r="28" ht="15" customHeight="1">
      <c r="A28" s="23">
        <f>IFERROR(IF($K$5+ROW()-26&gt;$K$6,"",IF(INDEX('Raw Flow Data'!$A:$A,$K$5+ROW()-26)="","",INDEX('Raw Flow Data'!$A:$A,$K$5+ROW()-26))),"")</f>
        <v/>
      </c>
      <c r="B28" s="24">
        <f>IFERROR(IF($B$3="","",IF($K$5+ROW()-26&gt;$K$6,"",IF(INDEX('Raw Flow Data'!$A:$ZZ,$K$5+ROW()-26+$D$3,MATCH($B$3,'Raw Flow Data'!$1:$1,0))=-999,"",INDEX('Raw Flow Data'!$A:$ZZ,$K$5+ROW()-26+$D$3,MATCH($B$3,'Raw Flow Data'!$1:$1,0))*$C$3))),"")</f>
        <v/>
      </c>
      <c r="C28" s="24">
        <f>IFERROR(IF($B$4="","",IF($K$5+ROW()-26&gt;$K$6,"",IF(INDEX('Raw Flow Data'!$A:$ZZ,$K$5+ROW()-26+$D$4,MATCH($B$4,'Raw Flow Data'!$1:$1,0))=-999,"",INDEX('Raw Flow Data'!$A:$ZZ,$K$5+ROW()-26+$D$4,MATCH($B$4,'Raw Flow Data'!$1:$1,0))*$C$4))),"")</f>
        <v/>
      </c>
      <c r="D28" s="24">
        <f>IFERROR(IF($B$5="","",IF($K$5+ROW()-26&gt;$K$6,"",IF(INDEX('Raw Flow Data'!$A:$ZZ,$K$5+ROW()-26+$D$5,MATCH($B$5,'Raw Flow Data'!$1:$1,0))=-999,"",INDEX('Raw Flow Data'!$A:$ZZ,$K$5+ROW()-26+$D$5,MATCH($B$5,'Raw Flow Data'!$1:$1,0))*$C$5))),"")</f>
        <v/>
      </c>
      <c r="E28" s="24">
        <f>IFERROR(IF($B$6="","",IF($K$5+ROW()-26&gt;$K$6,"",IF(INDEX('Raw Flow Data'!$A:$ZZ,$K$5+ROW()-26+$D$6,MATCH($B$6,'Raw Flow Data'!$1:$1,0))=-999,"",INDEX('Raw Flow Data'!$A:$ZZ,$K$5+ROW()-26+$D$6,MATCH($B$6,'Raw Flow Data'!$1:$1,0))*$C$6))),"")</f>
        <v/>
      </c>
      <c r="F28" s="24">
        <f>IFERROR(IF($B$7="","",IF($K$5+ROW()-26&gt;$K$6,"",IF(INDEX('Raw Flow Data'!$A:$ZZ,$K$5+ROW()-26+$D$7,MATCH($B$7,'Raw Flow Data'!$1:$1,0))=-999,"",INDEX('Raw Flow Data'!$A:$ZZ,$K$5+ROW()-26+$D$7,MATCH($B$7,'Raw Flow Data'!$1:$1,0))*$C$7))),"")</f>
        <v/>
      </c>
      <c r="G28" s="24">
        <f>IFERROR(IF($B$8="","",IF($K$5+ROW()-26&gt;$K$6,"",IF(INDEX('Raw Flow Data'!$A:$ZZ,$K$5+ROW()-26+$D$8,MATCH($B$8,'Raw Flow Data'!$1:$1,0))=-999,"",INDEX('Raw Flow Data'!$A:$ZZ,$K$5+ROW()-26+$D$8,MATCH($B$8,'Raw Flow Data'!$1:$1,0))*$C$8))),"")</f>
        <v/>
      </c>
      <c r="H28" s="24">
        <f>IFERROR(IF($B$9="","",IF($K$5+ROW()-26&gt;$K$6,"",IF(INDEX('Raw Flow Data'!$A:$ZZ,$K$5+ROW()-26+$D$9,MATCH($B$9,'Raw Flow Data'!$1:$1,0))=-999,"",INDEX('Raw Flow Data'!$A:$ZZ,$K$5+ROW()-26+$D$9,MATCH($B$9,'Raw Flow Data'!$1:$1,0))*$C$9))),"")</f>
        <v/>
      </c>
      <c r="I28" s="24">
        <f>IFERROR(IF($B$10="","",IF($K$5+ROW()-26&gt;$K$6,"",IF(INDEX('Raw Flow Data'!$A:$ZZ,$K$5+ROW()-26+$D$10,MATCH($B$10,'Raw Flow Data'!$1:$1,0))=-999,"",INDEX('Raw Flow Data'!$A:$ZZ,$K$5+ROW()-26+$D$10,MATCH($B$10,'Raw Flow Data'!$1:$1,0))*$C$10))),"")</f>
        <v/>
      </c>
      <c r="J28" s="24">
        <f>IFERROR(IF($B$11="","",IF($K$5+ROW()-26&gt;$K$6,"",IF(INDEX('Raw Flow Data'!$A:$ZZ,$K$5+ROW()-26+$D$11,MATCH($B$11,'Raw Flow Data'!$1:$1,0))=-999,"",INDEX('Raw Flow Data'!$A:$ZZ,$K$5+ROW()-26+$D$11,MATCH($B$11,'Raw Flow Data'!$1:$1,0))*$C$11))),"")</f>
        <v/>
      </c>
      <c r="K28" s="24">
        <f>IFERROR(IF($B$12="","",IF($K$5+ROW()-26&gt;$K$6,"",IF(INDEX('Raw Flow Data'!$A:$ZZ,$K$5+ROW()-26+$D$12,MATCH($B$12,'Raw Flow Data'!$1:$1,0))=-999,"",INDEX('Raw Flow Data'!$A:$ZZ,$K$5+ROW()-26+$D$12,MATCH($B$12,'Raw Flow Data'!$1:$1,0))*$C$12))),"")</f>
        <v/>
      </c>
      <c r="L28" s="24">
        <f>IFERROR(IF($F$3="","",IF($K$5+ROW()-26&gt;$K$6,"",IF(INDEX('Raw Pressure Data'!$A:$ZZ,$K$5+ROW()-26+$H$3,MATCH($F$3,'Raw Pressure Data'!$1:$1,0))=-999,"",INDEX('Raw Pressure Data'!$A:$ZZ,$K$5+ROW()-26+$H$3,MATCH($F$3,'Raw Pressure Data'!$1:$1,0))+$G$3))),"")</f>
        <v/>
      </c>
      <c r="M28" s="24">
        <f>IFERROR(IF($F$4="","",IF($K$5+ROW()-26&gt;$K$6,"",IF(INDEX('Raw Pressure Data'!$A:$ZZ,$K$5+ROW()-26+$H$4,MATCH($F$4,'Raw Pressure Data'!$1:$1,0))=-999,"",INDEX('Raw Pressure Data'!$A:$ZZ,$K$5+ROW()-26+$H$4,MATCH($F$4,'Raw Pressure Data'!$1:$1,0))+$G$4))),"")</f>
        <v/>
      </c>
      <c r="N28" s="24">
        <f>IFERROR(IF($F$5="","",IF($K$5+ROW()-26&gt;$K$6,"",IF(INDEX('Raw Pressure Data'!$A:$ZZ,$K$5+ROW()-26+$H$5,MATCH($F$5,'Raw Pressure Data'!$1:$1,0))=-999,"",INDEX('Raw Pressure Data'!$A:$ZZ,$K$5+ROW()-26+$H$5,MATCH($F$5,'Raw Pressure Data'!$1:$1,0))+$G$5))),"")</f>
        <v/>
      </c>
      <c r="O28" s="24">
        <f>IFERROR(IF($F$6="","",IF($K$5+ROW()-26&gt;$K$6,"",IF(INDEX('Raw Pressure Data'!$A:$ZZ,$K$5+ROW()-26+$H$6,MATCH($F$6,'Raw Pressure Data'!$1:$1,0))=-999,"",INDEX('Raw Pressure Data'!$A:$ZZ,$K$5+ROW()-26+$H$6,MATCH($F$6,'Raw Pressure Data'!$1:$1,0))+$G$6))),"")</f>
        <v/>
      </c>
      <c r="P28" s="24">
        <f>IFERROR(IF($F$7="","",IF($K$5+ROW()-26&gt;$K$6,"",IF(INDEX('Raw Pressure Data'!$A:$ZZ,$K$5+ROW()-26+$H$7,MATCH($F$7,'Raw Pressure Data'!$1:$1,0))=-999,"",INDEX('Raw Pressure Data'!$A:$ZZ,$K$5+ROW()-26+$H$7,MATCH($F$7,'Raw Pressure Data'!$1:$1,0))+$G$7))),"")</f>
        <v/>
      </c>
      <c r="Q28" s="24">
        <f>IFERROR(IF($F$8="","",IF($K$5+ROW()-26&gt;$K$6,"",IF(INDEX('Raw Pressure Data'!$A:$ZZ,$K$5+ROW()-26+$H$8,MATCH($F$8,'Raw Pressure Data'!$1:$1,0))=-999,"",INDEX('Raw Pressure Data'!$A:$ZZ,$K$5+ROW()-26+$H$8,MATCH($F$8,'Raw Pressure Data'!$1:$1,0))+$G$8))),"")</f>
        <v/>
      </c>
      <c r="R28" s="24">
        <f>IFERROR(IF($F$9="","",IF($K$5+ROW()-26&gt;$K$6,"",IF(INDEX('Raw Pressure Data'!$A:$ZZ,$K$5+ROW()-26+$H$9,MATCH($F$9,'Raw Pressure Data'!$1:$1,0))=-999,"",INDEX('Raw Pressure Data'!$A:$ZZ,$K$5+ROW()-26+$H$9,MATCH($F$9,'Raw Pressure Data'!$1:$1,0))+$G$9))),"")</f>
        <v/>
      </c>
      <c r="S28" s="24">
        <f>IFERROR(IF($F$10="","",IF($K$5+ROW()-26&gt;$K$6,"",IF(INDEX('Raw Pressure Data'!$A:$ZZ,$K$5+ROW()-26+$H$10,MATCH($F$10,'Raw Pressure Data'!$1:$1,0))=-999,"",INDEX('Raw Pressure Data'!$A:$ZZ,$K$5+ROW()-26+$H$10,MATCH($F$10,'Raw Pressure Data'!$1:$1,0))+$G$10))),"")</f>
        <v/>
      </c>
      <c r="T28" s="24">
        <f>IFERROR(IF($F$11="","",IF($K$5+ROW()-26&gt;$K$6,"",IF(INDEX('Raw Pressure Data'!$A:$ZZ,$K$5+ROW()-26+$H$11,MATCH($F$11,'Raw Pressure Data'!$1:$1,0))=-999,"",INDEX('Raw Pressure Data'!$A:$ZZ,$K$5+ROW()-26+$H$11,MATCH($F$11,'Raw Pressure Data'!$1:$1,0))+$G$11))),"")</f>
        <v/>
      </c>
      <c r="U28" s="24">
        <f>IFERROR(IF($F$12="","",IF($K$5+ROW()-26&gt;$K$6,"",IF(INDEX('Raw Pressure Data'!$A:$ZZ,$K$5+ROW()-26+$H$12,MATCH($F$12,'Raw Pressure Data'!$1:$1,0))=-999,"",INDEX('Raw Pressure Data'!$A:$ZZ,$K$5+ROW()-26+$H$12,MATCH($F$12,'Raw Pressure Data'!$1:$1,0))+$G$12))),"")</f>
        <v/>
      </c>
      <c r="V28" s="24">
        <f>IFERROR(IF($F$13="","",IF($K$5+ROW()-26&gt;$K$6,"",IF(INDEX('Raw Pressure Data'!$A:$ZZ,$K$5+ROW()-26+$H$13,MATCH($F$13,'Raw Pressure Data'!$1:$1,0))=-999,"",INDEX('Raw Pressure Data'!$A:$ZZ,$K$5+ROW()-26+$H$13,MATCH($F$13,'Raw Pressure Data'!$1:$1,0))+$G$13))),"")</f>
        <v/>
      </c>
      <c r="W28" s="24">
        <f>IFERROR(IF($F$14="","",IF($K$5+ROW()-26&gt;$K$6,"",IF(INDEX('Raw Pressure Data'!$A:$ZZ,$K$5+ROW()-26+$H$14,MATCH($F$14,'Raw Pressure Data'!$1:$1,0))=-999,"",INDEX('Raw Pressure Data'!$A:$ZZ,$K$5+ROW()-26+$H$14,MATCH($F$14,'Raw Pressure Data'!$1:$1,0))+$G$14))),"")</f>
        <v/>
      </c>
      <c r="X28" s="24">
        <f>IFERROR(IF($F$15="","",IF($K$5+ROW()-26&gt;$K$6,"",IF(INDEX('Raw Pressure Data'!$A:$ZZ,$K$5+ROW()-26+$H$15,MATCH($F$15,'Raw Pressure Data'!$1:$1,0))=-999,"",INDEX('Raw Pressure Data'!$A:$ZZ,$K$5+ROW()-26+$H$15,MATCH($F$15,'Raw Pressure Data'!$1:$1,0))+$G$15))),"")</f>
        <v/>
      </c>
      <c r="Y28" s="24">
        <f>IFERROR(IF($F$16="","",IF($K$5+ROW()-26&gt;$K$6,"",IF(INDEX('Raw Pressure Data'!$A:$ZZ,$K$5+ROW()-26+$H$16,MATCH($F$16,'Raw Pressure Data'!$1:$1,0))=-999,"",INDEX('Raw Pressure Data'!$A:$ZZ,$K$5+ROW()-26+$H$16,MATCH($F$16,'Raw Pressure Data'!$1:$1,0))+$G$16))),"")</f>
        <v/>
      </c>
      <c r="Z28" s="24">
        <f>IFERROR(IF($F$17="","",IF($K$5+ROW()-26&gt;$K$6,"",IF(INDEX('Raw Pressure Data'!$A:$ZZ,$K$5+ROW()-26+$H$17,MATCH($F$17,'Raw Pressure Data'!$1:$1,0))=-999,"",INDEX('Raw Pressure Data'!$A:$ZZ,$K$5+ROW()-26+$H$17,MATCH($F$17,'Raw Pressure Data'!$1:$1,0))+$G$17))),"")</f>
        <v/>
      </c>
      <c r="AA28" s="24">
        <f>IFERROR(IF($F$18="","",IF($K$5+ROW()-26&gt;$K$6,"",IF(INDEX('Raw Pressure Data'!$A:$ZZ,$K$5+ROW()-26+$H$18,MATCH($F$18,'Raw Pressure Data'!$1:$1,0))=-999,"",INDEX('Raw Pressure Data'!$A:$ZZ,$K$5+ROW()-26+$H$18,MATCH($F$18,'Raw Pressure Data'!$1:$1,0))+$G$18))),"")</f>
        <v/>
      </c>
      <c r="AB28" s="24">
        <f>IFERROR(IF($F$19="","",IF($K$5+ROW()-26&gt;$K$6,"",IF(INDEX('Raw Pressure Data'!$A:$ZZ,$K$5+ROW()-26+$H$19,MATCH($F$19,'Raw Pressure Data'!$1:$1,0))=-999,"",INDEX('Raw Pressure Data'!$A:$ZZ,$K$5+ROW()-26+$H$19,MATCH($F$19,'Raw Pressure Data'!$1:$1,0))+$G$19))),"")</f>
        <v/>
      </c>
      <c r="AC28" s="24">
        <f>IFERROR(IF($F$20="","",IF($K$5+ROW()-26&gt;$K$6,"",IF(INDEX('Raw Pressure Data'!$A:$ZZ,$K$5+ROW()-26+$H$20,MATCH($F$20,'Raw Pressure Data'!$1:$1,0))=-999,"",INDEX('Raw Pressure Data'!$A:$ZZ,$K$5+ROW()-26+$H$20,MATCH($F$20,'Raw Pressure Data'!$1:$1,0))+$G$20))),"")</f>
        <v/>
      </c>
      <c r="AD28" s="24">
        <f>IFERROR(IF($F$21="","",IF($K$5+ROW()-26&gt;$K$6,"",IF(INDEX('Raw Pressure Data'!$A:$ZZ,$K$5+ROW()-26+$H$21,MATCH($F$21,'Raw Pressure Data'!$1:$1,0))=-999,"",INDEX('Raw Pressure Data'!$A:$ZZ,$K$5+ROW()-26+$H$21,MATCH($F$21,'Raw Pressure Data'!$1:$1,0))+$G$21))),"")</f>
        <v/>
      </c>
      <c r="AE28" s="24">
        <f>IFERROR(IF($F$22="","",IF($K$5+ROW()-26&gt;$K$6,"",IF(INDEX('Raw Pressure Data'!$A:$ZZ,$K$5+ROW()-26+$H$22,MATCH($F$22,'Raw Pressure Data'!$1:$1,0))=-999,"",INDEX('Raw Pressure Data'!$A:$ZZ,$K$5+ROW()-26+$H$22,MATCH($F$22,'Raw Pressure Data'!$1:$1,0))+$G$22))),"")</f>
        <v/>
      </c>
    </row>
    <row r="29" ht="15" customHeight="1">
      <c r="A29" s="25">
        <f>IFERROR(IF($K$5+ROW()-26&gt;$K$6,"",IF(INDEX('Raw Flow Data'!$A:$A,$K$5+ROW()-26)="","",INDEX('Raw Flow Data'!$A:$A,$K$5+ROW()-26))),"")</f>
        <v/>
      </c>
      <c r="B29" s="26">
        <f>IFERROR(IF($B$3="","",IF($K$5+ROW()-26&gt;$K$6,"",IF(INDEX('Raw Flow Data'!$A:$ZZ,$K$5+ROW()-26+$D$3,MATCH($B$3,'Raw Flow Data'!$1:$1,0))=-999,"",INDEX('Raw Flow Data'!$A:$ZZ,$K$5+ROW()-26+$D$3,MATCH($B$3,'Raw Flow Data'!$1:$1,0))*$C$3))),"")</f>
        <v/>
      </c>
      <c r="C29" s="26">
        <f>IFERROR(IF($B$4="","",IF($K$5+ROW()-26&gt;$K$6,"",IF(INDEX('Raw Flow Data'!$A:$ZZ,$K$5+ROW()-26+$D$4,MATCH($B$4,'Raw Flow Data'!$1:$1,0))=-999,"",INDEX('Raw Flow Data'!$A:$ZZ,$K$5+ROW()-26+$D$4,MATCH($B$4,'Raw Flow Data'!$1:$1,0))*$C$4))),"")</f>
        <v/>
      </c>
      <c r="D29" s="26">
        <f>IFERROR(IF($B$5="","",IF($K$5+ROW()-26&gt;$K$6,"",IF(INDEX('Raw Flow Data'!$A:$ZZ,$K$5+ROW()-26+$D$5,MATCH($B$5,'Raw Flow Data'!$1:$1,0))=-999,"",INDEX('Raw Flow Data'!$A:$ZZ,$K$5+ROW()-26+$D$5,MATCH($B$5,'Raw Flow Data'!$1:$1,0))*$C$5))),"")</f>
        <v/>
      </c>
      <c r="E29" s="26">
        <f>IFERROR(IF($B$6="","",IF($K$5+ROW()-26&gt;$K$6,"",IF(INDEX('Raw Flow Data'!$A:$ZZ,$K$5+ROW()-26+$D$6,MATCH($B$6,'Raw Flow Data'!$1:$1,0))=-999,"",INDEX('Raw Flow Data'!$A:$ZZ,$K$5+ROW()-26+$D$6,MATCH($B$6,'Raw Flow Data'!$1:$1,0))*$C$6))),"")</f>
        <v/>
      </c>
      <c r="F29" s="26">
        <f>IFERROR(IF($B$7="","",IF($K$5+ROW()-26&gt;$K$6,"",IF(INDEX('Raw Flow Data'!$A:$ZZ,$K$5+ROW()-26+$D$7,MATCH($B$7,'Raw Flow Data'!$1:$1,0))=-999,"",INDEX('Raw Flow Data'!$A:$ZZ,$K$5+ROW()-26+$D$7,MATCH($B$7,'Raw Flow Data'!$1:$1,0))*$C$7))),"")</f>
        <v/>
      </c>
      <c r="G29" s="26">
        <f>IFERROR(IF($B$8="","",IF($K$5+ROW()-26&gt;$K$6,"",IF(INDEX('Raw Flow Data'!$A:$ZZ,$K$5+ROW()-26+$D$8,MATCH($B$8,'Raw Flow Data'!$1:$1,0))=-999,"",INDEX('Raw Flow Data'!$A:$ZZ,$K$5+ROW()-26+$D$8,MATCH($B$8,'Raw Flow Data'!$1:$1,0))*$C$8))),"")</f>
        <v/>
      </c>
      <c r="H29" s="26">
        <f>IFERROR(IF($B$9="","",IF($K$5+ROW()-26&gt;$K$6,"",IF(INDEX('Raw Flow Data'!$A:$ZZ,$K$5+ROW()-26+$D$9,MATCH($B$9,'Raw Flow Data'!$1:$1,0))=-999,"",INDEX('Raw Flow Data'!$A:$ZZ,$K$5+ROW()-26+$D$9,MATCH($B$9,'Raw Flow Data'!$1:$1,0))*$C$9))),"")</f>
        <v/>
      </c>
      <c r="I29" s="26">
        <f>IFERROR(IF($B$10="","",IF($K$5+ROW()-26&gt;$K$6,"",IF(INDEX('Raw Flow Data'!$A:$ZZ,$K$5+ROW()-26+$D$10,MATCH($B$10,'Raw Flow Data'!$1:$1,0))=-999,"",INDEX('Raw Flow Data'!$A:$ZZ,$K$5+ROW()-26+$D$10,MATCH($B$10,'Raw Flow Data'!$1:$1,0))*$C$10))),"")</f>
        <v/>
      </c>
      <c r="J29" s="26">
        <f>IFERROR(IF($B$11="","",IF($K$5+ROW()-26&gt;$K$6,"",IF(INDEX('Raw Flow Data'!$A:$ZZ,$K$5+ROW()-26+$D$11,MATCH($B$11,'Raw Flow Data'!$1:$1,0))=-999,"",INDEX('Raw Flow Data'!$A:$ZZ,$K$5+ROW()-26+$D$11,MATCH($B$11,'Raw Flow Data'!$1:$1,0))*$C$11))),"")</f>
        <v/>
      </c>
      <c r="K29" s="26">
        <f>IFERROR(IF($B$12="","",IF($K$5+ROW()-26&gt;$K$6,"",IF(INDEX('Raw Flow Data'!$A:$ZZ,$K$5+ROW()-26+$D$12,MATCH($B$12,'Raw Flow Data'!$1:$1,0))=-999,"",INDEX('Raw Flow Data'!$A:$ZZ,$K$5+ROW()-26+$D$12,MATCH($B$12,'Raw Flow Data'!$1:$1,0))*$C$12))),"")</f>
        <v/>
      </c>
      <c r="L29" s="26">
        <f>IFERROR(IF($F$3="","",IF($K$5+ROW()-26&gt;$K$6,"",IF(INDEX('Raw Pressure Data'!$A:$ZZ,$K$5+ROW()-26+$H$3,MATCH($F$3,'Raw Pressure Data'!$1:$1,0))=-999,"",INDEX('Raw Pressure Data'!$A:$ZZ,$K$5+ROW()-26+$H$3,MATCH($F$3,'Raw Pressure Data'!$1:$1,0))+$G$3))),"")</f>
        <v/>
      </c>
      <c r="M29" s="26">
        <f>IFERROR(IF($F$4="","",IF($K$5+ROW()-26&gt;$K$6,"",IF(INDEX('Raw Pressure Data'!$A:$ZZ,$K$5+ROW()-26+$H$4,MATCH($F$4,'Raw Pressure Data'!$1:$1,0))=-999,"",INDEX('Raw Pressure Data'!$A:$ZZ,$K$5+ROW()-26+$H$4,MATCH($F$4,'Raw Pressure Data'!$1:$1,0))+$G$4))),"")</f>
        <v/>
      </c>
      <c r="N29" s="26">
        <f>IFERROR(IF($F$5="","",IF($K$5+ROW()-26&gt;$K$6,"",IF(INDEX('Raw Pressure Data'!$A:$ZZ,$K$5+ROW()-26+$H$5,MATCH($F$5,'Raw Pressure Data'!$1:$1,0))=-999,"",INDEX('Raw Pressure Data'!$A:$ZZ,$K$5+ROW()-26+$H$5,MATCH($F$5,'Raw Pressure Data'!$1:$1,0))+$G$5))),"")</f>
        <v/>
      </c>
      <c r="O29" s="26">
        <f>IFERROR(IF($F$6="","",IF($K$5+ROW()-26&gt;$K$6,"",IF(INDEX('Raw Pressure Data'!$A:$ZZ,$K$5+ROW()-26+$H$6,MATCH($F$6,'Raw Pressure Data'!$1:$1,0))=-999,"",INDEX('Raw Pressure Data'!$A:$ZZ,$K$5+ROW()-26+$H$6,MATCH($F$6,'Raw Pressure Data'!$1:$1,0))+$G$6))),"")</f>
        <v/>
      </c>
      <c r="P29" s="26">
        <f>IFERROR(IF($F$7="","",IF($K$5+ROW()-26&gt;$K$6,"",IF(INDEX('Raw Pressure Data'!$A:$ZZ,$K$5+ROW()-26+$H$7,MATCH($F$7,'Raw Pressure Data'!$1:$1,0))=-999,"",INDEX('Raw Pressure Data'!$A:$ZZ,$K$5+ROW()-26+$H$7,MATCH($F$7,'Raw Pressure Data'!$1:$1,0))+$G$7))),"")</f>
        <v/>
      </c>
      <c r="Q29" s="26">
        <f>IFERROR(IF($F$8="","",IF($K$5+ROW()-26&gt;$K$6,"",IF(INDEX('Raw Pressure Data'!$A:$ZZ,$K$5+ROW()-26+$H$8,MATCH($F$8,'Raw Pressure Data'!$1:$1,0))=-999,"",INDEX('Raw Pressure Data'!$A:$ZZ,$K$5+ROW()-26+$H$8,MATCH($F$8,'Raw Pressure Data'!$1:$1,0))+$G$8))),"")</f>
        <v/>
      </c>
      <c r="R29" s="26">
        <f>IFERROR(IF($F$9="","",IF($K$5+ROW()-26&gt;$K$6,"",IF(INDEX('Raw Pressure Data'!$A:$ZZ,$K$5+ROW()-26+$H$9,MATCH($F$9,'Raw Pressure Data'!$1:$1,0))=-999,"",INDEX('Raw Pressure Data'!$A:$ZZ,$K$5+ROW()-26+$H$9,MATCH($F$9,'Raw Pressure Data'!$1:$1,0))+$G$9))),"")</f>
        <v/>
      </c>
      <c r="S29" s="26">
        <f>IFERROR(IF($F$10="","",IF($K$5+ROW()-26&gt;$K$6,"",IF(INDEX('Raw Pressure Data'!$A:$ZZ,$K$5+ROW()-26+$H$10,MATCH($F$10,'Raw Pressure Data'!$1:$1,0))=-999,"",INDEX('Raw Pressure Data'!$A:$ZZ,$K$5+ROW()-26+$H$10,MATCH($F$10,'Raw Pressure Data'!$1:$1,0))+$G$10))),"")</f>
        <v/>
      </c>
      <c r="T29" s="26">
        <f>IFERROR(IF($F$11="","",IF($K$5+ROW()-26&gt;$K$6,"",IF(INDEX('Raw Pressure Data'!$A:$ZZ,$K$5+ROW()-26+$H$11,MATCH($F$11,'Raw Pressure Data'!$1:$1,0))=-999,"",INDEX('Raw Pressure Data'!$A:$ZZ,$K$5+ROW()-26+$H$11,MATCH($F$11,'Raw Pressure Data'!$1:$1,0))+$G$11))),"")</f>
        <v/>
      </c>
      <c r="U29" s="26">
        <f>IFERROR(IF($F$12="","",IF($K$5+ROW()-26&gt;$K$6,"",IF(INDEX('Raw Pressure Data'!$A:$ZZ,$K$5+ROW()-26+$H$12,MATCH($F$12,'Raw Pressure Data'!$1:$1,0))=-999,"",INDEX('Raw Pressure Data'!$A:$ZZ,$K$5+ROW()-26+$H$12,MATCH($F$12,'Raw Pressure Data'!$1:$1,0))+$G$12))),"")</f>
        <v/>
      </c>
      <c r="V29" s="26">
        <f>IFERROR(IF($F$13="","",IF($K$5+ROW()-26&gt;$K$6,"",IF(INDEX('Raw Pressure Data'!$A:$ZZ,$K$5+ROW()-26+$H$13,MATCH($F$13,'Raw Pressure Data'!$1:$1,0))=-999,"",INDEX('Raw Pressure Data'!$A:$ZZ,$K$5+ROW()-26+$H$13,MATCH($F$13,'Raw Pressure Data'!$1:$1,0))+$G$13))),"")</f>
        <v/>
      </c>
      <c r="W29" s="26">
        <f>IFERROR(IF($F$14="","",IF($K$5+ROW()-26&gt;$K$6,"",IF(INDEX('Raw Pressure Data'!$A:$ZZ,$K$5+ROW()-26+$H$14,MATCH($F$14,'Raw Pressure Data'!$1:$1,0))=-999,"",INDEX('Raw Pressure Data'!$A:$ZZ,$K$5+ROW()-26+$H$14,MATCH($F$14,'Raw Pressure Data'!$1:$1,0))+$G$14))),"")</f>
        <v/>
      </c>
      <c r="X29" s="26">
        <f>IFERROR(IF($F$15="","",IF($K$5+ROW()-26&gt;$K$6,"",IF(INDEX('Raw Pressure Data'!$A:$ZZ,$K$5+ROW()-26+$H$15,MATCH($F$15,'Raw Pressure Data'!$1:$1,0))=-999,"",INDEX('Raw Pressure Data'!$A:$ZZ,$K$5+ROW()-26+$H$15,MATCH($F$15,'Raw Pressure Data'!$1:$1,0))+$G$15))),"")</f>
        <v/>
      </c>
      <c r="Y29" s="26">
        <f>IFERROR(IF($F$16="","",IF($K$5+ROW()-26&gt;$K$6,"",IF(INDEX('Raw Pressure Data'!$A:$ZZ,$K$5+ROW()-26+$H$16,MATCH($F$16,'Raw Pressure Data'!$1:$1,0))=-999,"",INDEX('Raw Pressure Data'!$A:$ZZ,$K$5+ROW()-26+$H$16,MATCH($F$16,'Raw Pressure Data'!$1:$1,0))+$G$16))),"")</f>
        <v/>
      </c>
      <c r="Z29" s="26">
        <f>IFERROR(IF($F$17="","",IF($K$5+ROW()-26&gt;$K$6,"",IF(INDEX('Raw Pressure Data'!$A:$ZZ,$K$5+ROW()-26+$H$17,MATCH($F$17,'Raw Pressure Data'!$1:$1,0))=-999,"",INDEX('Raw Pressure Data'!$A:$ZZ,$K$5+ROW()-26+$H$17,MATCH($F$17,'Raw Pressure Data'!$1:$1,0))+$G$17))),"")</f>
        <v/>
      </c>
      <c r="AA29" s="26">
        <f>IFERROR(IF($F$18="","",IF($K$5+ROW()-26&gt;$K$6,"",IF(INDEX('Raw Pressure Data'!$A:$ZZ,$K$5+ROW()-26+$H$18,MATCH($F$18,'Raw Pressure Data'!$1:$1,0))=-999,"",INDEX('Raw Pressure Data'!$A:$ZZ,$K$5+ROW()-26+$H$18,MATCH($F$18,'Raw Pressure Data'!$1:$1,0))+$G$18))),"")</f>
        <v/>
      </c>
      <c r="AB29" s="26">
        <f>IFERROR(IF($F$19="","",IF($K$5+ROW()-26&gt;$K$6,"",IF(INDEX('Raw Pressure Data'!$A:$ZZ,$K$5+ROW()-26+$H$19,MATCH($F$19,'Raw Pressure Data'!$1:$1,0))=-999,"",INDEX('Raw Pressure Data'!$A:$ZZ,$K$5+ROW()-26+$H$19,MATCH($F$19,'Raw Pressure Data'!$1:$1,0))+$G$19))),"")</f>
        <v/>
      </c>
      <c r="AC29" s="26">
        <f>IFERROR(IF($F$20="","",IF($K$5+ROW()-26&gt;$K$6,"",IF(INDEX('Raw Pressure Data'!$A:$ZZ,$K$5+ROW()-26+$H$20,MATCH($F$20,'Raw Pressure Data'!$1:$1,0))=-999,"",INDEX('Raw Pressure Data'!$A:$ZZ,$K$5+ROW()-26+$H$20,MATCH($F$20,'Raw Pressure Data'!$1:$1,0))+$G$20))),"")</f>
        <v/>
      </c>
      <c r="AD29" s="26">
        <f>IFERROR(IF($F$21="","",IF($K$5+ROW()-26&gt;$K$6,"",IF(INDEX('Raw Pressure Data'!$A:$ZZ,$K$5+ROW()-26+$H$21,MATCH($F$21,'Raw Pressure Data'!$1:$1,0))=-999,"",INDEX('Raw Pressure Data'!$A:$ZZ,$K$5+ROW()-26+$H$21,MATCH($F$21,'Raw Pressure Data'!$1:$1,0))+$G$21))),"")</f>
        <v/>
      </c>
      <c r="AE29" s="26">
        <f>IFERROR(IF($F$22="","",IF($K$5+ROW()-26&gt;$K$6,"",IF(INDEX('Raw Pressure Data'!$A:$ZZ,$K$5+ROW()-26+$H$22,MATCH($F$22,'Raw Pressure Data'!$1:$1,0))=-999,"",INDEX('Raw Pressure Data'!$A:$ZZ,$K$5+ROW()-26+$H$22,MATCH($F$22,'Raw Pressure Data'!$1:$1,0))+$G$22))),"")</f>
        <v/>
      </c>
    </row>
    <row r="30" ht="15" customHeight="1">
      <c r="A30" s="23">
        <f>IFERROR(IF($K$5+ROW()-26&gt;$K$6,"",IF(INDEX('Raw Flow Data'!$A:$A,$K$5+ROW()-26)="","",INDEX('Raw Flow Data'!$A:$A,$K$5+ROW()-26))),"")</f>
        <v/>
      </c>
      <c r="B30" s="24">
        <f>IFERROR(IF($B$3="","",IF($K$5+ROW()-26&gt;$K$6,"",IF(INDEX('Raw Flow Data'!$A:$ZZ,$K$5+ROW()-26+$D$3,MATCH($B$3,'Raw Flow Data'!$1:$1,0))=-999,"",INDEX('Raw Flow Data'!$A:$ZZ,$K$5+ROW()-26+$D$3,MATCH($B$3,'Raw Flow Data'!$1:$1,0))*$C$3))),"")</f>
        <v/>
      </c>
      <c r="C30" s="24">
        <f>IFERROR(IF($B$4="","",IF($K$5+ROW()-26&gt;$K$6,"",IF(INDEX('Raw Flow Data'!$A:$ZZ,$K$5+ROW()-26+$D$4,MATCH($B$4,'Raw Flow Data'!$1:$1,0))=-999,"",INDEX('Raw Flow Data'!$A:$ZZ,$K$5+ROW()-26+$D$4,MATCH($B$4,'Raw Flow Data'!$1:$1,0))*$C$4))),"")</f>
        <v/>
      </c>
      <c r="D30" s="24">
        <f>IFERROR(IF($B$5="","",IF($K$5+ROW()-26&gt;$K$6,"",IF(INDEX('Raw Flow Data'!$A:$ZZ,$K$5+ROW()-26+$D$5,MATCH($B$5,'Raw Flow Data'!$1:$1,0))=-999,"",INDEX('Raw Flow Data'!$A:$ZZ,$K$5+ROW()-26+$D$5,MATCH($B$5,'Raw Flow Data'!$1:$1,0))*$C$5))),"")</f>
        <v/>
      </c>
      <c r="E30" s="24">
        <f>IFERROR(IF($B$6="","",IF($K$5+ROW()-26&gt;$K$6,"",IF(INDEX('Raw Flow Data'!$A:$ZZ,$K$5+ROW()-26+$D$6,MATCH($B$6,'Raw Flow Data'!$1:$1,0))=-999,"",INDEX('Raw Flow Data'!$A:$ZZ,$K$5+ROW()-26+$D$6,MATCH($B$6,'Raw Flow Data'!$1:$1,0))*$C$6))),"")</f>
        <v/>
      </c>
      <c r="F30" s="24">
        <f>IFERROR(IF($B$7="","",IF($K$5+ROW()-26&gt;$K$6,"",IF(INDEX('Raw Flow Data'!$A:$ZZ,$K$5+ROW()-26+$D$7,MATCH($B$7,'Raw Flow Data'!$1:$1,0))=-999,"",INDEX('Raw Flow Data'!$A:$ZZ,$K$5+ROW()-26+$D$7,MATCH($B$7,'Raw Flow Data'!$1:$1,0))*$C$7))),"")</f>
        <v/>
      </c>
      <c r="G30" s="24">
        <f>IFERROR(IF($B$8="","",IF($K$5+ROW()-26&gt;$K$6,"",IF(INDEX('Raw Flow Data'!$A:$ZZ,$K$5+ROW()-26+$D$8,MATCH($B$8,'Raw Flow Data'!$1:$1,0))=-999,"",INDEX('Raw Flow Data'!$A:$ZZ,$K$5+ROW()-26+$D$8,MATCH($B$8,'Raw Flow Data'!$1:$1,0))*$C$8))),"")</f>
        <v/>
      </c>
      <c r="H30" s="24">
        <f>IFERROR(IF($B$9="","",IF($K$5+ROW()-26&gt;$K$6,"",IF(INDEX('Raw Flow Data'!$A:$ZZ,$K$5+ROW()-26+$D$9,MATCH($B$9,'Raw Flow Data'!$1:$1,0))=-999,"",INDEX('Raw Flow Data'!$A:$ZZ,$K$5+ROW()-26+$D$9,MATCH($B$9,'Raw Flow Data'!$1:$1,0))*$C$9))),"")</f>
        <v/>
      </c>
      <c r="I30" s="24">
        <f>IFERROR(IF($B$10="","",IF($K$5+ROW()-26&gt;$K$6,"",IF(INDEX('Raw Flow Data'!$A:$ZZ,$K$5+ROW()-26+$D$10,MATCH($B$10,'Raw Flow Data'!$1:$1,0))=-999,"",INDEX('Raw Flow Data'!$A:$ZZ,$K$5+ROW()-26+$D$10,MATCH($B$10,'Raw Flow Data'!$1:$1,0))*$C$10))),"")</f>
        <v/>
      </c>
      <c r="J30" s="24">
        <f>IFERROR(IF($B$11="","",IF($K$5+ROW()-26&gt;$K$6,"",IF(INDEX('Raw Flow Data'!$A:$ZZ,$K$5+ROW()-26+$D$11,MATCH($B$11,'Raw Flow Data'!$1:$1,0))=-999,"",INDEX('Raw Flow Data'!$A:$ZZ,$K$5+ROW()-26+$D$11,MATCH($B$11,'Raw Flow Data'!$1:$1,0))*$C$11))),"")</f>
        <v/>
      </c>
      <c r="K30" s="24">
        <f>IFERROR(IF($B$12="","",IF($K$5+ROW()-26&gt;$K$6,"",IF(INDEX('Raw Flow Data'!$A:$ZZ,$K$5+ROW()-26+$D$12,MATCH($B$12,'Raw Flow Data'!$1:$1,0))=-999,"",INDEX('Raw Flow Data'!$A:$ZZ,$K$5+ROW()-26+$D$12,MATCH($B$12,'Raw Flow Data'!$1:$1,0))*$C$12))),"")</f>
        <v/>
      </c>
      <c r="L30" s="24">
        <f>IFERROR(IF($F$3="","",IF($K$5+ROW()-26&gt;$K$6,"",IF(INDEX('Raw Pressure Data'!$A:$ZZ,$K$5+ROW()-26+$H$3,MATCH($F$3,'Raw Pressure Data'!$1:$1,0))=-999,"",INDEX('Raw Pressure Data'!$A:$ZZ,$K$5+ROW()-26+$H$3,MATCH($F$3,'Raw Pressure Data'!$1:$1,0))+$G$3))),"")</f>
        <v/>
      </c>
      <c r="M30" s="24">
        <f>IFERROR(IF($F$4="","",IF($K$5+ROW()-26&gt;$K$6,"",IF(INDEX('Raw Pressure Data'!$A:$ZZ,$K$5+ROW()-26+$H$4,MATCH($F$4,'Raw Pressure Data'!$1:$1,0))=-999,"",INDEX('Raw Pressure Data'!$A:$ZZ,$K$5+ROW()-26+$H$4,MATCH($F$4,'Raw Pressure Data'!$1:$1,0))+$G$4))),"")</f>
        <v/>
      </c>
      <c r="N30" s="24">
        <f>IFERROR(IF($F$5="","",IF($K$5+ROW()-26&gt;$K$6,"",IF(INDEX('Raw Pressure Data'!$A:$ZZ,$K$5+ROW()-26+$H$5,MATCH($F$5,'Raw Pressure Data'!$1:$1,0))=-999,"",INDEX('Raw Pressure Data'!$A:$ZZ,$K$5+ROW()-26+$H$5,MATCH($F$5,'Raw Pressure Data'!$1:$1,0))+$G$5))),"")</f>
        <v/>
      </c>
      <c r="O30" s="24">
        <f>IFERROR(IF($F$6="","",IF($K$5+ROW()-26&gt;$K$6,"",IF(INDEX('Raw Pressure Data'!$A:$ZZ,$K$5+ROW()-26+$H$6,MATCH($F$6,'Raw Pressure Data'!$1:$1,0))=-999,"",INDEX('Raw Pressure Data'!$A:$ZZ,$K$5+ROW()-26+$H$6,MATCH($F$6,'Raw Pressure Data'!$1:$1,0))+$G$6))),"")</f>
        <v/>
      </c>
      <c r="P30" s="24">
        <f>IFERROR(IF($F$7="","",IF($K$5+ROW()-26&gt;$K$6,"",IF(INDEX('Raw Pressure Data'!$A:$ZZ,$K$5+ROW()-26+$H$7,MATCH($F$7,'Raw Pressure Data'!$1:$1,0))=-999,"",INDEX('Raw Pressure Data'!$A:$ZZ,$K$5+ROW()-26+$H$7,MATCH($F$7,'Raw Pressure Data'!$1:$1,0))+$G$7))),"")</f>
        <v/>
      </c>
      <c r="Q30" s="24">
        <f>IFERROR(IF($F$8="","",IF($K$5+ROW()-26&gt;$K$6,"",IF(INDEX('Raw Pressure Data'!$A:$ZZ,$K$5+ROW()-26+$H$8,MATCH($F$8,'Raw Pressure Data'!$1:$1,0))=-999,"",INDEX('Raw Pressure Data'!$A:$ZZ,$K$5+ROW()-26+$H$8,MATCH($F$8,'Raw Pressure Data'!$1:$1,0))+$G$8))),"")</f>
        <v/>
      </c>
      <c r="R30" s="24">
        <f>IFERROR(IF($F$9="","",IF($K$5+ROW()-26&gt;$K$6,"",IF(INDEX('Raw Pressure Data'!$A:$ZZ,$K$5+ROW()-26+$H$9,MATCH($F$9,'Raw Pressure Data'!$1:$1,0))=-999,"",INDEX('Raw Pressure Data'!$A:$ZZ,$K$5+ROW()-26+$H$9,MATCH($F$9,'Raw Pressure Data'!$1:$1,0))+$G$9))),"")</f>
        <v/>
      </c>
      <c r="S30" s="24">
        <f>IFERROR(IF($F$10="","",IF($K$5+ROW()-26&gt;$K$6,"",IF(INDEX('Raw Pressure Data'!$A:$ZZ,$K$5+ROW()-26+$H$10,MATCH($F$10,'Raw Pressure Data'!$1:$1,0))=-999,"",INDEX('Raw Pressure Data'!$A:$ZZ,$K$5+ROW()-26+$H$10,MATCH($F$10,'Raw Pressure Data'!$1:$1,0))+$G$10))),"")</f>
        <v/>
      </c>
      <c r="T30" s="24">
        <f>IFERROR(IF($F$11="","",IF($K$5+ROW()-26&gt;$K$6,"",IF(INDEX('Raw Pressure Data'!$A:$ZZ,$K$5+ROW()-26+$H$11,MATCH($F$11,'Raw Pressure Data'!$1:$1,0))=-999,"",INDEX('Raw Pressure Data'!$A:$ZZ,$K$5+ROW()-26+$H$11,MATCH($F$11,'Raw Pressure Data'!$1:$1,0))+$G$11))),"")</f>
        <v/>
      </c>
      <c r="U30" s="24">
        <f>IFERROR(IF($F$12="","",IF($K$5+ROW()-26&gt;$K$6,"",IF(INDEX('Raw Pressure Data'!$A:$ZZ,$K$5+ROW()-26+$H$12,MATCH($F$12,'Raw Pressure Data'!$1:$1,0))=-999,"",INDEX('Raw Pressure Data'!$A:$ZZ,$K$5+ROW()-26+$H$12,MATCH($F$12,'Raw Pressure Data'!$1:$1,0))+$G$12))),"")</f>
        <v/>
      </c>
      <c r="V30" s="24">
        <f>IFERROR(IF($F$13="","",IF($K$5+ROW()-26&gt;$K$6,"",IF(INDEX('Raw Pressure Data'!$A:$ZZ,$K$5+ROW()-26+$H$13,MATCH($F$13,'Raw Pressure Data'!$1:$1,0))=-999,"",INDEX('Raw Pressure Data'!$A:$ZZ,$K$5+ROW()-26+$H$13,MATCH($F$13,'Raw Pressure Data'!$1:$1,0))+$G$13))),"")</f>
        <v/>
      </c>
      <c r="W30" s="24">
        <f>IFERROR(IF($F$14="","",IF($K$5+ROW()-26&gt;$K$6,"",IF(INDEX('Raw Pressure Data'!$A:$ZZ,$K$5+ROW()-26+$H$14,MATCH($F$14,'Raw Pressure Data'!$1:$1,0))=-999,"",INDEX('Raw Pressure Data'!$A:$ZZ,$K$5+ROW()-26+$H$14,MATCH($F$14,'Raw Pressure Data'!$1:$1,0))+$G$14))),"")</f>
        <v/>
      </c>
      <c r="X30" s="24">
        <f>IFERROR(IF($F$15="","",IF($K$5+ROW()-26&gt;$K$6,"",IF(INDEX('Raw Pressure Data'!$A:$ZZ,$K$5+ROW()-26+$H$15,MATCH($F$15,'Raw Pressure Data'!$1:$1,0))=-999,"",INDEX('Raw Pressure Data'!$A:$ZZ,$K$5+ROW()-26+$H$15,MATCH($F$15,'Raw Pressure Data'!$1:$1,0))+$G$15))),"")</f>
        <v/>
      </c>
      <c r="Y30" s="24">
        <f>IFERROR(IF($F$16="","",IF($K$5+ROW()-26&gt;$K$6,"",IF(INDEX('Raw Pressure Data'!$A:$ZZ,$K$5+ROW()-26+$H$16,MATCH($F$16,'Raw Pressure Data'!$1:$1,0))=-999,"",INDEX('Raw Pressure Data'!$A:$ZZ,$K$5+ROW()-26+$H$16,MATCH($F$16,'Raw Pressure Data'!$1:$1,0))+$G$16))),"")</f>
        <v/>
      </c>
      <c r="Z30" s="24">
        <f>IFERROR(IF($F$17="","",IF($K$5+ROW()-26&gt;$K$6,"",IF(INDEX('Raw Pressure Data'!$A:$ZZ,$K$5+ROW()-26+$H$17,MATCH($F$17,'Raw Pressure Data'!$1:$1,0))=-999,"",INDEX('Raw Pressure Data'!$A:$ZZ,$K$5+ROW()-26+$H$17,MATCH($F$17,'Raw Pressure Data'!$1:$1,0))+$G$17))),"")</f>
        <v/>
      </c>
      <c r="AA30" s="24">
        <f>IFERROR(IF($F$18="","",IF($K$5+ROW()-26&gt;$K$6,"",IF(INDEX('Raw Pressure Data'!$A:$ZZ,$K$5+ROW()-26+$H$18,MATCH($F$18,'Raw Pressure Data'!$1:$1,0))=-999,"",INDEX('Raw Pressure Data'!$A:$ZZ,$K$5+ROW()-26+$H$18,MATCH($F$18,'Raw Pressure Data'!$1:$1,0))+$G$18))),"")</f>
        <v/>
      </c>
      <c r="AB30" s="24">
        <f>IFERROR(IF($F$19="","",IF($K$5+ROW()-26&gt;$K$6,"",IF(INDEX('Raw Pressure Data'!$A:$ZZ,$K$5+ROW()-26+$H$19,MATCH($F$19,'Raw Pressure Data'!$1:$1,0))=-999,"",INDEX('Raw Pressure Data'!$A:$ZZ,$K$5+ROW()-26+$H$19,MATCH($F$19,'Raw Pressure Data'!$1:$1,0))+$G$19))),"")</f>
        <v/>
      </c>
      <c r="AC30" s="24">
        <f>IFERROR(IF($F$20="","",IF($K$5+ROW()-26&gt;$K$6,"",IF(INDEX('Raw Pressure Data'!$A:$ZZ,$K$5+ROW()-26+$H$20,MATCH($F$20,'Raw Pressure Data'!$1:$1,0))=-999,"",INDEX('Raw Pressure Data'!$A:$ZZ,$K$5+ROW()-26+$H$20,MATCH($F$20,'Raw Pressure Data'!$1:$1,0))+$G$20))),"")</f>
        <v/>
      </c>
      <c r="AD30" s="24">
        <f>IFERROR(IF($F$21="","",IF($K$5+ROW()-26&gt;$K$6,"",IF(INDEX('Raw Pressure Data'!$A:$ZZ,$K$5+ROW()-26+$H$21,MATCH($F$21,'Raw Pressure Data'!$1:$1,0))=-999,"",INDEX('Raw Pressure Data'!$A:$ZZ,$K$5+ROW()-26+$H$21,MATCH($F$21,'Raw Pressure Data'!$1:$1,0))+$G$21))),"")</f>
        <v/>
      </c>
      <c r="AE30" s="24">
        <f>IFERROR(IF($F$22="","",IF($K$5+ROW()-26&gt;$K$6,"",IF(INDEX('Raw Pressure Data'!$A:$ZZ,$K$5+ROW()-26+$H$22,MATCH($F$22,'Raw Pressure Data'!$1:$1,0))=-999,"",INDEX('Raw Pressure Data'!$A:$ZZ,$K$5+ROW()-26+$H$22,MATCH($F$22,'Raw Pressure Data'!$1:$1,0))+$G$22))),"")</f>
        <v/>
      </c>
    </row>
    <row r="31" ht="15" customHeight="1">
      <c r="A31" s="25">
        <f>IFERROR(IF($K$5+ROW()-26&gt;$K$6,"",IF(INDEX('Raw Flow Data'!$A:$A,$K$5+ROW()-26)="","",INDEX('Raw Flow Data'!$A:$A,$K$5+ROW()-26))),"")</f>
        <v/>
      </c>
      <c r="B31" s="26">
        <f>IFERROR(IF($B$3="","",IF($K$5+ROW()-26&gt;$K$6,"",IF(INDEX('Raw Flow Data'!$A:$ZZ,$K$5+ROW()-26+$D$3,MATCH($B$3,'Raw Flow Data'!$1:$1,0))=-999,"",INDEX('Raw Flow Data'!$A:$ZZ,$K$5+ROW()-26+$D$3,MATCH($B$3,'Raw Flow Data'!$1:$1,0))*$C$3))),"")</f>
        <v/>
      </c>
      <c r="C31" s="26">
        <f>IFERROR(IF($B$4="","",IF($K$5+ROW()-26&gt;$K$6,"",IF(INDEX('Raw Flow Data'!$A:$ZZ,$K$5+ROW()-26+$D$4,MATCH($B$4,'Raw Flow Data'!$1:$1,0))=-999,"",INDEX('Raw Flow Data'!$A:$ZZ,$K$5+ROW()-26+$D$4,MATCH($B$4,'Raw Flow Data'!$1:$1,0))*$C$4))),"")</f>
        <v/>
      </c>
      <c r="D31" s="26">
        <f>IFERROR(IF($B$5="","",IF($K$5+ROW()-26&gt;$K$6,"",IF(INDEX('Raw Flow Data'!$A:$ZZ,$K$5+ROW()-26+$D$5,MATCH($B$5,'Raw Flow Data'!$1:$1,0))=-999,"",INDEX('Raw Flow Data'!$A:$ZZ,$K$5+ROW()-26+$D$5,MATCH($B$5,'Raw Flow Data'!$1:$1,0))*$C$5))),"")</f>
        <v/>
      </c>
      <c r="E31" s="26">
        <f>IFERROR(IF($B$6="","",IF($K$5+ROW()-26&gt;$K$6,"",IF(INDEX('Raw Flow Data'!$A:$ZZ,$K$5+ROW()-26+$D$6,MATCH($B$6,'Raw Flow Data'!$1:$1,0))=-999,"",INDEX('Raw Flow Data'!$A:$ZZ,$K$5+ROW()-26+$D$6,MATCH($B$6,'Raw Flow Data'!$1:$1,0))*$C$6))),"")</f>
        <v/>
      </c>
      <c r="F31" s="26">
        <f>IFERROR(IF($B$7="","",IF($K$5+ROW()-26&gt;$K$6,"",IF(INDEX('Raw Flow Data'!$A:$ZZ,$K$5+ROW()-26+$D$7,MATCH($B$7,'Raw Flow Data'!$1:$1,0))=-999,"",INDEX('Raw Flow Data'!$A:$ZZ,$K$5+ROW()-26+$D$7,MATCH($B$7,'Raw Flow Data'!$1:$1,0))*$C$7))),"")</f>
        <v/>
      </c>
      <c r="G31" s="26">
        <f>IFERROR(IF($B$8="","",IF($K$5+ROW()-26&gt;$K$6,"",IF(INDEX('Raw Flow Data'!$A:$ZZ,$K$5+ROW()-26+$D$8,MATCH($B$8,'Raw Flow Data'!$1:$1,0))=-999,"",INDEX('Raw Flow Data'!$A:$ZZ,$K$5+ROW()-26+$D$8,MATCH($B$8,'Raw Flow Data'!$1:$1,0))*$C$8))),"")</f>
        <v/>
      </c>
      <c r="H31" s="26">
        <f>IFERROR(IF($B$9="","",IF($K$5+ROW()-26&gt;$K$6,"",IF(INDEX('Raw Flow Data'!$A:$ZZ,$K$5+ROW()-26+$D$9,MATCH($B$9,'Raw Flow Data'!$1:$1,0))=-999,"",INDEX('Raw Flow Data'!$A:$ZZ,$K$5+ROW()-26+$D$9,MATCH($B$9,'Raw Flow Data'!$1:$1,0))*$C$9))),"")</f>
        <v/>
      </c>
      <c r="I31" s="26">
        <f>IFERROR(IF($B$10="","",IF($K$5+ROW()-26&gt;$K$6,"",IF(INDEX('Raw Flow Data'!$A:$ZZ,$K$5+ROW()-26+$D$10,MATCH($B$10,'Raw Flow Data'!$1:$1,0))=-999,"",INDEX('Raw Flow Data'!$A:$ZZ,$K$5+ROW()-26+$D$10,MATCH($B$10,'Raw Flow Data'!$1:$1,0))*$C$10))),"")</f>
        <v/>
      </c>
      <c r="J31" s="26">
        <f>IFERROR(IF($B$11="","",IF($K$5+ROW()-26&gt;$K$6,"",IF(INDEX('Raw Flow Data'!$A:$ZZ,$K$5+ROW()-26+$D$11,MATCH($B$11,'Raw Flow Data'!$1:$1,0))=-999,"",INDEX('Raw Flow Data'!$A:$ZZ,$K$5+ROW()-26+$D$11,MATCH($B$11,'Raw Flow Data'!$1:$1,0))*$C$11))),"")</f>
        <v/>
      </c>
      <c r="K31" s="26">
        <f>IFERROR(IF($B$12="","",IF($K$5+ROW()-26&gt;$K$6,"",IF(INDEX('Raw Flow Data'!$A:$ZZ,$K$5+ROW()-26+$D$12,MATCH($B$12,'Raw Flow Data'!$1:$1,0))=-999,"",INDEX('Raw Flow Data'!$A:$ZZ,$K$5+ROW()-26+$D$12,MATCH($B$12,'Raw Flow Data'!$1:$1,0))*$C$12))),"")</f>
        <v/>
      </c>
      <c r="L31" s="26">
        <f>IFERROR(IF($F$3="","",IF($K$5+ROW()-26&gt;$K$6,"",IF(INDEX('Raw Pressure Data'!$A:$ZZ,$K$5+ROW()-26+$H$3,MATCH($F$3,'Raw Pressure Data'!$1:$1,0))=-999,"",INDEX('Raw Pressure Data'!$A:$ZZ,$K$5+ROW()-26+$H$3,MATCH($F$3,'Raw Pressure Data'!$1:$1,0))+$G$3))),"")</f>
        <v/>
      </c>
      <c r="M31" s="26">
        <f>IFERROR(IF($F$4="","",IF($K$5+ROW()-26&gt;$K$6,"",IF(INDEX('Raw Pressure Data'!$A:$ZZ,$K$5+ROW()-26+$H$4,MATCH($F$4,'Raw Pressure Data'!$1:$1,0))=-999,"",INDEX('Raw Pressure Data'!$A:$ZZ,$K$5+ROW()-26+$H$4,MATCH($F$4,'Raw Pressure Data'!$1:$1,0))+$G$4))),"")</f>
        <v/>
      </c>
      <c r="N31" s="26">
        <f>IFERROR(IF($F$5="","",IF($K$5+ROW()-26&gt;$K$6,"",IF(INDEX('Raw Pressure Data'!$A:$ZZ,$K$5+ROW()-26+$H$5,MATCH($F$5,'Raw Pressure Data'!$1:$1,0))=-999,"",INDEX('Raw Pressure Data'!$A:$ZZ,$K$5+ROW()-26+$H$5,MATCH($F$5,'Raw Pressure Data'!$1:$1,0))+$G$5))),"")</f>
        <v/>
      </c>
      <c r="O31" s="26">
        <f>IFERROR(IF($F$6="","",IF($K$5+ROW()-26&gt;$K$6,"",IF(INDEX('Raw Pressure Data'!$A:$ZZ,$K$5+ROW()-26+$H$6,MATCH($F$6,'Raw Pressure Data'!$1:$1,0))=-999,"",INDEX('Raw Pressure Data'!$A:$ZZ,$K$5+ROW()-26+$H$6,MATCH($F$6,'Raw Pressure Data'!$1:$1,0))+$G$6))),"")</f>
        <v/>
      </c>
      <c r="P31" s="26">
        <f>IFERROR(IF($F$7="","",IF($K$5+ROW()-26&gt;$K$6,"",IF(INDEX('Raw Pressure Data'!$A:$ZZ,$K$5+ROW()-26+$H$7,MATCH($F$7,'Raw Pressure Data'!$1:$1,0))=-999,"",INDEX('Raw Pressure Data'!$A:$ZZ,$K$5+ROW()-26+$H$7,MATCH($F$7,'Raw Pressure Data'!$1:$1,0))+$G$7))),"")</f>
        <v/>
      </c>
      <c r="Q31" s="26">
        <f>IFERROR(IF($F$8="","",IF($K$5+ROW()-26&gt;$K$6,"",IF(INDEX('Raw Pressure Data'!$A:$ZZ,$K$5+ROW()-26+$H$8,MATCH($F$8,'Raw Pressure Data'!$1:$1,0))=-999,"",INDEX('Raw Pressure Data'!$A:$ZZ,$K$5+ROW()-26+$H$8,MATCH($F$8,'Raw Pressure Data'!$1:$1,0))+$G$8))),"")</f>
        <v/>
      </c>
      <c r="R31" s="26">
        <f>IFERROR(IF($F$9="","",IF($K$5+ROW()-26&gt;$K$6,"",IF(INDEX('Raw Pressure Data'!$A:$ZZ,$K$5+ROW()-26+$H$9,MATCH($F$9,'Raw Pressure Data'!$1:$1,0))=-999,"",INDEX('Raw Pressure Data'!$A:$ZZ,$K$5+ROW()-26+$H$9,MATCH($F$9,'Raw Pressure Data'!$1:$1,0))+$G$9))),"")</f>
        <v/>
      </c>
      <c r="S31" s="26">
        <f>IFERROR(IF($F$10="","",IF($K$5+ROW()-26&gt;$K$6,"",IF(INDEX('Raw Pressure Data'!$A:$ZZ,$K$5+ROW()-26+$H$10,MATCH($F$10,'Raw Pressure Data'!$1:$1,0))=-999,"",INDEX('Raw Pressure Data'!$A:$ZZ,$K$5+ROW()-26+$H$10,MATCH($F$10,'Raw Pressure Data'!$1:$1,0))+$G$10))),"")</f>
        <v/>
      </c>
      <c r="T31" s="26">
        <f>IFERROR(IF($F$11="","",IF($K$5+ROW()-26&gt;$K$6,"",IF(INDEX('Raw Pressure Data'!$A:$ZZ,$K$5+ROW()-26+$H$11,MATCH($F$11,'Raw Pressure Data'!$1:$1,0))=-999,"",INDEX('Raw Pressure Data'!$A:$ZZ,$K$5+ROW()-26+$H$11,MATCH($F$11,'Raw Pressure Data'!$1:$1,0))+$G$11))),"")</f>
        <v/>
      </c>
      <c r="U31" s="26">
        <f>IFERROR(IF($F$12="","",IF($K$5+ROW()-26&gt;$K$6,"",IF(INDEX('Raw Pressure Data'!$A:$ZZ,$K$5+ROW()-26+$H$12,MATCH($F$12,'Raw Pressure Data'!$1:$1,0))=-999,"",INDEX('Raw Pressure Data'!$A:$ZZ,$K$5+ROW()-26+$H$12,MATCH($F$12,'Raw Pressure Data'!$1:$1,0))+$G$12))),"")</f>
        <v/>
      </c>
      <c r="V31" s="26">
        <f>IFERROR(IF($F$13="","",IF($K$5+ROW()-26&gt;$K$6,"",IF(INDEX('Raw Pressure Data'!$A:$ZZ,$K$5+ROW()-26+$H$13,MATCH($F$13,'Raw Pressure Data'!$1:$1,0))=-999,"",INDEX('Raw Pressure Data'!$A:$ZZ,$K$5+ROW()-26+$H$13,MATCH($F$13,'Raw Pressure Data'!$1:$1,0))+$G$13))),"")</f>
        <v/>
      </c>
      <c r="W31" s="26">
        <f>IFERROR(IF($F$14="","",IF($K$5+ROW()-26&gt;$K$6,"",IF(INDEX('Raw Pressure Data'!$A:$ZZ,$K$5+ROW()-26+$H$14,MATCH($F$14,'Raw Pressure Data'!$1:$1,0))=-999,"",INDEX('Raw Pressure Data'!$A:$ZZ,$K$5+ROW()-26+$H$14,MATCH($F$14,'Raw Pressure Data'!$1:$1,0))+$G$14))),"")</f>
        <v/>
      </c>
      <c r="X31" s="26">
        <f>IFERROR(IF($F$15="","",IF($K$5+ROW()-26&gt;$K$6,"",IF(INDEX('Raw Pressure Data'!$A:$ZZ,$K$5+ROW()-26+$H$15,MATCH($F$15,'Raw Pressure Data'!$1:$1,0))=-999,"",INDEX('Raw Pressure Data'!$A:$ZZ,$K$5+ROW()-26+$H$15,MATCH($F$15,'Raw Pressure Data'!$1:$1,0))+$G$15))),"")</f>
        <v/>
      </c>
      <c r="Y31" s="26">
        <f>IFERROR(IF($F$16="","",IF($K$5+ROW()-26&gt;$K$6,"",IF(INDEX('Raw Pressure Data'!$A:$ZZ,$K$5+ROW()-26+$H$16,MATCH($F$16,'Raw Pressure Data'!$1:$1,0))=-999,"",INDEX('Raw Pressure Data'!$A:$ZZ,$K$5+ROW()-26+$H$16,MATCH($F$16,'Raw Pressure Data'!$1:$1,0))+$G$16))),"")</f>
        <v/>
      </c>
      <c r="Z31" s="26">
        <f>IFERROR(IF($F$17="","",IF($K$5+ROW()-26&gt;$K$6,"",IF(INDEX('Raw Pressure Data'!$A:$ZZ,$K$5+ROW()-26+$H$17,MATCH($F$17,'Raw Pressure Data'!$1:$1,0))=-999,"",INDEX('Raw Pressure Data'!$A:$ZZ,$K$5+ROW()-26+$H$17,MATCH($F$17,'Raw Pressure Data'!$1:$1,0))+$G$17))),"")</f>
        <v/>
      </c>
      <c r="AA31" s="26">
        <f>IFERROR(IF($F$18="","",IF($K$5+ROW()-26&gt;$K$6,"",IF(INDEX('Raw Pressure Data'!$A:$ZZ,$K$5+ROW()-26+$H$18,MATCH($F$18,'Raw Pressure Data'!$1:$1,0))=-999,"",INDEX('Raw Pressure Data'!$A:$ZZ,$K$5+ROW()-26+$H$18,MATCH($F$18,'Raw Pressure Data'!$1:$1,0))+$G$18))),"")</f>
        <v/>
      </c>
      <c r="AB31" s="26">
        <f>IFERROR(IF($F$19="","",IF($K$5+ROW()-26&gt;$K$6,"",IF(INDEX('Raw Pressure Data'!$A:$ZZ,$K$5+ROW()-26+$H$19,MATCH($F$19,'Raw Pressure Data'!$1:$1,0))=-999,"",INDEX('Raw Pressure Data'!$A:$ZZ,$K$5+ROW()-26+$H$19,MATCH($F$19,'Raw Pressure Data'!$1:$1,0))+$G$19))),"")</f>
        <v/>
      </c>
      <c r="AC31" s="26">
        <f>IFERROR(IF($F$20="","",IF($K$5+ROW()-26&gt;$K$6,"",IF(INDEX('Raw Pressure Data'!$A:$ZZ,$K$5+ROW()-26+$H$20,MATCH($F$20,'Raw Pressure Data'!$1:$1,0))=-999,"",INDEX('Raw Pressure Data'!$A:$ZZ,$K$5+ROW()-26+$H$20,MATCH($F$20,'Raw Pressure Data'!$1:$1,0))+$G$20))),"")</f>
        <v/>
      </c>
      <c r="AD31" s="26">
        <f>IFERROR(IF($F$21="","",IF($K$5+ROW()-26&gt;$K$6,"",IF(INDEX('Raw Pressure Data'!$A:$ZZ,$K$5+ROW()-26+$H$21,MATCH($F$21,'Raw Pressure Data'!$1:$1,0))=-999,"",INDEX('Raw Pressure Data'!$A:$ZZ,$K$5+ROW()-26+$H$21,MATCH($F$21,'Raw Pressure Data'!$1:$1,0))+$G$21))),"")</f>
        <v/>
      </c>
      <c r="AE31" s="26">
        <f>IFERROR(IF($F$22="","",IF($K$5+ROW()-26&gt;$K$6,"",IF(INDEX('Raw Pressure Data'!$A:$ZZ,$K$5+ROW()-26+$H$22,MATCH($F$22,'Raw Pressure Data'!$1:$1,0))=-999,"",INDEX('Raw Pressure Data'!$A:$ZZ,$K$5+ROW()-26+$H$22,MATCH($F$22,'Raw Pressure Data'!$1:$1,0))+$G$22))),"")</f>
        <v/>
      </c>
    </row>
    <row r="32" ht="15" customHeight="1">
      <c r="A32" s="23">
        <f>IFERROR(IF($K$5+ROW()-26&gt;$K$6,"",IF(INDEX('Raw Flow Data'!$A:$A,$K$5+ROW()-26)="","",INDEX('Raw Flow Data'!$A:$A,$K$5+ROW()-26))),"")</f>
        <v/>
      </c>
      <c r="B32" s="24">
        <f>IFERROR(IF($B$3="","",IF($K$5+ROW()-26&gt;$K$6,"",IF(INDEX('Raw Flow Data'!$A:$ZZ,$K$5+ROW()-26+$D$3,MATCH($B$3,'Raw Flow Data'!$1:$1,0))=-999,"",INDEX('Raw Flow Data'!$A:$ZZ,$K$5+ROW()-26+$D$3,MATCH($B$3,'Raw Flow Data'!$1:$1,0))*$C$3))),"")</f>
        <v/>
      </c>
      <c r="C32" s="24">
        <f>IFERROR(IF($B$4="","",IF($K$5+ROW()-26&gt;$K$6,"",IF(INDEX('Raw Flow Data'!$A:$ZZ,$K$5+ROW()-26+$D$4,MATCH($B$4,'Raw Flow Data'!$1:$1,0))=-999,"",INDEX('Raw Flow Data'!$A:$ZZ,$K$5+ROW()-26+$D$4,MATCH($B$4,'Raw Flow Data'!$1:$1,0))*$C$4))),"")</f>
        <v/>
      </c>
      <c r="D32" s="24">
        <f>IFERROR(IF($B$5="","",IF($K$5+ROW()-26&gt;$K$6,"",IF(INDEX('Raw Flow Data'!$A:$ZZ,$K$5+ROW()-26+$D$5,MATCH($B$5,'Raw Flow Data'!$1:$1,0))=-999,"",INDEX('Raw Flow Data'!$A:$ZZ,$K$5+ROW()-26+$D$5,MATCH($B$5,'Raw Flow Data'!$1:$1,0))*$C$5))),"")</f>
        <v/>
      </c>
      <c r="E32" s="24">
        <f>IFERROR(IF($B$6="","",IF($K$5+ROW()-26&gt;$K$6,"",IF(INDEX('Raw Flow Data'!$A:$ZZ,$K$5+ROW()-26+$D$6,MATCH($B$6,'Raw Flow Data'!$1:$1,0))=-999,"",INDEX('Raw Flow Data'!$A:$ZZ,$K$5+ROW()-26+$D$6,MATCH($B$6,'Raw Flow Data'!$1:$1,0))*$C$6))),"")</f>
        <v/>
      </c>
      <c r="F32" s="24">
        <f>IFERROR(IF($B$7="","",IF($K$5+ROW()-26&gt;$K$6,"",IF(INDEX('Raw Flow Data'!$A:$ZZ,$K$5+ROW()-26+$D$7,MATCH($B$7,'Raw Flow Data'!$1:$1,0))=-999,"",INDEX('Raw Flow Data'!$A:$ZZ,$K$5+ROW()-26+$D$7,MATCH($B$7,'Raw Flow Data'!$1:$1,0))*$C$7))),"")</f>
        <v/>
      </c>
      <c r="G32" s="24">
        <f>IFERROR(IF($B$8="","",IF($K$5+ROW()-26&gt;$K$6,"",IF(INDEX('Raw Flow Data'!$A:$ZZ,$K$5+ROW()-26+$D$8,MATCH($B$8,'Raw Flow Data'!$1:$1,0))=-999,"",INDEX('Raw Flow Data'!$A:$ZZ,$K$5+ROW()-26+$D$8,MATCH($B$8,'Raw Flow Data'!$1:$1,0))*$C$8))),"")</f>
        <v/>
      </c>
      <c r="H32" s="24">
        <f>IFERROR(IF($B$9="","",IF($K$5+ROW()-26&gt;$K$6,"",IF(INDEX('Raw Flow Data'!$A:$ZZ,$K$5+ROW()-26+$D$9,MATCH($B$9,'Raw Flow Data'!$1:$1,0))=-999,"",INDEX('Raw Flow Data'!$A:$ZZ,$K$5+ROW()-26+$D$9,MATCH($B$9,'Raw Flow Data'!$1:$1,0))*$C$9))),"")</f>
        <v/>
      </c>
      <c r="I32" s="24">
        <f>IFERROR(IF($B$10="","",IF($K$5+ROW()-26&gt;$K$6,"",IF(INDEX('Raw Flow Data'!$A:$ZZ,$K$5+ROW()-26+$D$10,MATCH($B$10,'Raw Flow Data'!$1:$1,0))=-999,"",INDEX('Raw Flow Data'!$A:$ZZ,$K$5+ROW()-26+$D$10,MATCH($B$10,'Raw Flow Data'!$1:$1,0))*$C$10))),"")</f>
        <v/>
      </c>
      <c r="J32" s="24">
        <f>IFERROR(IF($B$11="","",IF($K$5+ROW()-26&gt;$K$6,"",IF(INDEX('Raw Flow Data'!$A:$ZZ,$K$5+ROW()-26+$D$11,MATCH($B$11,'Raw Flow Data'!$1:$1,0))=-999,"",INDEX('Raw Flow Data'!$A:$ZZ,$K$5+ROW()-26+$D$11,MATCH($B$11,'Raw Flow Data'!$1:$1,0))*$C$11))),"")</f>
        <v/>
      </c>
      <c r="K32" s="24">
        <f>IFERROR(IF($B$12="","",IF($K$5+ROW()-26&gt;$K$6,"",IF(INDEX('Raw Flow Data'!$A:$ZZ,$K$5+ROW()-26+$D$12,MATCH($B$12,'Raw Flow Data'!$1:$1,0))=-999,"",INDEX('Raw Flow Data'!$A:$ZZ,$K$5+ROW()-26+$D$12,MATCH($B$12,'Raw Flow Data'!$1:$1,0))*$C$12))),"")</f>
        <v/>
      </c>
      <c r="L32" s="24">
        <f>IFERROR(IF($F$3="","",IF($K$5+ROW()-26&gt;$K$6,"",IF(INDEX('Raw Pressure Data'!$A:$ZZ,$K$5+ROW()-26+$H$3,MATCH($F$3,'Raw Pressure Data'!$1:$1,0))=-999,"",INDEX('Raw Pressure Data'!$A:$ZZ,$K$5+ROW()-26+$H$3,MATCH($F$3,'Raw Pressure Data'!$1:$1,0))+$G$3))),"")</f>
        <v/>
      </c>
      <c r="M32" s="24">
        <f>IFERROR(IF($F$4="","",IF($K$5+ROW()-26&gt;$K$6,"",IF(INDEX('Raw Pressure Data'!$A:$ZZ,$K$5+ROW()-26+$H$4,MATCH($F$4,'Raw Pressure Data'!$1:$1,0))=-999,"",INDEX('Raw Pressure Data'!$A:$ZZ,$K$5+ROW()-26+$H$4,MATCH($F$4,'Raw Pressure Data'!$1:$1,0))+$G$4))),"")</f>
        <v/>
      </c>
      <c r="N32" s="24">
        <f>IFERROR(IF($F$5="","",IF($K$5+ROW()-26&gt;$K$6,"",IF(INDEX('Raw Pressure Data'!$A:$ZZ,$K$5+ROW()-26+$H$5,MATCH($F$5,'Raw Pressure Data'!$1:$1,0))=-999,"",INDEX('Raw Pressure Data'!$A:$ZZ,$K$5+ROW()-26+$H$5,MATCH($F$5,'Raw Pressure Data'!$1:$1,0))+$G$5))),"")</f>
        <v/>
      </c>
      <c r="O32" s="24">
        <f>IFERROR(IF($F$6="","",IF($K$5+ROW()-26&gt;$K$6,"",IF(INDEX('Raw Pressure Data'!$A:$ZZ,$K$5+ROW()-26+$H$6,MATCH($F$6,'Raw Pressure Data'!$1:$1,0))=-999,"",INDEX('Raw Pressure Data'!$A:$ZZ,$K$5+ROW()-26+$H$6,MATCH($F$6,'Raw Pressure Data'!$1:$1,0))+$G$6))),"")</f>
        <v/>
      </c>
      <c r="P32" s="24">
        <f>IFERROR(IF($F$7="","",IF($K$5+ROW()-26&gt;$K$6,"",IF(INDEX('Raw Pressure Data'!$A:$ZZ,$K$5+ROW()-26+$H$7,MATCH($F$7,'Raw Pressure Data'!$1:$1,0))=-999,"",INDEX('Raw Pressure Data'!$A:$ZZ,$K$5+ROW()-26+$H$7,MATCH($F$7,'Raw Pressure Data'!$1:$1,0))+$G$7))),"")</f>
        <v/>
      </c>
      <c r="Q32" s="24">
        <f>IFERROR(IF($F$8="","",IF($K$5+ROW()-26&gt;$K$6,"",IF(INDEX('Raw Pressure Data'!$A:$ZZ,$K$5+ROW()-26+$H$8,MATCH($F$8,'Raw Pressure Data'!$1:$1,0))=-999,"",INDEX('Raw Pressure Data'!$A:$ZZ,$K$5+ROW()-26+$H$8,MATCH($F$8,'Raw Pressure Data'!$1:$1,0))+$G$8))),"")</f>
        <v/>
      </c>
      <c r="R32" s="24">
        <f>IFERROR(IF($F$9="","",IF($K$5+ROW()-26&gt;$K$6,"",IF(INDEX('Raw Pressure Data'!$A:$ZZ,$K$5+ROW()-26+$H$9,MATCH($F$9,'Raw Pressure Data'!$1:$1,0))=-999,"",INDEX('Raw Pressure Data'!$A:$ZZ,$K$5+ROW()-26+$H$9,MATCH($F$9,'Raw Pressure Data'!$1:$1,0))+$G$9))),"")</f>
        <v/>
      </c>
      <c r="S32" s="24">
        <f>IFERROR(IF($F$10="","",IF($K$5+ROW()-26&gt;$K$6,"",IF(INDEX('Raw Pressure Data'!$A:$ZZ,$K$5+ROW()-26+$H$10,MATCH($F$10,'Raw Pressure Data'!$1:$1,0))=-999,"",INDEX('Raw Pressure Data'!$A:$ZZ,$K$5+ROW()-26+$H$10,MATCH($F$10,'Raw Pressure Data'!$1:$1,0))+$G$10))),"")</f>
        <v/>
      </c>
      <c r="T32" s="24">
        <f>IFERROR(IF($F$11="","",IF($K$5+ROW()-26&gt;$K$6,"",IF(INDEX('Raw Pressure Data'!$A:$ZZ,$K$5+ROW()-26+$H$11,MATCH($F$11,'Raw Pressure Data'!$1:$1,0))=-999,"",INDEX('Raw Pressure Data'!$A:$ZZ,$K$5+ROW()-26+$H$11,MATCH($F$11,'Raw Pressure Data'!$1:$1,0))+$G$11))),"")</f>
        <v/>
      </c>
      <c r="U32" s="24">
        <f>IFERROR(IF($F$12="","",IF($K$5+ROW()-26&gt;$K$6,"",IF(INDEX('Raw Pressure Data'!$A:$ZZ,$K$5+ROW()-26+$H$12,MATCH($F$12,'Raw Pressure Data'!$1:$1,0))=-999,"",INDEX('Raw Pressure Data'!$A:$ZZ,$K$5+ROW()-26+$H$12,MATCH($F$12,'Raw Pressure Data'!$1:$1,0))+$G$12))),"")</f>
        <v/>
      </c>
      <c r="V32" s="24">
        <f>IFERROR(IF($F$13="","",IF($K$5+ROW()-26&gt;$K$6,"",IF(INDEX('Raw Pressure Data'!$A:$ZZ,$K$5+ROW()-26+$H$13,MATCH($F$13,'Raw Pressure Data'!$1:$1,0))=-999,"",INDEX('Raw Pressure Data'!$A:$ZZ,$K$5+ROW()-26+$H$13,MATCH($F$13,'Raw Pressure Data'!$1:$1,0))+$G$13))),"")</f>
        <v/>
      </c>
      <c r="W32" s="24">
        <f>IFERROR(IF($F$14="","",IF($K$5+ROW()-26&gt;$K$6,"",IF(INDEX('Raw Pressure Data'!$A:$ZZ,$K$5+ROW()-26+$H$14,MATCH($F$14,'Raw Pressure Data'!$1:$1,0))=-999,"",INDEX('Raw Pressure Data'!$A:$ZZ,$K$5+ROW()-26+$H$14,MATCH($F$14,'Raw Pressure Data'!$1:$1,0))+$G$14))),"")</f>
        <v/>
      </c>
      <c r="X32" s="24">
        <f>IFERROR(IF($F$15="","",IF($K$5+ROW()-26&gt;$K$6,"",IF(INDEX('Raw Pressure Data'!$A:$ZZ,$K$5+ROW()-26+$H$15,MATCH($F$15,'Raw Pressure Data'!$1:$1,0))=-999,"",INDEX('Raw Pressure Data'!$A:$ZZ,$K$5+ROW()-26+$H$15,MATCH($F$15,'Raw Pressure Data'!$1:$1,0))+$G$15))),"")</f>
        <v/>
      </c>
      <c r="Y32" s="24">
        <f>IFERROR(IF($F$16="","",IF($K$5+ROW()-26&gt;$K$6,"",IF(INDEX('Raw Pressure Data'!$A:$ZZ,$K$5+ROW()-26+$H$16,MATCH($F$16,'Raw Pressure Data'!$1:$1,0))=-999,"",INDEX('Raw Pressure Data'!$A:$ZZ,$K$5+ROW()-26+$H$16,MATCH($F$16,'Raw Pressure Data'!$1:$1,0))+$G$16))),"")</f>
        <v/>
      </c>
      <c r="Z32" s="24">
        <f>IFERROR(IF($F$17="","",IF($K$5+ROW()-26&gt;$K$6,"",IF(INDEX('Raw Pressure Data'!$A:$ZZ,$K$5+ROW()-26+$H$17,MATCH($F$17,'Raw Pressure Data'!$1:$1,0))=-999,"",INDEX('Raw Pressure Data'!$A:$ZZ,$K$5+ROW()-26+$H$17,MATCH($F$17,'Raw Pressure Data'!$1:$1,0))+$G$17))),"")</f>
        <v/>
      </c>
      <c r="AA32" s="24">
        <f>IFERROR(IF($F$18="","",IF($K$5+ROW()-26&gt;$K$6,"",IF(INDEX('Raw Pressure Data'!$A:$ZZ,$K$5+ROW()-26+$H$18,MATCH($F$18,'Raw Pressure Data'!$1:$1,0))=-999,"",INDEX('Raw Pressure Data'!$A:$ZZ,$K$5+ROW()-26+$H$18,MATCH($F$18,'Raw Pressure Data'!$1:$1,0))+$G$18))),"")</f>
        <v/>
      </c>
      <c r="AB32" s="24">
        <f>IFERROR(IF($F$19="","",IF($K$5+ROW()-26&gt;$K$6,"",IF(INDEX('Raw Pressure Data'!$A:$ZZ,$K$5+ROW()-26+$H$19,MATCH($F$19,'Raw Pressure Data'!$1:$1,0))=-999,"",INDEX('Raw Pressure Data'!$A:$ZZ,$K$5+ROW()-26+$H$19,MATCH($F$19,'Raw Pressure Data'!$1:$1,0))+$G$19))),"")</f>
        <v/>
      </c>
      <c r="AC32" s="24">
        <f>IFERROR(IF($F$20="","",IF($K$5+ROW()-26&gt;$K$6,"",IF(INDEX('Raw Pressure Data'!$A:$ZZ,$K$5+ROW()-26+$H$20,MATCH($F$20,'Raw Pressure Data'!$1:$1,0))=-999,"",INDEX('Raw Pressure Data'!$A:$ZZ,$K$5+ROW()-26+$H$20,MATCH($F$20,'Raw Pressure Data'!$1:$1,0))+$G$20))),"")</f>
        <v/>
      </c>
      <c r="AD32" s="24">
        <f>IFERROR(IF($F$21="","",IF($K$5+ROW()-26&gt;$K$6,"",IF(INDEX('Raw Pressure Data'!$A:$ZZ,$K$5+ROW()-26+$H$21,MATCH($F$21,'Raw Pressure Data'!$1:$1,0))=-999,"",INDEX('Raw Pressure Data'!$A:$ZZ,$K$5+ROW()-26+$H$21,MATCH($F$21,'Raw Pressure Data'!$1:$1,0))+$G$21))),"")</f>
        <v/>
      </c>
      <c r="AE32" s="24">
        <f>IFERROR(IF($F$22="","",IF($K$5+ROW()-26&gt;$K$6,"",IF(INDEX('Raw Pressure Data'!$A:$ZZ,$K$5+ROW()-26+$H$22,MATCH($F$22,'Raw Pressure Data'!$1:$1,0))=-999,"",INDEX('Raw Pressure Data'!$A:$ZZ,$K$5+ROW()-26+$H$22,MATCH($F$22,'Raw Pressure Data'!$1:$1,0))+$G$22))),"")</f>
        <v/>
      </c>
    </row>
    <row r="33" ht="15" customHeight="1">
      <c r="A33" s="25">
        <f>IFERROR(IF($K$5+ROW()-26&gt;$K$6,"",IF(INDEX('Raw Flow Data'!$A:$A,$K$5+ROW()-26)="","",INDEX('Raw Flow Data'!$A:$A,$K$5+ROW()-26))),"")</f>
        <v/>
      </c>
      <c r="B33" s="26">
        <f>IFERROR(IF($B$3="","",IF($K$5+ROW()-26&gt;$K$6,"",IF(INDEX('Raw Flow Data'!$A:$ZZ,$K$5+ROW()-26+$D$3,MATCH($B$3,'Raw Flow Data'!$1:$1,0))=-999,"",INDEX('Raw Flow Data'!$A:$ZZ,$K$5+ROW()-26+$D$3,MATCH($B$3,'Raw Flow Data'!$1:$1,0))*$C$3))),"")</f>
        <v/>
      </c>
      <c r="C33" s="26">
        <f>IFERROR(IF($B$4="","",IF($K$5+ROW()-26&gt;$K$6,"",IF(INDEX('Raw Flow Data'!$A:$ZZ,$K$5+ROW()-26+$D$4,MATCH($B$4,'Raw Flow Data'!$1:$1,0))=-999,"",INDEX('Raw Flow Data'!$A:$ZZ,$K$5+ROW()-26+$D$4,MATCH($B$4,'Raw Flow Data'!$1:$1,0))*$C$4))),"")</f>
        <v/>
      </c>
      <c r="D33" s="26">
        <f>IFERROR(IF($B$5="","",IF($K$5+ROW()-26&gt;$K$6,"",IF(INDEX('Raw Flow Data'!$A:$ZZ,$K$5+ROW()-26+$D$5,MATCH($B$5,'Raw Flow Data'!$1:$1,0))=-999,"",INDEX('Raw Flow Data'!$A:$ZZ,$K$5+ROW()-26+$D$5,MATCH($B$5,'Raw Flow Data'!$1:$1,0))*$C$5))),"")</f>
        <v/>
      </c>
      <c r="E33" s="26">
        <f>IFERROR(IF($B$6="","",IF($K$5+ROW()-26&gt;$K$6,"",IF(INDEX('Raw Flow Data'!$A:$ZZ,$K$5+ROW()-26+$D$6,MATCH($B$6,'Raw Flow Data'!$1:$1,0))=-999,"",INDEX('Raw Flow Data'!$A:$ZZ,$K$5+ROW()-26+$D$6,MATCH($B$6,'Raw Flow Data'!$1:$1,0))*$C$6))),"")</f>
        <v/>
      </c>
      <c r="F33" s="26">
        <f>IFERROR(IF($B$7="","",IF($K$5+ROW()-26&gt;$K$6,"",IF(INDEX('Raw Flow Data'!$A:$ZZ,$K$5+ROW()-26+$D$7,MATCH($B$7,'Raw Flow Data'!$1:$1,0))=-999,"",INDEX('Raw Flow Data'!$A:$ZZ,$K$5+ROW()-26+$D$7,MATCH($B$7,'Raw Flow Data'!$1:$1,0))*$C$7))),"")</f>
        <v/>
      </c>
      <c r="G33" s="26">
        <f>IFERROR(IF($B$8="","",IF($K$5+ROW()-26&gt;$K$6,"",IF(INDEX('Raw Flow Data'!$A:$ZZ,$K$5+ROW()-26+$D$8,MATCH($B$8,'Raw Flow Data'!$1:$1,0))=-999,"",INDEX('Raw Flow Data'!$A:$ZZ,$K$5+ROW()-26+$D$8,MATCH($B$8,'Raw Flow Data'!$1:$1,0))*$C$8))),"")</f>
        <v/>
      </c>
      <c r="H33" s="26">
        <f>IFERROR(IF($B$9="","",IF($K$5+ROW()-26&gt;$K$6,"",IF(INDEX('Raw Flow Data'!$A:$ZZ,$K$5+ROW()-26+$D$9,MATCH($B$9,'Raw Flow Data'!$1:$1,0))=-999,"",INDEX('Raw Flow Data'!$A:$ZZ,$K$5+ROW()-26+$D$9,MATCH($B$9,'Raw Flow Data'!$1:$1,0))*$C$9))),"")</f>
        <v/>
      </c>
      <c r="I33" s="26">
        <f>IFERROR(IF($B$10="","",IF($K$5+ROW()-26&gt;$K$6,"",IF(INDEX('Raw Flow Data'!$A:$ZZ,$K$5+ROW()-26+$D$10,MATCH($B$10,'Raw Flow Data'!$1:$1,0))=-999,"",INDEX('Raw Flow Data'!$A:$ZZ,$K$5+ROW()-26+$D$10,MATCH($B$10,'Raw Flow Data'!$1:$1,0))*$C$10))),"")</f>
        <v/>
      </c>
      <c r="J33" s="26">
        <f>IFERROR(IF($B$11="","",IF($K$5+ROW()-26&gt;$K$6,"",IF(INDEX('Raw Flow Data'!$A:$ZZ,$K$5+ROW()-26+$D$11,MATCH($B$11,'Raw Flow Data'!$1:$1,0))=-999,"",INDEX('Raw Flow Data'!$A:$ZZ,$K$5+ROW()-26+$D$11,MATCH($B$11,'Raw Flow Data'!$1:$1,0))*$C$11))),"")</f>
        <v/>
      </c>
      <c r="K33" s="26">
        <f>IFERROR(IF($B$12="","",IF($K$5+ROW()-26&gt;$K$6,"",IF(INDEX('Raw Flow Data'!$A:$ZZ,$K$5+ROW()-26+$D$12,MATCH($B$12,'Raw Flow Data'!$1:$1,0))=-999,"",INDEX('Raw Flow Data'!$A:$ZZ,$K$5+ROW()-26+$D$12,MATCH($B$12,'Raw Flow Data'!$1:$1,0))*$C$12))),"")</f>
        <v/>
      </c>
      <c r="L33" s="26">
        <f>IFERROR(IF($F$3="","",IF($K$5+ROW()-26&gt;$K$6,"",IF(INDEX('Raw Pressure Data'!$A:$ZZ,$K$5+ROW()-26+$H$3,MATCH($F$3,'Raw Pressure Data'!$1:$1,0))=-999,"",INDEX('Raw Pressure Data'!$A:$ZZ,$K$5+ROW()-26+$H$3,MATCH($F$3,'Raw Pressure Data'!$1:$1,0))+$G$3))),"")</f>
        <v/>
      </c>
      <c r="M33" s="26">
        <f>IFERROR(IF($F$4="","",IF($K$5+ROW()-26&gt;$K$6,"",IF(INDEX('Raw Pressure Data'!$A:$ZZ,$K$5+ROW()-26+$H$4,MATCH($F$4,'Raw Pressure Data'!$1:$1,0))=-999,"",INDEX('Raw Pressure Data'!$A:$ZZ,$K$5+ROW()-26+$H$4,MATCH($F$4,'Raw Pressure Data'!$1:$1,0))+$G$4))),"")</f>
        <v/>
      </c>
      <c r="N33" s="26">
        <f>IFERROR(IF($F$5="","",IF($K$5+ROW()-26&gt;$K$6,"",IF(INDEX('Raw Pressure Data'!$A:$ZZ,$K$5+ROW()-26+$H$5,MATCH($F$5,'Raw Pressure Data'!$1:$1,0))=-999,"",INDEX('Raw Pressure Data'!$A:$ZZ,$K$5+ROW()-26+$H$5,MATCH($F$5,'Raw Pressure Data'!$1:$1,0))+$G$5))),"")</f>
        <v/>
      </c>
      <c r="O33" s="26">
        <f>IFERROR(IF($F$6="","",IF($K$5+ROW()-26&gt;$K$6,"",IF(INDEX('Raw Pressure Data'!$A:$ZZ,$K$5+ROW()-26+$H$6,MATCH($F$6,'Raw Pressure Data'!$1:$1,0))=-999,"",INDEX('Raw Pressure Data'!$A:$ZZ,$K$5+ROW()-26+$H$6,MATCH($F$6,'Raw Pressure Data'!$1:$1,0))+$G$6))),"")</f>
        <v/>
      </c>
      <c r="P33" s="26">
        <f>IFERROR(IF($F$7="","",IF($K$5+ROW()-26&gt;$K$6,"",IF(INDEX('Raw Pressure Data'!$A:$ZZ,$K$5+ROW()-26+$H$7,MATCH($F$7,'Raw Pressure Data'!$1:$1,0))=-999,"",INDEX('Raw Pressure Data'!$A:$ZZ,$K$5+ROW()-26+$H$7,MATCH($F$7,'Raw Pressure Data'!$1:$1,0))+$G$7))),"")</f>
        <v/>
      </c>
      <c r="Q33" s="26">
        <f>IFERROR(IF($F$8="","",IF($K$5+ROW()-26&gt;$K$6,"",IF(INDEX('Raw Pressure Data'!$A:$ZZ,$K$5+ROW()-26+$H$8,MATCH($F$8,'Raw Pressure Data'!$1:$1,0))=-999,"",INDEX('Raw Pressure Data'!$A:$ZZ,$K$5+ROW()-26+$H$8,MATCH($F$8,'Raw Pressure Data'!$1:$1,0))+$G$8))),"")</f>
        <v/>
      </c>
      <c r="R33" s="26">
        <f>IFERROR(IF($F$9="","",IF($K$5+ROW()-26&gt;$K$6,"",IF(INDEX('Raw Pressure Data'!$A:$ZZ,$K$5+ROW()-26+$H$9,MATCH($F$9,'Raw Pressure Data'!$1:$1,0))=-999,"",INDEX('Raw Pressure Data'!$A:$ZZ,$K$5+ROW()-26+$H$9,MATCH($F$9,'Raw Pressure Data'!$1:$1,0))+$G$9))),"")</f>
        <v/>
      </c>
      <c r="S33" s="26">
        <f>IFERROR(IF($F$10="","",IF($K$5+ROW()-26&gt;$K$6,"",IF(INDEX('Raw Pressure Data'!$A:$ZZ,$K$5+ROW()-26+$H$10,MATCH($F$10,'Raw Pressure Data'!$1:$1,0))=-999,"",INDEX('Raw Pressure Data'!$A:$ZZ,$K$5+ROW()-26+$H$10,MATCH($F$10,'Raw Pressure Data'!$1:$1,0))+$G$10))),"")</f>
        <v/>
      </c>
      <c r="T33" s="26">
        <f>IFERROR(IF($F$11="","",IF($K$5+ROW()-26&gt;$K$6,"",IF(INDEX('Raw Pressure Data'!$A:$ZZ,$K$5+ROW()-26+$H$11,MATCH($F$11,'Raw Pressure Data'!$1:$1,0))=-999,"",INDEX('Raw Pressure Data'!$A:$ZZ,$K$5+ROW()-26+$H$11,MATCH($F$11,'Raw Pressure Data'!$1:$1,0))+$G$11))),"")</f>
        <v/>
      </c>
      <c r="U33" s="26">
        <f>IFERROR(IF($F$12="","",IF($K$5+ROW()-26&gt;$K$6,"",IF(INDEX('Raw Pressure Data'!$A:$ZZ,$K$5+ROW()-26+$H$12,MATCH($F$12,'Raw Pressure Data'!$1:$1,0))=-999,"",INDEX('Raw Pressure Data'!$A:$ZZ,$K$5+ROW()-26+$H$12,MATCH($F$12,'Raw Pressure Data'!$1:$1,0))+$G$12))),"")</f>
        <v/>
      </c>
      <c r="V33" s="26">
        <f>IFERROR(IF($F$13="","",IF($K$5+ROW()-26&gt;$K$6,"",IF(INDEX('Raw Pressure Data'!$A:$ZZ,$K$5+ROW()-26+$H$13,MATCH($F$13,'Raw Pressure Data'!$1:$1,0))=-999,"",INDEX('Raw Pressure Data'!$A:$ZZ,$K$5+ROW()-26+$H$13,MATCH($F$13,'Raw Pressure Data'!$1:$1,0))+$G$13))),"")</f>
        <v/>
      </c>
      <c r="W33" s="26">
        <f>IFERROR(IF($F$14="","",IF($K$5+ROW()-26&gt;$K$6,"",IF(INDEX('Raw Pressure Data'!$A:$ZZ,$K$5+ROW()-26+$H$14,MATCH($F$14,'Raw Pressure Data'!$1:$1,0))=-999,"",INDEX('Raw Pressure Data'!$A:$ZZ,$K$5+ROW()-26+$H$14,MATCH($F$14,'Raw Pressure Data'!$1:$1,0))+$G$14))),"")</f>
        <v/>
      </c>
      <c r="X33" s="26">
        <f>IFERROR(IF($F$15="","",IF($K$5+ROW()-26&gt;$K$6,"",IF(INDEX('Raw Pressure Data'!$A:$ZZ,$K$5+ROW()-26+$H$15,MATCH($F$15,'Raw Pressure Data'!$1:$1,0))=-999,"",INDEX('Raw Pressure Data'!$A:$ZZ,$K$5+ROW()-26+$H$15,MATCH($F$15,'Raw Pressure Data'!$1:$1,0))+$G$15))),"")</f>
        <v/>
      </c>
      <c r="Y33" s="26">
        <f>IFERROR(IF($F$16="","",IF($K$5+ROW()-26&gt;$K$6,"",IF(INDEX('Raw Pressure Data'!$A:$ZZ,$K$5+ROW()-26+$H$16,MATCH($F$16,'Raw Pressure Data'!$1:$1,0))=-999,"",INDEX('Raw Pressure Data'!$A:$ZZ,$K$5+ROW()-26+$H$16,MATCH($F$16,'Raw Pressure Data'!$1:$1,0))+$G$16))),"")</f>
        <v/>
      </c>
      <c r="Z33" s="26">
        <f>IFERROR(IF($F$17="","",IF($K$5+ROW()-26&gt;$K$6,"",IF(INDEX('Raw Pressure Data'!$A:$ZZ,$K$5+ROW()-26+$H$17,MATCH($F$17,'Raw Pressure Data'!$1:$1,0))=-999,"",INDEX('Raw Pressure Data'!$A:$ZZ,$K$5+ROW()-26+$H$17,MATCH($F$17,'Raw Pressure Data'!$1:$1,0))+$G$17))),"")</f>
        <v/>
      </c>
      <c r="AA33" s="26">
        <f>IFERROR(IF($F$18="","",IF($K$5+ROW()-26&gt;$K$6,"",IF(INDEX('Raw Pressure Data'!$A:$ZZ,$K$5+ROW()-26+$H$18,MATCH($F$18,'Raw Pressure Data'!$1:$1,0))=-999,"",INDEX('Raw Pressure Data'!$A:$ZZ,$K$5+ROW()-26+$H$18,MATCH($F$18,'Raw Pressure Data'!$1:$1,0))+$G$18))),"")</f>
        <v/>
      </c>
      <c r="AB33" s="26">
        <f>IFERROR(IF($F$19="","",IF($K$5+ROW()-26&gt;$K$6,"",IF(INDEX('Raw Pressure Data'!$A:$ZZ,$K$5+ROW()-26+$H$19,MATCH($F$19,'Raw Pressure Data'!$1:$1,0))=-999,"",INDEX('Raw Pressure Data'!$A:$ZZ,$K$5+ROW()-26+$H$19,MATCH($F$19,'Raw Pressure Data'!$1:$1,0))+$G$19))),"")</f>
        <v/>
      </c>
      <c r="AC33" s="26">
        <f>IFERROR(IF($F$20="","",IF($K$5+ROW()-26&gt;$K$6,"",IF(INDEX('Raw Pressure Data'!$A:$ZZ,$K$5+ROW()-26+$H$20,MATCH($F$20,'Raw Pressure Data'!$1:$1,0))=-999,"",INDEX('Raw Pressure Data'!$A:$ZZ,$K$5+ROW()-26+$H$20,MATCH($F$20,'Raw Pressure Data'!$1:$1,0))+$G$20))),"")</f>
        <v/>
      </c>
      <c r="AD33" s="26">
        <f>IFERROR(IF($F$21="","",IF($K$5+ROW()-26&gt;$K$6,"",IF(INDEX('Raw Pressure Data'!$A:$ZZ,$K$5+ROW()-26+$H$21,MATCH($F$21,'Raw Pressure Data'!$1:$1,0))=-999,"",INDEX('Raw Pressure Data'!$A:$ZZ,$K$5+ROW()-26+$H$21,MATCH($F$21,'Raw Pressure Data'!$1:$1,0))+$G$21))),"")</f>
        <v/>
      </c>
      <c r="AE33" s="26">
        <f>IFERROR(IF($F$22="","",IF($K$5+ROW()-26&gt;$K$6,"",IF(INDEX('Raw Pressure Data'!$A:$ZZ,$K$5+ROW()-26+$H$22,MATCH($F$22,'Raw Pressure Data'!$1:$1,0))=-999,"",INDEX('Raw Pressure Data'!$A:$ZZ,$K$5+ROW()-26+$H$22,MATCH($F$22,'Raw Pressure Data'!$1:$1,0))+$G$22))),"")</f>
        <v/>
      </c>
    </row>
    <row r="34" ht="15" customHeight="1">
      <c r="A34" s="23">
        <f>IFERROR(IF($K$5+ROW()-26&gt;$K$6,"",IF(INDEX('Raw Flow Data'!$A:$A,$K$5+ROW()-26)="","",INDEX('Raw Flow Data'!$A:$A,$K$5+ROW()-26))),"")</f>
        <v/>
      </c>
      <c r="B34" s="24">
        <f>IFERROR(IF($B$3="","",IF($K$5+ROW()-26&gt;$K$6,"",IF(INDEX('Raw Flow Data'!$A:$ZZ,$K$5+ROW()-26+$D$3,MATCH($B$3,'Raw Flow Data'!$1:$1,0))=-999,"",INDEX('Raw Flow Data'!$A:$ZZ,$K$5+ROW()-26+$D$3,MATCH($B$3,'Raw Flow Data'!$1:$1,0))*$C$3))),"")</f>
        <v/>
      </c>
      <c r="C34" s="24">
        <f>IFERROR(IF($B$4="","",IF($K$5+ROW()-26&gt;$K$6,"",IF(INDEX('Raw Flow Data'!$A:$ZZ,$K$5+ROW()-26+$D$4,MATCH($B$4,'Raw Flow Data'!$1:$1,0))=-999,"",INDEX('Raw Flow Data'!$A:$ZZ,$K$5+ROW()-26+$D$4,MATCH($B$4,'Raw Flow Data'!$1:$1,0))*$C$4))),"")</f>
        <v/>
      </c>
      <c r="D34" s="24">
        <f>IFERROR(IF($B$5="","",IF($K$5+ROW()-26&gt;$K$6,"",IF(INDEX('Raw Flow Data'!$A:$ZZ,$K$5+ROW()-26+$D$5,MATCH($B$5,'Raw Flow Data'!$1:$1,0))=-999,"",INDEX('Raw Flow Data'!$A:$ZZ,$K$5+ROW()-26+$D$5,MATCH($B$5,'Raw Flow Data'!$1:$1,0))*$C$5))),"")</f>
        <v/>
      </c>
      <c r="E34" s="24">
        <f>IFERROR(IF($B$6="","",IF($K$5+ROW()-26&gt;$K$6,"",IF(INDEX('Raw Flow Data'!$A:$ZZ,$K$5+ROW()-26+$D$6,MATCH($B$6,'Raw Flow Data'!$1:$1,0))=-999,"",INDEX('Raw Flow Data'!$A:$ZZ,$K$5+ROW()-26+$D$6,MATCH($B$6,'Raw Flow Data'!$1:$1,0))*$C$6))),"")</f>
        <v/>
      </c>
      <c r="F34" s="24">
        <f>IFERROR(IF($B$7="","",IF($K$5+ROW()-26&gt;$K$6,"",IF(INDEX('Raw Flow Data'!$A:$ZZ,$K$5+ROW()-26+$D$7,MATCH($B$7,'Raw Flow Data'!$1:$1,0))=-999,"",INDEX('Raw Flow Data'!$A:$ZZ,$K$5+ROW()-26+$D$7,MATCH($B$7,'Raw Flow Data'!$1:$1,0))*$C$7))),"")</f>
        <v/>
      </c>
      <c r="G34" s="24">
        <f>IFERROR(IF($B$8="","",IF($K$5+ROW()-26&gt;$K$6,"",IF(INDEX('Raw Flow Data'!$A:$ZZ,$K$5+ROW()-26+$D$8,MATCH($B$8,'Raw Flow Data'!$1:$1,0))=-999,"",INDEX('Raw Flow Data'!$A:$ZZ,$K$5+ROW()-26+$D$8,MATCH($B$8,'Raw Flow Data'!$1:$1,0))*$C$8))),"")</f>
        <v/>
      </c>
      <c r="H34" s="24">
        <f>IFERROR(IF($B$9="","",IF($K$5+ROW()-26&gt;$K$6,"",IF(INDEX('Raw Flow Data'!$A:$ZZ,$K$5+ROW()-26+$D$9,MATCH($B$9,'Raw Flow Data'!$1:$1,0))=-999,"",INDEX('Raw Flow Data'!$A:$ZZ,$K$5+ROW()-26+$D$9,MATCH($B$9,'Raw Flow Data'!$1:$1,0))*$C$9))),"")</f>
        <v/>
      </c>
      <c r="I34" s="24">
        <f>IFERROR(IF($B$10="","",IF($K$5+ROW()-26&gt;$K$6,"",IF(INDEX('Raw Flow Data'!$A:$ZZ,$K$5+ROW()-26+$D$10,MATCH($B$10,'Raw Flow Data'!$1:$1,0))=-999,"",INDEX('Raw Flow Data'!$A:$ZZ,$K$5+ROW()-26+$D$10,MATCH($B$10,'Raw Flow Data'!$1:$1,0))*$C$10))),"")</f>
        <v/>
      </c>
      <c r="J34" s="24">
        <f>IFERROR(IF($B$11="","",IF($K$5+ROW()-26&gt;$K$6,"",IF(INDEX('Raw Flow Data'!$A:$ZZ,$K$5+ROW()-26+$D$11,MATCH($B$11,'Raw Flow Data'!$1:$1,0))=-999,"",INDEX('Raw Flow Data'!$A:$ZZ,$K$5+ROW()-26+$D$11,MATCH($B$11,'Raw Flow Data'!$1:$1,0))*$C$11))),"")</f>
        <v/>
      </c>
      <c r="K34" s="24">
        <f>IFERROR(IF($B$12="","",IF($K$5+ROW()-26&gt;$K$6,"",IF(INDEX('Raw Flow Data'!$A:$ZZ,$K$5+ROW()-26+$D$12,MATCH($B$12,'Raw Flow Data'!$1:$1,0))=-999,"",INDEX('Raw Flow Data'!$A:$ZZ,$K$5+ROW()-26+$D$12,MATCH($B$12,'Raw Flow Data'!$1:$1,0))*$C$12))),"")</f>
        <v/>
      </c>
      <c r="L34" s="24">
        <f>IFERROR(IF($F$3="","",IF($K$5+ROW()-26&gt;$K$6,"",IF(INDEX('Raw Pressure Data'!$A:$ZZ,$K$5+ROW()-26+$H$3,MATCH($F$3,'Raw Pressure Data'!$1:$1,0))=-999,"",INDEX('Raw Pressure Data'!$A:$ZZ,$K$5+ROW()-26+$H$3,MATCH($F$3,'Raw Pressure Data'!$1:$1,0))+$G$3))),"")</f>
        <v/>
      </c>
      <c r="M34" s="24">
        <f>IFERROR(IF($F$4="","",IF($K$5+ROW()-26&gt;$K$6,"",IF(INDEX('Raw Pressure Data'!$A:$ZZ,$K$5+ROW()-26+$H$4,MATCH($F$4,'Raw Pressure Data'!$1:$1,0))=-999,"",INDEX('Raw Pressure Data'!$A:$ZZ,$K$5+ROW()-26+$H$4,MATCH($F$4,'Raw Pressure Data'!$1:$1,0))+$G$4))),"")</f>
        <v/>
      </c>
      <c r="N34" s="24">
        <f>IFERROR(IF($F$5="","",IF($K$5+ROW()-26&gt;$K$6,"",IF(INDEX('Raw Pressure Data'!$A:$ZZ,$K$5+ROW()-26+$H$5,MATCH($F$5,'Raw Pressure Data'!$1:$1,0))=-999,"",INDEX('Raw Pressure Data'!$A:$ZZ,$K$5+ROW()-26+$H$5,MATCH($F$5,'Raw Pressure Data'!$1:$1,0))+$G$5))),"")</f>
        <v/>
      </c>
      <c r="O34" s="24">
        <f>IFERROR(IF($F$6="","",IF($K$5+ROW()-26&gt;$K$6,"",IF(INDEX('Raw Pressure Data'!$A:$ZZ,$K$5+ROW()-26+$H$6,MATCH($F$6,'Raw Pressure Data'!$1:$1,0))=-999,"",INDEX('Raw Pressure Data'!$A:$ZZ,$K$5+ROW()-26+$H$6,MATCH($F$6,'Raw Pressure Data'!$1:$1,0))+$G$6))),"")</f>
        <v/>
      </c>
      <c r="P34" s="24">
        <f>IFERROR(IF($F$7="","",IF($K$5+ROW()-26&gt;$K$6,"",IF(INDEX('Raw Pressure Data'!$A:$ZZ,$K$5+ROW()-26+$H$7,MATCH($F$7,'Raw Pressure Data'!$1:$1,0))=-999,"",INDEX('Raw Pressure Data'!$A:$ZZ,$K$5+ROW()-26+$H$7,MATCH($F$7,'Raw Pressure Data'!$1:$1,0))+$G$7))),"")</f>
        <v/>
      </c>
      <c r="Q34" s="24">
        <f>IFERROR(IF($F$8="","",IF($K$5+ROW()-26&gt;$K$6,"",IF(INDEX('Raw Pressure Data'!$A:$ZZ,$K$5+ROW()-26+$H$8,MATCH($F$8,'Raw Pressure Data'!$1:$1,0))=-999,"",INDEX('Raw Pressure Data'!$A:$ZZ,$K$5+ROW()-26+$H$8,MATCH($F$8,'Raw Pressure Data'!$1:$1,0))+$G$8))),"")</f>
        <v/>
      </c>
      <c r="R34" s="24">
        <f>IFERROR(IF($F$9="","",IF($K$5+ROW()-26&gt;$K$6,"",IF(INDEX('Raw Pressure Data'!$A:$ZZ,$K$5+ROW()-26+$H$9,MATCH($F$9,'Raw Pressure Data'!$1:$1,0))=-999,"",INDEX('Raw Pressure Data'!$A:$ZZ,$K$5+ROW()-26+$H$9,MATCH($F$9,'Raw Pressure Data'!$1:$1,0))+$G$9))),"")</f>
        <v/>
      </c>
      <c r="S34" s="24">
        <f>IFERROR(IF($F$10="","",IF($K$5+ROW()-26&gt;$K$6,"",IF(INDEX('Raw Pressure Data'!$A:$ZZ,$K$5+ROW()-26+$H$10,MATCH($F$10,'Raw Pressure Data'!$1:$1,0))=-999,"",INDEX('Raw Pressure Data'!$A:$ZZ,$K$5+ROW()-26+$H$10,MATCH($F$10,'Raw Pressure Data'!$1:$1,0))+$G$10))),"")</f>
        <v/>
      </c>
      <c r="T34" s="24">
        <f>IFERROR(IF($F$11="","",IF($K$5+ROW()-26&gt;$K$6,"",IF(INDEX('Raw Pressure Data'!$A:$ZZ,$K$5+ROW()-26+$H$11,MATCH($F$11,'Raw Pressure Data'!$1:$1,0))=-999,"",INDEX('Raw Pressure Data'!$A:$ZZ,$K$5+ROW()-26+$H$11,MATCH($F$11,'Raw Pressure Data'!$1:$1,0))+$G$11))),"")</f>
        <v/>
      </c>
      <c r="U34" s="24">
        <f>IFERROR(IF($F$12="","",IF($K$5+ROW()-26&gt;$K$6,"",IF(INDEX('Raw Pressure Data'!$A:$ZZ,$K$5+ROW()-26+$H$12,MATCH($F$12,'Raw Pressure Data'!$1:$1,0))=-999,"",INDEX('Raw Pressure Data'!$A:$ZZ,$K$5+ROW()-26+$H$12,MATCH($F$12,'Raw Pressure Data'!$1:$1,0))+$G$12))),"")</f>
        <v/>
      </c>
      <c r="V34" s="24">
        <f>IFERROR(IF($F$13="","",IF($K$5+ROW()-26&gt;$K$6,"",IF(INDEX('Raw Pressure Data'!$A:$ZZ,$K$5+ROW()-26+$H$13,MATCH($F$13,'Raw Pressure Data'!$1:$1,0))=-999,"",INDEX('Raw Pressure Data'!$A:$ZZ,$K$5+ROW()-26+$H$13,MATCH($F$13,'Raw Pressure Data'!$1:$1,0))+$G$13))),"")</f>
        <v/>
      </c>
      <c r="W34" s="24">
        <f>IFERROR(IF($F$14="","",IF($K$5+ROW()-26&gt;$K$6,"",IF(INDEX('Raw Pressure Data'!$A:$ZZ,$K$5+ROW()-26+$H$14,MATCH($F$14,'Raw Pressure Data'!$1:$1,0))=-999,"",INDEX('Raw Pressure Data'!$A:$ZZ,$K$5+ROW()-26+$H$14,MATCH($F$14,'Raw Pressure Data'!$1:$1,0))+$G$14))),"")</f>
        <v/>
      </c>
      <c r="X34" s="24">
        <f>IFERROR(IF($F$15="","",IF($K$5+ROW()-26&gt;$K$6,"",IF(INDEX('Raw Pressure Data'!$A:$ZZ,$K$5+ROW()-26+$H$15,MATCH($F$15,'Raw Pressure Data'!$1:$1,0))=-999,"",INDEX('Raw Pressure Data'!$A:$ZZ,$K$5+ROW()-26+$H$15,MATCH($F$15,'Raw Pressure Data'!$1:$1,0))+$G$15))),"")</f>
        <v/>
      </c>
      <c r="Y34" s="24">
        <f>IFERROR(IF($F$16="","",IF($K$5+ROW()-26&gt;$K$6,"",IF(INDEX('Raw Pressure Data'!$A:$ZZ,$K$5+ROW()-26+$H$16,MATCH($F$16,'Raw Pressure Data'!$1:$1,0))=-999,"",INDEX('Raw Pressure Data'!$A:$ZZ,$K$5+ROW()-26+$H$16,MATCH($F$16,'Raw Pressure Data'!$1:$1,0))+$G$16))),"")</f>
        <v/>
      </c>
      <c r="Z34" s="24">
        <f>IFERROR(IF($F$17="","",IF($K$5+ROW()-26&gt;$K$6,"",IF(INDEX('Raw Pressure Data'!$A:$ZZ,$K$5+ROW()-26+$H$17,MATCH($F$17,'Raw Pressure Data'!$1:$1,0))=-999,"",INDEX('Raw Pressure Data'!$A:$ZZ,$K$5+ROW()-26+$H$17,MATCH($F$17,'Raw Pressure Data'!$1:$1,0))+$G$17))),"")</f>
        <v/>
      </c>
      <c r="AA34" s="24">
        <f>IFERROR(IF($F$18="","",IF($K$5+ROW()-26&gt;$K$6,"",IF(INDEX('Raw Pressure Data'!$A:$ZZ,$K$5+ROW()-26+$H$18,MATCH($F$18,'Raw Pressure Data'!$1:$1,0))=-999,"",INDEX('Raw Pressure Data'!$A:$ZZ,$K$5+ROW()-26+$H$18,MATCH($F$18,'Raw Pressure Data'!$1:$1,0))+$G$18))),"")</f>
        <v/>
      </c>
      <c r="AB34" s="24">
        <f>IFERROR(IF($F$19="","",IF($K$5+ROW()-26&gt;$K$6,"",IF(INDEX('Raw Pressure Data'!$A:$ZZ,$K$5+ROW()-26+$H$19,MATCH($F$19,'Raw Pressure Data'!$1:$1,0))=-999,"",INDEX('Raw Pressure Data'!$A:$ZZ,$K$5+ROW()-26+$H$19,MATCH($F$19,'Raw Pressure Data'!$1:$1,0))+$G$19))),"")</f>
        <v/>
      </c>
      <c r="AC34" s="24">
        <f>IFERROR(IF($F$20="","",IF($K$5+ROW()-26&gt;$K$6,"",IF(INDEX('Raw Pressure Data'!$A:$ZZ,$K$5+ROW()-26+$H$20,MATCH($F$20,'Raw Pressure Data'!$1:$1,0))=-999,"",INDEX('Raw Pressure Data'!$A:$ZZ,$K$5+ROW()-26+$H$20,MATCH($F$20,'Raw Pressure Data'!$1:$1,0))+$G$20))),"")</f>
        <v/>
      </c>
      <c r="AD34" s="24">
        <f>IFERROR(IF($F$21="","",IF($K$5+ROW()-26&gt;$K$6,"",IF(INDEX('Raw Pressure Data'!$A:$ZZ,$K$5+ROW()-26+$H$21,MATCH($F$21,'Raw Pressure Data'!$1:$1,0))=-999,"",INDEX('Raw Pressure Data'!$A:$ZZ,$K$5+ROW()-26+$H$21,MATCH($F$21,'Raw Pressure Data'!$1:$1,0))+$G$21))),"")</f>
        <v/>
      </c>
      <c r="AE34" s="24">
        <f>IFERROR(IF($F$22="","",IF($K$5+ROW()-26&gt;$K$6,"",IF(INDEX('Raw Pressure Data'!$A:$ZZ,$K$5+ROW()-26+$H$22,MATCH($F$22,'Raw Pressure Data'!$1:$1,0))=-999,"",INDEX('Raw Pressure Data'!$A:$ZZ,$K$5+ROW()-26+$H$22,MATCH($F$22,'Raw Pressure Data'!$1:$1,0))+$G$22))),"")</f>
        <v/>
      </c>
    </row>
    <row r="35" ht="15" customHeight="1">
      <c r="A35" s="25">
        <f>IFERROR(IF($K$5+ROW()-26&gt;$K$6,"",IF(INDEX('Raw Flow Data'!$A:$A,$K$5+ROW()-26)="","",INDEX('Raw Flow Data'!$A:$A,$K$5+ROW()-26))),"")</f>
        <v/>
      </c>
      <c r="B35" s="26">
        <f>IFERROR(IF($B$3="","",IF($K$5+ROW()-26&gt;$K$6,"",IF(INDEX('Raw Flow Data'!$A:$ZZ,$K$5+ROW()-26+$D$3,MATCH($B$3,'Raw Flow Data'!$1:$1,0))=-999,"",INDEX('Raw Flow Data'!$A:$ZZ,$K$5+ROW()-26+$D$3,MATCH($B$3,'Raw Flow Data'!$1:$1,0))*$C$3))),"")</f>
        <v/>
      </c>
      <c r="C35" s="26">
        <f>IFERROR(IF($B$4="","",IF($K$5+ROW()-26&gt;$K$6,"",IF(INDEX('Raw Flow Data'!$A:$ZZ,$K$5+ROW()-26+$D$4,MATCH($B$4,'Raw Flow Data'!$1:$1,0))=-999,"",INDEX('Raw Flow Data'!$A:$ZZ,$K$5+ROW()-26+$D$4,MATCH($B$4,'Raw Flow Data'!$1:$1,0))*$C$4))),"")</f>
        <v/>
      </c>
      <c r="D35" s="26">
        <f>IFERROR(IF($B$5="","",IF($K$5+ROW()-26&gt;$K$6,"",IF(INDEX('Raw Flow Data'!$A:$ZZ,$K$5+ROW()-26+$D$5,MATCH($B$5,'Raw Flow Data'!$1:$1,0))=-999,"",INDEX('Raw Flow Data'!$A:$ZZ,$K$5+ROW()-26+$D$5,MATCH($B$5,'Raw Flow Data'!$1:$1,0))*$C$5))),"")</f>
        <v/>
      </c>
      <c r="E35" s="26">
        <f>IFERROR(IF($B$6="","",IF($K$5+ROW()-26&gt;$K$6,"",IF(INDEX('Raw Flow Data'!$A:$ZZ,$K$5+ROW()-26+$D$6,MATCH($B$6,'Raw Flow Data'!$1:$1,0))=-999,"",INDEX('Raw Flow Data'!$A:$ZZ,$K$5+ROW()-26+$D$6,MATCH($B$6,'Raw Flow Data'!$1:$1,0))*$C$6))),"")</f>
        <v/>
      </c>
      <c r="F35" s="26">
        <f>IFERROR(IF($B$7="","",IF($K$5+ROW()-26&gt;$K$6,"",IF(INDEX('Raw Flow Data'!$A:$ZZ,$K$5+ROW()-26+$D$7,MATCH($B$7,'Raw Flow Data'!$1:$1,0))=-999,"",INDEX('Raw Flow Data'!$A:$ZZ,$K$5+ROW()-26+$D$7,MATCH($B$7,'Raw Flow Data'!$1:$1,0))*$C$7))),"")</f>
        <v/>
      </c>
      <c r="G35" s="26">
        <f>IFERROR(IF($B$8="","",IF($K$5+ROW()-26&gt;$K$6,"",IF(INDEX('Raw Flow Data'!$A:$ZZ,$K$5+ROW()-26+$D$8,MATCH($B$8,'Raw Flow Data'!$1:$1,0))=-999,"",INDEX('Raw Flow Data'!$A:$ZZ,$K$5+ROW()-26+$D$8,MATCH($B$8,'Raw Flow Data'!$1:$1,0))*$C$8))),"")</f>
        <v/>
      </c>
      <c r="H35" s="26">
        <f>IFERROR(IF($B$9="","",IF($K$5+ROW()-26&gt;$K$6,"",IF(INDEX('Raw Flow Data'!$A:$ZZ,$K$5+ROW()-26+$D$9,MATCH($B$9,'Raw Flow Data'!$1:$1,0))=-999,"",INDEX('Raw Flow Data'!$A:$ZZ,$K$5+ROW()-26+$D$9,MATCH($B$9,'Raw Flow Data'!$1:$1,0))*$C$9))),"")</f>
        <v/>
      </c>
      <c r="I35" s="26">
        <f>IFERROR(IF($B$10="","",IF($K$5+ROW()-26&gt;$K$6,"",IF(INDEX('Raw Flow Data'!$A:$ZZ,$K$5+ROW()-26+$D$10,MATCH($B$10,'Raw Flow Data'!$1:$1,0))=-999,"",INDEX('Raw Flow Data'!$A:$ZZ,$K$5+ROW()-26+$D$10,MATCH($B$10,'Raw Flow Data'!$1:$1,0))*$C$10))),"")</f>
        <v/>
      </c>
      <c r="J35" s="26">
        <f>IFERROR(IF($B$11="","",IF($K$5+ROW()-26&gt;$K$6,"",IF(INDEX('Raw Flow Data'!$A:$ZZ,$K$5+ROW()-26+$D$11,MATCH($B$11,'Raw Flow Data'!$1:$1,0))=-999,"",INDEX('Raw Flow Data'!$A:$ZZ,$K$5+ROW()-26+$D$11,MATCH($B$11,'Raw Flow Data'!$1:$1,0))*$C$11))),"")</f>
        <v/>
      </c>
      <c r="K35" s="26">
        <f>IFERROR(IF($B$12="","",IF($K$5+ROW()-26&gt;$K$6,"",IF(INDEX('Raw Flow Data'!$A:$ZZ,$K$5+ROW()-26+$D$12,MATCH($B$12,'Raw Flow Data'!$1:$1,0))=-999,"",INDEX('Raw Flow Data'!$A:$ZZ,$K$5+ROW()-26+$D$12,MATCH($B$12,'Raw Flow Data'!$1:$1,0))*$C$12))),"")</f>
        <v/>
      </c>
      <c r="L35" s="26">
        <f>IFERROR(IF($F$3="","",IF($K$5+ROW()-26&gt;$K$6,"",IF(INDEX('Raw Pressure Data'!$A:$ZZ,$K$5+ROW()-26+$H$3,MATCH($F$3,'Raw Pressure Data'!$1:$1,0))=-999,"",INDEX('Raw Pressure Data'!$A:$ZZ,$K$5+ROW()-26+$H$3,MATCH($F$3,'Raw Pressure Data'!$1:$1,0))+$G$3))),"")</f>
        <v/>
      </c>
      <c r="M35" s="26">
        <f>IFERROR(IF($F$4="","",IF($K$5+ROW()-26&gt;$K$6,"",IF(INDEX('Raw Pressure Data'!$A:$ZZ,$K$5+ROW()-26+$H$4,MATCH($F$4,'Raw Pressure Data'!$1:$1,0))=-999,"",INDEX('Raw Pressure Data'!$A:$ZZ,$K$5+ROW()-26+$H$4,MATCH($F$4,'Raw Pressure Data'!$1:$1,0))+$G$4))),"")</f>
        <v/>
      </c>
      <c r="N35" s="26">
        <f>IFERROR(IF($F$5="","",IF($K$5+ROW()-26&gt;$K$6,"",IF(INDEX('Raw Pressure Data'!$A:$ZZ,$K$5+ROW()-26+$H$5,MATCH($F$5,'Raw Pressure Data'!$1:$1,0))=-999,"",INDEX('Raw Pressure Data'!$A:$ZZ,$K$5+ROW()-26+$H$5,MATCH($F$5,'Raw Pressure Data'!$1:$1,0))+$G$5))),"")</f>
        <v/>
      </c>
      <c r="O35" s="26">
        <f>IFERROR(IF($F$6="","",IF($K$5+ROW()-26&gt;$K$6,"",IF(INDEX('Raw Pressure Data'!$A:$ZZ,$K$5+ROW()-26+$H$6,MATCH($F$6,'Raw Pressure Data'!$1:$1,0))=-999,"",INDEX('Raw Pressure Data'!$A:$ZZ,$K$5+ROW()-26+$H$6,MATCH($F$6,'Raw Pressure Data'!$1:$1,0))+$G$6))),"")</f>
        <v/>
      </c>
      <c r="P35" s="26">
        <f>IFERROR(IF($F$7="","",IF($K$5+ROW()-26&gt;$K$6,"",IF(INDEX('Raw Pressure Data'!$A:$ZZ,$K$5+ROW()-26+$H$7,MATCH($F$7,'Raw Pressure Data'!$1:$1,0))=-999,"",INDEX('Raw Pressure Data'!$A:$ZZ,$K$5+ROW()-26+$H$7,MATCH($F$7,'Raw Pressure Data'!$1:$1,0))+$G$7))),"")</f>
        <v/>
      </c>
      <c r="Q35" s="26">
        <f>IFERROR(IF($F$8="","",IF($K$5+ROW()-26&gt;$K$6,"",IF(INDEX('Raw Pressure Data'!$A:$ZZ,$K$5+ROW()-26+$H$8,MATCH($F$8,'Raw Pressure Data'!$1:$1,0))=-999,"",INDEX('Raw Pressure Data'!$A:$ZZ,$K$5+ROW()-26+$H$8,MATCH($F$8,'Raw Pressure Data'!$1:$1,0))+$G$8))),"")</f>
        <v/>
      </c>
      <c r="R35" s="26">
        <f>IFERROR(IF($F$9="","",IF($K$5+ROW()-26&gt;$K$6,"",IF(INDEX('Raw Pressure Data'!$A:$ZZ,$K$5+ROW()-26+$H$9,MATCH($F$9,'Raw Pressure Data'!$1:$1,0))=-999,"",INDEX('Raw Pressure Data'!$A:$ZZ,$K$5+ROW()-26+$H$9,MATCH($F$9,'Raw Pressure Data'!$1:$1,0))+$G$9))),"")</f>
        <v/>
      </c>
      <c r="S35" s="26">
        <f>IFERROR(IF($F$10="","",IF($K$5+ROW()-26&gt;$K$6,"",IF(INDEX('Raw Pressure Data'!$A:$ZZ,$K$5+ROW()-26+$H$10,MATCH($F$10,'Raw Pressure Data'!$1:$1,0))=-999,"",INDEX('Raw Pressure Data'!$A:$ZZ,$K$5+ROW()-26+$H$10,MATCH($F$10,'Raw Pressure Data'!$1:$1,0))+$G$10))),"")</f>
        <v/>
      </c>
      <c r="T35" s="26">
        <f>IFERROR(IF($F$11="","",IF($K$5+ROW()-26&gt;$K$6,"",IF(INDEX('Raw Pressure Data'!$A:$ZZ,$K$5+ROW()-26+$H$11,MATCH($F$11,'Raw Pressure Data'!$1:$1,0))=-999,"",INDEX('Raw Pressure Data'!$A:$ZZ,$K$5+ROW()-26+$H$11,MATCH($F$11,'Raw Pressure Data'!$1:$1,0))+$G$11))),"")</f>
        <v/>
      </c>
      <c r="U35" s="26">
        <f>IFERROR(IF($F$12="","",IF($K$5+ROW()-26&gt;$K$6,"",IF(INDEX('Raw Pressure Data'!$A:$ZZ,$K$5+ROW()-26+$H$12,MATCH($F$12,'Raw Pressure Data'!$1:$1,0))=-999,"",INDEX('Raw Pressure Data'!$A:$ZZ,$K$5+ROW()-26+$H$12,MATCH($F$12,'Raw Pressure Data'!$1:$1,0))+$G$12))),"")</f>
        <v/>
      </c>
      <c r="V35" s="26">
        <f>IFERROR(IF($F$13="","",IF($K$5+ROW()-26&gt;$K$6,"",IF(INDEX('Raw Pressure Data'!$A:$ZZ,$K$5+ROW()-26+$H$13,MATCH($F$13,'Raw Pressure Data'!$1:$1,0))=-999,"",INDEX('Raw Pressure Data'!$A:$ZZ,$K$5+ROW()-26+$H$13,MATCH($F$13,'Raw Pressure Data'!$1:$1,0))+$G$13))),"")</f>
        <v/>
      </c>
      <c r="W35" s="26">
        <f>IFERROR(IF($F$14="","",IF($K$5+ROW()-26&gt;$K$6,"",IF(INDEX('Raw Pressure Data'!$A:$ZZ,$K$5+ROW()-26+$H$14,MATCH($F$14,'Raw Pressure Data'!$1:$1,0))=-999,"",INDEX('Raw Pressure Data'!$A:$ZZ,$K$5+ROW()-26+$H$14,MATCH($F$14,'Raw Pressure Data'!$1:$1,0))+$G$14))),"")</f>
        <v/>
      </c>
      <c r="X35" s="26">
        <f>IFERROR(IF($F$15="","",IF($K$5+ROW()-26&gt;$K$6,"",IF(INDEX('Raw Pressure Data'!$A:$ZZ,$K$5+ROW()-26+$H$15,MATCH($F$15,'Raw Pressure Data'!$1:$1,0))=-999,"",INDEX('Raw Pressure Data'!$A:$ZZ,$K$5+ROW()-26+$H$15,MATCH($F$15,'Raw Pressure Data'!$1:$1,0))+$G$15))),"")</f>
        <v/>
      </c>
      <c r="Y35" s="26">
        <f>IFERROR(IF($F$16="","",IF($K$5+ROW()-26&gt;$K$6,"",IF(INDEX('Raw Pressure Data'!$A:$ZZ,$K$5+ROW()-26+$H$16,MATCH($F$16,'Raw Pressure Data'!$1:$1,0))=-999,"",INDEX('Raw Pressure Data'!$A:$ZZ,$K$5+ROW()-26+$H$16,MATCH($F$16,'Raw Pressure Data'!$1:$1,0))+$G$16))),"")</f>
        <v/>
      </c>
      <c r="Z35" s="26">
        <f>IFERROR(IF($F$17="","",IF($K$5+ROW()-26&gt;$K$6,"",IF(INDEX('Raw Pressure Data'!$A:$ZZ,$K$5+ROW()-26+$H$17,MATCH($F$17,'Raw Pressure Data'!$1:$1,0))=-999,"",INDEX('Raw Pressure Data'!$A:$ZZ,$K$5+ROW()-26+$H$17,MATCH($F$17,'Raw Pressure Data'!$1:$1,0))+$G$17))),"")</f>
        <v/>
      </c>
      <c r="AA35" s="26">
        <f>IFERROR(IF($F$18="","",IF($K$5+ROW()-26&gt;$K$6,"",IF(INDEX('Raw Pressure Data'!$A:$ZZ,$K$5+ROW()-26+$H$18,MATCH($F$18,'Raw Pressure Data'!$1:$1,0))=-999,"",INDEX('Raw Pressure Data'!$A:$ZZ,$K$5+ROW()-26+$H$18,MATCH($F$18,'Raw Pressure Data'!$1:$1,0))+$G$18))),"")</f>
        <v/>
      </c>
      <c r="AB35" s="26">
        <f>IFERROR(IF($F$19="","",IF($K$5+ROW()-26&gt;$K$6,"",IF(INDEX('Raw Pressure Data'!$A:$ZZ,$K$5+ROW()-26+$H$19,MATCH($F$19,'Raw Pressure Data'!$1:$1,0))=-999,"",INDEX('Raw Pressure Data'!$A:$ZZ,$K$5+ROW()-26+$H$19,MATCH($F$19,'Raw Pressure Data'!$1:$1,0))+$G$19))),"")</f>
        <v/>
      </c>
      <c r="AC35" s="26">
        <f>IFERROR(IF($F$20="","",IF($K$5+ROW()-26&gt;$K$6,"",IF(INDEX('Raw Pressure Data'!$A:$ZZ,$K$5+ROW()-26+$H$20,MATCH($F$20,'Raw Pressure Data'!$1:$1,0))=-999,"",INDEX('Raw Pressure Data'!$A:$ZZ,$K$5+ROW()-26+$H$20,MATCH($F$20,'Raw Pressure Data'!$1:$1,0))+$G$20))),"")</f>
        <v/>
      </c>
      <c r="AD35" s="26">
        <f>IFERROR(IF($F$21="","",IF($K$5+ROW()-26&gt;$K$6,"",IF(INDEX('Raw Pressure Data'!$A:$ZZ,$K$5+ROW()-26+$H$21,MATCH($F$21,'Raw Pressure Data'!$1:$1,0))=-999,"",INDEX('Raw Pressure Data'!$A:$ZZ,$K$5+ROW()-26+$H$21,MATCH($F$21,'Raw Pressure Data'!$1:$1,0))+$G$21))),"")</f>
        <v/>
      </c>
      <c r="AE35" s="26">
        <f>IFERROR(IF($F$22="","",IF($K$5+ROW()-26&gt;$K$6,"",IF(INDEX('Raw Pressure Data'!$A:$ZZ,$K$5+ROW()-26+$H$22,MATCH($F$22,'Raw Pressure Data'!$1:$1,0))=-999,"",INDEX('Raw Pressure Data'!$A:$ZZ,$K$5+ROW()-26+$H$22,MATCH($F$22,'Raw Pressure Data'!$1:$1,0))+$G$22))),"")</f>
        <v/>
      </c>
    </row>
    <row r="36" ht="15" customHeight="1">
      <c r="A36" s="23">
        <f>IFERROR(IF($K$5+ROW()-26&gt;$K$6,"",IF(INDEX('Raw Flow Data'!$A:$A,$K$5+ROW()-26)="","",INDEX('Raw Flow Data'!$A:$A,$K$5+ROW()-26))),"")</f>
        <v/>
      </c>
      <c r="B36" s="24">
        <f>IFERROR(IF($B$3="","",IF($K$5+ROW()-26&gt;$K$6,"",IF(INDEX('Raw Flow Data'!$A:$ZZ,$K$5+ROW()-26+$D$3,MATCH($B$3,'Raw Flow Data'!$1:$1,0))=-999,"",INDEX('Raw Flow Data'!$A:$ZZ,$K$5+ROW()-26+$D$3,MATCH($B$3,'Raw Flow Data'!$1:$1,0))*$C$3))),"")</f>
        <v/>
      </c>
      <c r="C36" s="24">
        <f>IFERROR(IF($B$4="","",IF($K$5+ROW()-26&gt;$K$6,"",IF(INDEX('Raw Flow Data'!$A:$ZZ,$K$5+ROW()-26+$D$4,MATCH($B$4,'Raw Flow Data'!$1:$1,0))=-999,"",INDEX('Raw Flow Data'!$A:$ZZ,$K$5+ROW()-26+$D$4,MATCH($B$4,'Raw Flow Data'!$1:$1,0))*$C$4))),"")</f>
        <v/>
      </c>
      <c r="D36" s="24">
        <f>IFERROR(IF($B$5="","",IF($K$5+ROW()-26&gt;$K$6,"",IF(INDEX('Raw Flow Data'!$A:$ZZ,$K$5+ROW()-26+$D$5,MATCH($B$5,'Raw Flow Data'!$1:$1,0))=-999,"",INDEX('Raw Flow Data'!$A:$ZZ,$K$5+ROW()-26+$D$5,MATCH($B$5,'Raw Flow Data'!$1:$1,0))*$C$5))),"")</f>
        <v/>
      </c>
      <c r="E36" s="24">
        <f>IFERROR(IF($B$6="","",IF($K$5+ROW()-26&gt;$K$6,"",IF(INDEX('Raw Flow Data'!$A:$ZZ,$K$5+ROW()-26+$D$6,MATCH($B$6,'Raw Flow Data'!$1:$1,0))=-999,"",INDEX('Raw Flow Data'!$A:$ZZ,$K$5+ROW()-26+$D$6,MATCH($B$6,'Raw Flow Data'!$1:$1,0))*$C$6))),"")</f>
        <v/>
      </c>
      <c r="F36" s="24">
        <f>IFERROR(IF($B$7="","",IF($K$5+ROW()-26&gt;$K$6,"",IF(INDEX('Raw Flow Data'!$A:$ZZ,$K$5+ROW()-26+$D$7,MATCH($B$7,'Raw Flow Data'!$1:$1,0))=-999,"",INDEX('Raw Flow Data'!$A:$ZZ,$K$5+ROW()-26+$D$7,MATCH($B$7,'Raw Flow Data'!$1:$1,0))*$C$7))),"")</f>
        <v/>
      </c>
      <c r="G36" s="24">
        <f>IFERROR(IF($B$8="","",IF($K$5+ROW()-26&gt;$K$6,"",IF(INDEX('Raw Flow Data'!$A:$ZZ,$K$5+ROW()-26+$D$8,MATCH($B$8,'Raw Flow Data'!$1:$1,0))=-999,"",INDEX('Raw Flow Data'!$A:$ZZ,$K$5+ROW()-26+$D$8,MATCH($B$8,'Raw Flow Data'!$1:$1,0))*$C$8))),"")</f>
        <v/>
      </c>
      <c r="H36" s="24">
        <f>IFERROR(IF($B$9="","",IF($K$5+ROW()-26&gt;$K$6,"",IF(INDEX('Raw Flow Data'!$A:$ZZ,$K$5+ROW()-26+$D$9,MATCH($B$9,'Raw Flow Data'!$1:$1,0))=-999,"",INDEX('Raw Flow Data'!$A:$ZZ,$K$5+ROW()-26+$D$9,MATCH($B$9,'Raw Flow Data'!$1:$1,0))*$C$9))),"")</f>
        <v/>
      </c>
      <c r="I36" s="24">
        <f>IFERROR(IF($B$10="","",IF($K$5+ROW()-26&gt;$K$6,"",IF(INDEX('Raw Flow Data'!$A:$ZZ,$K$5+ROW()-26+$D$10,MATCH($B$10,'Raw Flow Data'!$1:$1,0))=-999,"",INDEX('Raw Flow Data'!$A:$ZZ,$K$5+ROW()-26+$D$10,MATCH($B$10,'Raw Flow Data'!$1:$1,0))*$C$10))),"")</f>
        <v/>
      </c>
      <c r="J36" s="24">
        <f>IFERROR(IF($B$11="","",IF($K$5+ROW()-26&gt;$K$6,"",IF(INDEX('Raw Flow Data'!$A:$ZZ,$K$5+ROW()-26+$D$11,MATCH($B$11,'Raw Flow Data'!$1:$1,0))=-999,"",INDEX('Raw Flow Data'!$A:$ZZ,$K$5+ROW()-26+$D$11,MATCH($B$11,'Raw Flow Data'!$1:$1,0))*$C$11))),"")</f>
        <v/>
      </c>
      <c r="K36" s="24">
        <f>IFERROR(IF($B$12="","",IF($K$5+ROW()-26&gt;$K$6,"",IF(INDEX('Raw Flow Data'!$A:$ZZ,$K$5+ROW()-26+$D$12,MATCH($B$12,'Raw Flow Data'!$1:$1,0))=-999,"",INDEX('Raw Flow Data'!$A:$ZZ,$K$5+ROW()-26+$D$12,MATCH($B$12,'Raw Flow Data'!$1:$1,0))*$C$12))),"")</f>
        <v/>
      </c>
      <c r="L36" s="24">
        <f>IFERROR(IF($F$3="","",IF($K$5+ROW()-26&gt;$K$6,"",IF(INDEX('Raw Pressure Data'!$A:$ZZ,$K$5+ROW()-26+$H$3,MATCH($F$3,'Raw Pressure Data'!$1:$1,0))=-999,"",INDEX('Raw Pressure Data'!$A:$ZZ,$K$5+ROW()-26+$H$3,MATCH($F$3,'Raw Pressure Data'!$1:$1,0))+$G$3))),"")</f>
        <v/>
      </c>
      <c r="M36" s="24">
        <f>IFERROR(IF($F$4="","",IF($K$5+ROW()-26&gt;$K$6,"",IF(INDEX('Raw Pressure Data'!$A:$ZZ,$K$5+ROW()-26+$H$4,MATCH($F$4,'Raw Pressure Data'!$1:$1,0))=-999,"",INDEX('Raw Pressure Data'!$A:$ZZ,$K$5+ROW()-26+$H$4,MATCH($F$4,'Raw Pressure Data'!$1:$1,0))+$G$4))),"")</f>
        <v/>
      </c>
      <c r="N36" s="24">
        <f>IFERROR(IF($F$5="","",IF($K$5+ROW()-26&gt;$K$6,"",IF(INDEX('Raw Pressure Data'!$A:$ZZ,$K$5+ROW()-26+$H$5,MATCH($F$5,'Raw Pressure Data'!$1:$1,0))=-999,"",INDEX('Raw Pressure Data'!$A:$ZZ,$K$5+ROW()-26+$H$5,MATCH($F$5,'Raw Pressure Data'!$1:$1,0))+$G$5))),"")</f>
        <v/>
      </c>
      <c r="O36" s="24">
        <f>IFERROR(IF($F$6="","",IF($K$5+ROW()-26&gt;$K$6,"",IF(INDEX('Raw Pressure Data'!$A:$ZZ,$K$5+ROW()-26+$H$6,MATCH($F$6,'Raw Pressure Data'!$1:$1,0))=-999,"",INDEX('Raw Pressure Data'!$A:$ZZ,$K$5+ROW()-26+$H$6,MATCH($F$6,'Raw Pressure Data'!$1:$1,0))+$G$6))),"")</f>
        <v/>
      </c>
      <c r="P36" s="24">
        <f>IFERROR(IF($F$7="","",IF($K$5+ROW()-26&gt;$K$6,"",IF(INDEX('Raw Pressure Data'!$A:$ZZ,$K$5+ROW()-26+$H$7,MATCH($F$7,'Raw Pressure Data'!$1:$1,0))=-999,"",INDEX('Raw Pressure Data'!$A:$ZZ,$K$5+ROW()-26+$H$7,MATCH($F$7,'Raw Pressure Data'!$1:$1,0))+$G$7))),"")</f>
        <v/>
      </c>
      <c r="Q36" s="24">
        <f>IFERROR(IF($F$8="","",IF($K$5+ROW()-26&gt;$K$6,"",IF(INDEX('Raw Pressure Data'!$A:$ZZ,$K$5+ROW()-26+$H$8,MATCH($F$8,'Raw Pressure Data'!$1:$1,0))=-999,"",INDEX('Raw Pressure Data'!$A:$ZZ,$K$5+ROW()-26+$H$8,MATCH($F$8,'Raw Pressure Data'!$1:$1,0))+$G$8))),"")</f>
        <v/>
      </c>
      <c r="R36" s="24">
        <f>IFERROR(IF($F$9="","",IF($K$5+ROW()-26&gt;$K$6,"",IF(INDEX('Raw Pressure Data'!$A:$ZZ,$K$5+ROW()-26+$H$9,MATCH($F$9,'Raw Pressure Data'!$1:$1,0))=-999,"",INDEX('Raw Pressure Data'!$A:$ZZ,$K$5+ROW()-26+$H$9,MATCH($F$9,'Raw Pressure Data'!$1:$1,0))+$G$9))),"")</f>
        <v/>
      </c>
      <c r="S36" s="24">
        <f>IFERROR(IF($F$10="","",IF($K$5+ROW()-26&gt;$K$6,"",IF(INDEX('Raw Pressure Data'!$A:$ZZ,$K$5+ROW()-26+$H$10,MATCH($F$10,'Raw Pressure Data'!$1:$1,0))=-999,"",INDEX('Raw Pressure Data'!$A:$ZZ,$K$5+ROW()-26+$H$10,MATCH($F$10,'Raw Pressure Data'!$1:$1,0))+$G$10))),"")</f>
        <v/>
      </c>
      <c r="T36" s="24">
        <f>IFERROR(IF($F$11="","",IF($K$5+ROW()-26&gt;$K$6,"",IF(INDEX('Raw Pressure Data'!$A:$ZZ,$K$5+ROW()-26+$H$11,MATCH($F$11,'Raw Pressure Data'!$1:$1,0))=-999,"",INDEX('Raw Pressure Data'!$A:$ZZ,$K$5+ROW()-26+$H$11,MATCH($F$11,'Raw Pressure Data'!$1:$1,0))+$G$11))),"")</f>
        <v/>
      </c>
      <c r="U36" s="24">
        <f>IFERROR(IF($F$12="","",IF($K$5+ROW()-26&gt;$K$6,"",IF(INDEX('Raw Pressure Data'!$A:$ZZ,$K$5+ROW()-26+$H$12,MATCH($F$12,'Raw Pressure Data'!$1:$1,0))=-999,"",INDEX('Raw Pressure Data'!$A:$ZZ,$K$5+ROW()-26+$H$12,MATCH($F$12,'Raw Pressure Data'!$1:$1,0))+$G$12))),"")</f>
        <v/>
      </c>
      <c r="V36" s="24">
        <f>IFERROR(IF($F$13="","",IF($K$5+ROW()-26&gt;$K$6,"",IF(INDEX('Raw Pressure Data'!$A:$ZZ,$K$5+ROW()-26+$H$13,MATCH($F$13,'Raw Pressure Data'!$1:$1,0))=-999,"",INDEX('Raw Pressure Data'!$A:$ZZ,$K$5+ROW()-26+$H$13,MATCH($F$13,'Raw Pressure Data'!$1:$1,0))+$G$13))),"")</f>
        <v/>
      </c>
      <c r="W36" s="24">
        <f>IFERROR(IF($F$14="","",IF($K$5+ROW()-26&gt;$K$6,"",IF(INDEX('Raw Pressure Data'!$A:$ZZ,$K$5+ROW()-26+$H$14,MATCH($F$14,'Raw Pressure Data'!$1:$1,0))=-999,"",INDEX('Raw Pressure Data'!$A:$ZZ,$K$5+ROW()-26+$H$14,MATCH($F$14,'Raw Pressure Data'!$1:$1,0))+$G$14))),"")</f>
        <v/>
      </c>
      <c r="X36" s="24">
        <f>IFERROR(IF($F$15="","",IF($K$5+ROW()-26&gt;$K$6,"",IF(INDEX('Raw Pressure Data'!$A:$ZZ,$K$5+ROW()-26+$H$15,MATCH($F$15,'Raw Pressure Data'!$1:$1,0))=-999,"",INDEX('Raw Pressure Data'!$A:$ZZ,$K$5+ROW()-26+$H$15,MATCH($F$15,'Raw Pressure Data'!$1:$1,0))+$G$15))),"")</f>
        <v/>
      </c>
      <c r="Y36" s="24">
        <f>IFERROR(IF($F$16="","",IF($K$5+ROW()-26&gt;$K$6,"",IF(INDEX('Raw Pressure Data'!$A:$ZZ,$K$5+ROW()-26+$H$16,MATCH($F$16,'Raw Pressure Data'!$1:$1,0))=-999,"",INDEX('Raw Pressure Data'!$A:$ZZ,$K$5+ROW()-26+$H$16,MATCH($F$16,'Raw Pressure Data'!$1:$1,0))+$G$16))),"")</f>
        <v/>
      </c>
      <c r="Z36" s="24">
        <f>IFERROR(IF($F$17="","",IF($K$5+ROW()-26&gt;$K$6,"",IF(INDEX('Raw Pressure Data'!$A:$ZZ,$K$5+ROW()-26+$H$17,MATCH($F$17,'Raw Pressure Data'!$1:$1,0))=-999,"",INDEX('Raw Pressure Data'!$A:$ZZ,$K$5+ROW()-26+$H$17,MATCH($F$17,'Raw Pressure Data'!$1:$1,0))+$G$17))),"")</f>
        <v/>
      </c>
      <c r="AA36" s="24">
        <f>IFERROR(IF($F$18="","",IF($K$5+ROW()-26&gt;$K$6,"",IF(INDEX('Raw Pressure Data'!$A:$ZZ,$K$5+ROW()-26+$H$18,MATCH($F$18,'Raw Pressure Data'!$1:$1,0))=-999,"",INDEX('Raw Pressure Data'!$A:$ZZ,$K$5+ROW()-26+$H$18,MATCH($F$18,'Raw Pressure Data'!$1:$1,0))+$G$18))),"")</f>
        <v/>
      </c>
      <c r="AB36" s="24">
        <f>IFERROR(IF($F$19="","",IF($K$5+ROW()-26&gt;$K$6,"",IF(INDEX('Raw Pressure Data'!$A:$ZZ,$K$5+ROW()-26+$H$19,MATCH($F$19,'Raw Pressure Data'!$1:$1,0))=-999,"",INDEX('Raw Pressure Data'!$A:$ZZ,$K$5+ROW()-26+$H$19,MATCH($F$19,'Raw Pressure Data'!$1:$1,0))+$G$19))),"")</f>
        <v/>
      </c>
      <c r="AC36" s="24">
        <f>IFERROR(IF($F$20="","",IF($K$5+ROW()-26&gt;$K$6,"",IF(INDEX('Raw Pressure Data'!$A:$ZZ,$K$5+ROW()-26+$H$20,MATCH($F$20,'Raw Pressure Data'!$1:$1,0))=-999,"",INDEX('Raw Pressure Data'!$A:$ZZ,$K$5+ROW()-26+$H$20,MATCH($F$20,'Raw Pressure Data'!$1:$1,0))+$G$20))),"")</f>
        <v/>
      </c>
      <c r="AD36" s="24">
        <f>IFERROR(IF($F$21="","",IF($K$5+ROW()-26&gt;$K$6,"",IF(INDEX('Raw Pressure Data'!$A:$ZZ,$K$5+ROW()-26+$H$21,MATCH($F$21,'Raw Pressure Data'!$1:$1,0))=-999,"",INDEX('Raw Pressure Data'!$A:$ZZ,$K$5+ROW()-26+$H$21,MATCH($F$21,'Raw Pressure Data'!$1:$1,0))+$G$21))),"")</f>
        <v/>
      </c>
      <c r="AE36" s="24">
        <f>IFERROR(IF($F$22="","",IF($K$5+ROW()-26&gt;$K$6,"",IF(INDEX('Raw Pressure Data'!$A:$ZZ,$K$5+ROW()-26+$H$22,MATCH($F$22,'Raw Pressure Data'!$1:$1,0))=-999,"",INDEX('Raw Pressure Data'!$A:$ZZ,$K$5+ROW()-26+$H$22,MATCH($F$22,'Raw Pressure Data'!$1:$1,0))+$G$22))),"")</f>
        <v/>
      </c>
    </row>
    <row r="37" ht="15" customHeight="1">
      <c r="A37" s="25">
        <f>IFERROR(IF($K$5+ROW()-26&gt;$K$6,"",IF(INDEX('Raw Flow Data'!$A:$A,$K$5+ROW()-26)="","",INDEX('Raw Flow Data'!$A:$A,$K$5+ROW()-26))),"")</f>
        <v/>
      </c>
      <c r="B37" s="26">
        <f>IFERROR(IF($B$3="","",IF($K$5+ROW()-26&gt;$K$6,"",IF(INDEX('Raw Flow Data'!$A:$ZZ,$K$5+ROW()-26+$D$3,MATCH($B$3,'Raw Flow Data'!$1:$1,0))=-999,"",INDEX('Raw Flow Data'!$A:$ZZ,$K$5+ROW()-26+$D$3,MATCH($B$3,'Raw Flow Data'!$1:$1,0))*$C$3))),"")</f>
        <v/>
      </c>
      <c r="C37" s="26">
        <f>IFERROR(IF($B$4="","",IF($K$5+ROW()-26&gt;$K$6,"",IF(INDEX('Raw Flow Data'!$A:$ZZ,$K$5+ROW()-26+$D$4,MATCH($B$4,'Raw Flow Data'!$1:$1,0))=-999,"",INDEX('Raw Flow Data'!$A:$ZZ,$K$5+ROW()-26+$D$4,MATCH($B$4,'Raw Flow Data'!$1:$1,0))*$C$4))),"")</f>
        <v/>
      </c>
      <c r="D37" s="26">
        <f>IFERROR(IF($B$5="","",IF($K$5+ROW()-26&gt;$K$6,"",IF(INDEX('Raw Flow Data'!$A:$ZZ,$K$5+ROW()-26+$D$5,MATCH($B$5,'Raw Flow Data'!$1:$1,0))=-999,"",INDEX('Raw Flow Data'!$A:$ZZ,$K$5+ROW()-26+$D$5,MATCH($B$5,'Raw Flow Data'!$1:$1,0))*$C$5))),"")</f>
        <v/>
      </c>
      <c r="E37" s="26">
        <f>IFERROR(IF($B$6="","",IF($K$5+ROW()-26&gt;$K$6,"",IF(INDEX('Raw Flow Data'!$A:$ZZ,$K$5+ROW()-26+$D$6,MATCH($B$6,'Raw Flow Data'!$1:$1,0))=-999,"",INDEX('Raw Flow Data'!$A:$ZZ,$K$5+ROW()-26+$D$6,MATCH($B$6,'Raw Flow Data'!$1:$1,0))*$C$6))),"")</f>
        <v/>
      </c>
      <c r="F37" s="26">
        <f>IFERROR(IF($B$7="","",IF($K$5+ROW()-26&gt;$K$6,"",IF(INDEX('Raw Flow Data'!$A:$ZZ,$K$5+ROW()-26+$D$7,MATCH($B$7,'Raw Flow Data'!$1:$1,0))=-999,"",INDEX('Raw Flow Data'!$A:$ZZ,$K$5+ROW()-26+$D$7,MATCH($B$7,'Raw Flow Data'!$1:$1,0))*$C$7))),"")</f>
        <v/>
      </c>
      <c r="G37" s="26">
        <f>IFERROR(IF($B$8="","",IF($K$5+ROW()-26&gt;$K$6,"",IF(INDEX('Raw Flow Data'!$A:$ZZ,$K$5+ROW()-26+$D$8,MATCH($B$8,'Raw Flow Data'!$1:$1,0))=-999,"",INDEX('Raw Flow Data'!$A:$ZZ,$K$5+ROW()-26+$D$8,MATCH($B$8,'Raw Flow Data'!$1:$1,0))*$C$8))),"")</f>
        <v/>
      </c>
      <c r="H37" s="26">
        <f>IFERROR(IF($B$9="","",IF($K$5+ROW()-26&gt;$K$6,"",IF(INDEX('Raw Flow Data'!$A:$ZZ,$K$5+ROW()-26+$D$9,MATCH($B$9,'Raw Flow Data'!$1:$1,0))=-999,"",INDEX('Raw Flow Data'!$A:$ZZ,$K$5+ROW()-26+$D$9,MATCH($B$9,'Raw Flow Data'!$1:$1,0))*$C$9))),"")</f>
        <v/>
      </c>
      <c r="I37" s="26">
        <f>IFERROR(IF($B$10="","",IF($K$5+ROW()-26&gt;$K$6,"",IF(INDEX('Raw Flow Data'!$A:$ZZ,$K$5+ROW()-26+$D$10,MATCH($B$10,'Raw Flow Data'!$1:$1,0))=-999,"",INDEX('Raw Flow Data'!$A:$ZZ,$K$5+ROW()-26+$D$10,MATCH($B$10,'Raw Flow Data'!$1:$1,0))*$C$10))),"")</f>
        <v/>
      </c>
      <c r="J37" s="26">
        <f>IFERROR(IF($B$11="","",IF($K$5+ROW()-26&gt;$K$6,"",IF(INDEX('Raw Flow Data'!$A:$ZZ,$K$5+ROW()-26+$D$11,MATCH($B$11,'Raw Flow Data'!$1:$1,0))=-999,"",INDEX('Raw Flow Data'!$A:$ZZ,$K$5+ROW()-26+$D$11,MATCH($B$11,'Raw Flow Data'!$1:$1,0))*$C$11))),"")</f>
        <v/>
      </c>
      <c r="K37" s="26">
        <f>IFERROR(IF($B$12="","",IF($K$5+ROW()-26&gt;$K$6,"",IF(INDEX('Raw Flow Data'!$A:$ZZ,$K$5+ROW()-26+$D$12,MATCH($B$12,'Raw Flow Data'!$1:$1,0))=-999,"",INDEX('Raw Flow Data'!$A:$ZZ,$K$5+ROW()-26+$D$12,MATCH($B$12,'Raw Flow Data'!$1:$1,0))*$C$12))),"")</f>
        <v/>
      </c>
      <c r="L37" s="26">
        <f>IFERROR(IF($F$3="","",IF($K$5+ROW()-26&gt;$K$6,"",IF(INDEX('Raw Pressure Data'!$A:$ZZ,$K$5+ROW()-26+$H$3,MATCH($F$3,'Raw Pressure Data'!$1:$1,0))=-999,"",INDEX('Raw Pressure Data'!$A:$ZZ,$K$5+ROW()-26+$H$3,MATCH($F$3,'Raw Pressure Data'!$1:$1,0))+$G$3))),"")</f>
        <v/>
      </c>
      <c r="M37" s="26">
        <f>IFERROR(IF($F$4="","",IF($K$5+ROW()-26&gt;$K$6,"",IF(INDEX('Raw Pressure Data'!$A:$ZZ,$K$5+ROW()-26+$H$4,MATCH($F$4,'Raw Pressure Data'!$1:$1,0))=-999,"",INDEX('Raw Pressure Data'!$A:$ZZ,$K$5+ROW()-26+$H$4,MATCH($F$4,'Raw Pressure Data'!$1:$1,0))+$G$4))),"")</f>
        <v/>
      </c>
      <c r="N37" s="26">
        <f>IFERROR(IF($F$5="","",IF($K$5+ROW()-26&gt;$K$6,"",IF(INDEX('Raw Pressure Data'!$A:$ZZ,$K$5+ROW()-26+$H$5,MATCH($F$5,'Raw Pressure Data'!$1:$1,0))=-999,"",INDEX('Raw Pressure Data'!$A:$ZZ,$K$5+ROW()-26+$H$5,MATCH($F$5,'Raw Pressure Data'!$1:$1,0))+$G$5))),"")</f>
        <v/>
      </c>
      <c r="O37" s="26">
        <f>IFERROR(IF($F$6="","",IF($K$5+ROW()-26&gt;$K$6,"",IF(INDEX('Raw Pressure Data'!$A:$ZZ,$K$5+ROW()-26+$H$6,MATCH($F$6,'Raw Pressure Data'!$1:$1,0))=-999,"",INDEX('Raw Pressure Data'!$A:$ZZ,$K$5+ROW()-26+$H$6,MATCH($F$6,'Raw Pressure Data'!$1:$1,0))+$G$6))),"")</f>
        <v/>
      </c>
      <c r="P37" s="26">
        <f>IFERROR(IF($F$7="","",IF($K$5+ROW()-26&gt;$K$6,"",IF(INDEX('Raw Pressure Data'!$A:$ZZ,$K$5+ROW()-26+$H$7,MATCH($F$7,'Raw Pressure Data'!$1:$1,0))=-999,"",INDEX('Raw Pressure Data'!$A:$ZZ,$K$5+ROW()-26+$H$7,MATCH($F$7,'Raw Pressure Data'!$1:$1,0))+$G$7))),"")</f>
        <v/>
      </c>
      <c r="Q37" s="26">
        <f>IFERROR(IF($F$8="","",IF($K$5+ROW()-26&gt;$K$6,"",IF(INDEX('Raw Pressure Data'!$A:$ZZ,$K$5+ROW()-26+$H$8,MATCH($F$8,'Raw Pressure Data'!$1:$1,0))=-999,"",INDEX('Raw Pressure Data'!$A:$ZZ,$K$5+ROW()-26+$H$8,MATCH($F$8,'Raw Pressure Data'!$1:$1,0))+$G$8))),"")</f>
        <v/>
      </c>
      <c r="R37" s="26">
        <f>IFERROR(IF($F$9="","",IF($K$5+ROW()-26&gt;$K$6,"",IF(INDEX('Raw Pressure Data'!$A:$ZZ,$K$5+ROW()-26+$H$9,MATCH($F$9,'Raw Pressure Data'!$1:$1,0))=-999,"",INDEX('Raw Pressure Data'!$A:$ZZ,$K$5+ROW()-26+$H$9,MATCH($F$9,'Raw Pressure Data'!$1:$1,0))+$G$9))),"")</f>
        <v/>
      </c>
      <c r="S37" s="26">
        <f>IFERROR(IF($F$10="","",IF($K$5+ROW()-26&gt;$K$6,"",IF(INDEX('Raw Pressure Data'!$A:$ZZ,$K$5+ROW()-26+$H$10,MATCH($F$10,'Raw Pressure Data'!$1:$1,0))=-999,"",INDEX('Raw Pressure Data'!$A:$ZZ,$K$5+ROW()-26+$H$10,MATCH($F$10,'Raw Pressure Data'!$1:$1,0))+$G$10))),"")</f>
        <v/>
      </c>
      <c r="T37" s="26">
        <f>IFERROR(IF($F$11="","",IF($K$5+ROW()-26&gt;$K$6,"",IF(INDEX('Raw Pressure Data'!$A:$ZZ,$K$5+ROW()-26+$H$11,MATCH($F$11,'Raw Pressure Data'!$1:$1,0))=-999,"",INDEX('Raw Pressure Data'!$A:$ZZ,$K$5+ROW()-26+$H$11,MATCH($F$11,'Raw Pressure Data'!$1:$1,0))+$G$11))),"")</f>
        <v/>
      </c>
      <c r="U37" s="26">
        <f>IFERROR(IF($F$12="","",IF($K$5+ROW()-26&gt;$K$6,"",IF(INDEX('Raw Pressure Data'!$A:$ZZ,$K$5+ROW()-26+$H$12,MATCH($F$12,'Raw Pressure Data'!$1:$1,0))=-999,"",INDEX('Raw Pressure Data'!$A:$ZZ,$K$5+ROW()-26+$H$12,MATCH($F$12,'Raw Pressure Data'!$1:$1,0))+$G$12))),"")</f>
        <v/>
      </c>
      <c r="V37" s="26">
        <f>IFERROR(IF($F$13="","",IF($K$5+ROW()-26&gt;$K$6,"",IF(INDEX('Raw Pressure Data'!$A:$ZZ,$K$5+ROW()-26+$H$13,MATCH($F$13,'Raw Pressure Data'!$1:$1,0))=-999,"",INDEX('Raw Pressure Data'!$A:$ZZ,$K$5+ROW()-26+$H$13,MATCH($F$13,'Raw Pressure Data'!$1:$1,0))+$G$13))),"")</f>
        <v/>
      </c>
      <c r="W37" s="26">
        <f>IFERROR(IF($F$14="","",IF($K$5+ROW()-26&gt;$K$6,"",IF(INDEX('Raw Pressure Data'!$A:$ZZ,$K$5+ROW()-26+$H$14,MATCH($F$14,'Raw Pressure Data'!$1:$1,0))=-999,"",INDEX('Raw Pressure Data'!$A:$ZZ,$K$5+ROW()-26+$H$14,MATCH($F$14,'Raw Pressure Data'!$1:$1,0))+$G$14))),"")</f>
        <v/>
      </c>
      <c r="X37" s="26">
        <f>IFERROR(IF($F$15="","",IF($K$5+ROW()-26&gt;$K$6,"",IF(INDEX('Raw Pressure Data'!$A:$ZZ,$K$5+ROW()-26+$H$15,MATCH($F$15,'Raw Pressure Data'!$1:$1,0))=-999,"",INDEX('Raw Pressure Data'!$A:$ZZ,$K$5+ROW()-26+$H$15,MATCH($F$15,'Raw Pressure Data'!$1:$1,0))+$G$15))),"")</f>
        <v/>
      </c>
      <c r="Y37" s="26">
        <f>IFERROR(IF($F$16="","",IF($K$5+ROW()-26&gt;$K$6,"",IF(INDEX('Raw Pressure Data'!$A:$ZZ,$K$5+ROW()-26+$H$16,MATCH($F$16,'Raw Pressure Data'!$1:$1,0))=-999,"",INDEX('Raw Pressure Data'!$A:$ZZ,$K$5+ROW()-26+$H$16,MATCH($F$16,'Raw Pressure Data'!$1:$1,0))+$G$16))),"")</f>
        <v/>
      </c>
      <c r="Z37" s="26">
        <f>IFERROR(IF($F$17="","",IF($K$5+ROW()-26&gt;$K$6,"",IF(INDEX('Raw Pressure Data'!$A:$ZZ,$K$5+ROW()-26+$H$17,MATCH($F$17,'Raw Pressure Data'!$1:$1,0))=-999,"",INDEX('Raw Pressure Data'!$A:$ZZ,$K$5+ROW()-26+$H$17,MATCH($F$17,'Raw Pressure Data'!$1:$1,0))+$G$17))),"")</f>
        <v/>
      </c>
      <c r="AA37" s="26">
        <f>IFERROR(IF($F$18="","",IF($K$5+ROW()-26&gt;$K$6,"",IF(INDEX('Raw Pressure Data'!$A:$ZZ,$K$5+ROW()-26+$H$18,MATCH($F$18,'Raw Pressure Data'!$1:$1,0))=-999,"",INDEX('Raw Pressure Data'!$A:$ZZ,$K$5+ROW()-26+$H$18,MATCH($F$18,'Raw Pressure Data'!$1:$1,0))+$G$18))),"")</f>
        <v/>
      </c>
      <c r="AB37" s="26">
        <f>IFERROR(IF($F$19="","",IF($K$5+ROW()-26&gt;$K$6,"",IF(INDEX('Raw Pressure Data'!$A:$ZZ,$K$5+ROW()-26+$H$19,MATCH($F$19,'Raw Pressure Data'!$1:$1,0))=-999,"",INDEX('Raw Pressure Data'!$A:$ZZ,$K$5+ROW()-26+$H$19,MATCH($F$19,'Raw Pressure Data'!$1:$1,0))+$G$19))),"")</f>
        <v/>
      </c>
      <c r="AC37" s="26">
        <f>IFERROR(IF($F$20="","",IF($K$5+ROW()-26&gt;$K$6,"",IF(INDEX('Raw Pressure Data'!$A:$ZZ,$K$5+ROW()-26+$H$20,MATCH($F$20,'Raw Pressure Data'!$1:$1,0))=-999,"",INDEX('Raw Pressure Data'!$A:$ZZ,$K$5+ROW()-26+$H$20,MATCH($F$20,'Raw Pressure Data'!$1:$1,0))+$G$20))),"")</f>
        <v/>
      </c>
      <c r="AD37" s="26">
        <f>IFERROR(IF($F$21="","",IF($K$5+ROW()-26&gt;$K$6,"",IF(INDEX('Raw Pressure Data'!$A:$ZZ,$K$5+ROW()-26+$H$21,MATCH($F$21,'Raw Pressure Data'!$1:$1,0))=-999,"",INDEX('Raw Pressure Data'!$A:$ZZ,$K$5+ROW()-26+$H$21,MATCH($F$21,'Raw Pressure Data'!$1:$1,0))+$G$21))),"")</f>
        <v/>
      </c>
      <c r="AE37" s="26">
        <f>IFERROR(IF($F$22="","",IF($K$5+ROW()-26&gt;$K$6,"",IF(INDEX('Raw Pressure Data'!$A:$ZZ,$K$5+ROW()-26+$H$22,MATCH($F$22,'Raw Pressure Data'!$1:$1,0))=-999,"",INDEX('Raw Pressure Data'!$A:$ZZ,$K$5+ROW()-26+$H$22,MATCH($F$22,'Raw Pressure Data'!$1:$1,0))+$G$22))),"")</f>
        <v/>
      </c>
    </row>
    <row r="38" ht="15" customHeight="1">
      <c r="A38" s="23">
        <f>IFERROR(IF($K$5+ROW()-26&gt;$K$6,"",IF(INDEX('Raw Flow Data'!$A:$A,$K$5+ROW()-26)="","",INDEX('Raw Flow Data'!$A:$A,$K$5+ROW()-26))),"")</f>
        <v/>
      </c>
      <c r="B38" s="24">
        <f>IFERROR(IF($B$3="","",IF($K$5+ROW()-26&gt;$K$6,"",IF(INDEX('Raw Flow Data'!$A:$ZZ,$K$5+ROW()-26+$D$3,MATCH($B$3,'Raw Flow Data'!$1:$1,0))=-999,"",INDEX('Raw Flow Data'!$A:$ZZ,$K$5+ROW()-26+$D$3,MATCH($B$3,'Raw Flow Data'!$1:$1,0))*$C$3))),"")</f>
        <v/>
      </c>
      <c r="C38" s="24">
        <f>IFERROR(IF($B$4="","",IF($K$5+ROW()-26&gt;$K$6,"",IF(INDEX('Raw Flow Data'!$A:$ZZ,$K$5+ROW()-26+$D$4,MATCH($B$4,'Raw Flow Data'!$1:$1,0))=-999,"",INDEX('Raw Flow Data'!$A:$ZZ,$K$5+ROW()-26+$D$4,MATCH($B$4,'Raw Flow Data'!$1:$1,0))*$C$4))),"")</f>
        <v/>
      </c>
      <c r="D38" s="24">
        <f>IFERROR(IF($B$5="","",IF($K$5+ROW()-26&gt;$K$6,"",IF(INDEX('Raw Flow Data'!$A:$ZZ,$K$5+ROW()-26+$D$5,MATCH($B$5,'Raw Flow Data'!$1:$1,0))=-999,"",INDEX('Raw Flow Data'!$A:$ZZ,$K$5+ROW()-26+$D$5,MATCH($B$5,'Raw Flow Data'!$1:$1,0))*$C$5))),"")</f>
        <v/>
      </c>
      <c r="E38" s="24">
        <f>IFERROR(IF($B$6="","",IF($K$5+ROW()-26&gt;$K$6,"",IF(INDEX('Raw Flow Data'!$A:$ZZ,$K$5+ROW()-26+$D$6,MATCH($B$6,'Raw Flow Data'!$1:$1,0))=-999,"",INDEX('Raw Flow Data'!$A:$ZZ,$K$5+ROW()-26+$D$6,MATCH($B$6,'Raw Flow Data'!$1:$1,0))*$C$6))),"")</f>
        <v/>
      </c>
      <c r="F38" s="24">
        <f>IFERROR(IF($B$7="","",IF($K$5+ROW()-26&gt;$K$6,"",IF(INDEX('Raw Flow Data'!$A:$ZZ,$K$5+ROW()-26+$D$7,MATCH($B$7,'Raw Flow Data'!$1:$1,0))=-999,"",INDEX('Raw Flow Data'!$A:$ZZ,$K$5+ROW()-26+$D$7,MATCH($B$7,'Raw Flow Data'!$1:$1,0))*$C$7))),"")</f>
        <v/>
      </c>
      <c r="G38" s="24">
        <f>IFERROR(IF($B$8="","",IF($K$5+ROW()-26&gt;$K$6,"",IF(INDEX('Raw Flow Data'!$A:$ZZ,$K$5+ROW()-26+$D$8,MATCH($B$8,'Raw Flow Data'!$1:$1,0))=-999,"",INDEX('Raw Flow Data'!$A:$ZZ,$K$5+ROW()-26+$D$8,MATCH($B$8,'Raw Flow Data'!$1:$1,0))*$C$8))),"")</f>
        <v/>
      </c>
      <c r="H38" s="24">
        <f>IFERROR(IF($B$9="","",IF($K$5+ROW()-26&gt;$K$6,"",IF(INDEX('Raw Flow Data'!$A:$ZZ,$K$5+ROW()-26+$D$9,MATCH($B$9,'Raw Flow Data'!$1:$1,0))=-999,"",INDEX('Raw Flow Data'!$A:$ZZ,$K$5+ROW()-26+$D$9,MATCH($B$9,'Raw Flow Data'!$1:$1,0))*$C$9))),"")</f>
        <v/>
      </c>
      <c r="I38" s="24">
        <f>IFERROR(IF($B$10="","",IF($K$5+ROW()-26&gt;$K$6,"",IF(INDEX('Raw Flow Data'!$A:$ZZ,$K$5+ROW()-26+$D$10,MATCH($B$10,'Raw Flow Data'!$1:$1,0))=-999,"",INDEX('Raw Flow Data'!$A:$ZZ,$K$5+ROW()-26+$D$10,MATCH($B$10,'Raw Flow Data'!$1:$1,0))*$C$10))),"")</f>
        <v/>
      </c>
      <c r="J38" s="24">
        <f>IFERROR(IF($B$11="","",IF($K$5+ROW()-26&gt;$K$6,"",IF(INDEX('Raw Flow Data'!$A:$ZZ,$K$5+ROW()-26+$D$11,MATCH($B$11,'Raw Flow Data'!$1:$1,0))=-999,"",INDEX('Raw Flow Data'!$A:$ZZ,$K$5+ROW()-26+$D$11,MATCH($B$11,'Raw Flow Data'!$1:$1,0))*$C$11))),"")</f>
        <v/>
      </c>
      <c r="K38" s="24">
        <f>IFERROR(IF($B$12="","",IF($K$5+ROW()-26&gt;$K$6,"",IF(INDEX('Raw Flow Data'!$A:$ZZ,$K$5+ROW()-26+$D$12,MATCH($B$12,'Raw Flow Data'!$1:$1,0))=-999,"",INDEX('Raw Flow Data'!$A:$ZZ,$K$5+ROW()-26+$D$12,MATCH($B$12,'Raw Flow Data'!$1:$1,0))*$C$12))),"")</f>
        <v/>
      </c>
      <c r="L38" s="24">
        <f>IFERROR(IF($F$3="","",IF($K$5+ROW()-26&gt;$K$6,"",IF(INDEX('Raw Pressure Data'!$A:$ZZ,$K$5+ROW()-26+$H$3,MATCH($F$3,'Raw Pressure Data'!$1:$1,0))=-999,"",INDEX('Raw Pressure Data'!$A:$ZZ,$K$5+ROW()-26+$H$3,MATCH($F$3,'Raw Pressure Data'!$1:$1,0))+$G$3))),"")</f>
        <v/>
      </c>
      <c r="M38" s="24">
        <f>IFERROR(IF($F$4="","",IF($K$5+ROW()-26&gt;$K$6,"",IF(INDEX('Raw Pressure Data'!$A:$ZZ,$K$5+ROW()-26+$H$4,MATCH($F$4,'Raw Pressure Data'!$1:$1,0))=-999,"",INDEX('Raw Pressure Data'!$A:$ZZ,$K$5+ROW()-26+$H$4,MATCH($F$4,'Raw Pressure Data'!$1:$1,0))+$G$4))),"")</f>
        <v/>
      </c>
      <c r="N38" s="24">
        <f>IFERROR(IF($F$5="","",IF($K$5+ROW()-26&gt;$K$6,"",IF(INDEX('Raw Pressure Data'!$A:$ZZ,$K$5+ROW()-26+$H$5,MATCH($F$5,'Raw Pressure Data'!$1:$1,0))=-999,"",INDEX('Raw Pressure Data'!$A:$ZZ,$K$5+ROW()-26+$H$5,MATCH($F$5,'Raw Pressure Data'!$1:$1,0))+$G$5))),"")</f>
        <v/>
      </c>
      <c r="O38" s="24">
        <f>IFERROR(IF($F$6="","",IF($K$5+ROW()-26&gt;$K$6,"",IF(INDEX('Raw Pressure Data'!$A:$ZZ,$K$5+ROW()-26+$H$6,MATCH($F$6,'Raw Pressure Data'!$1:$1,0))=-999,"",INDEX('Raw Pressure Data'!$A:$ZZ,$K$5+ROW()-26+$H$6,MATCH($F$6,'Raw Pressure Data'!$1:$1,0))+$G$6))),"")</f>
        <v/>
      </c>
      <c r="P38" s="24">
        <f>IFERROR(IF($F$7="","",IF($K$5+ROW()-26&gt;$K$6,"",IF(INDEX('Raw Pressure Data'!$A:$ZZ,$K$5+ROW()-26+$H$7,MATCH($F$7,'Raw Pressure Data'!$1:$1,0))=-999,"",INDEX('Raw Pressure Data'!$A:$ZZ,$K$5+ROW()-26+$H$7,MATCH($F$7,'Raw Pressure Data'!$1:$1,0))+$G$7))),"")</f>
        <v/>
      </c>
      <c r="Q38" s="24">
        <f>IFERROR(IF($F$8="","",IF($K$5+ROW()-26&gt;$K$6,"",IF(INDEX('Raw Pressure Data'!$A:$ZZ,$K$5+ROW()-26+$H$8,MATCH($F$8,'Raw Pressure Data'!$1:$1,0))=-999,"",INDEX('Raw Pressure Data'!$A:$ZZ,$K$5+ROW()-26+$H$8,MATCH($F$8,'Raw Pressure Data'!$1:$1,0))+$G$8))),"")</f>
        <v/>
      </c>
      <c r="R38" s="24">
        <f>IFERROR(IF($F$9="","",IF($K$5+ROW()-26&gt;$K$6,"",IF(INDEX('Raw Pressure Data'!$A:$ZZ,$K$5+ROW()-26+$H$9,MATCH($F$9,'Raw Pressure Data'!$1:$1,0))=-999,"",INDEX('Raw Pressure Data'!$A:$ZZ,$K$5+ROW()-26+$H$9,MATCH($F$9,'Raw Pressure Data'!$1:$1,0))+$G$9))),"")</f>
        <v/>
      </c>
      <c r="S38" s="24">
        <f>IFERROR(IF($F$10="","",IF($K$5+ROW()-26&gt;$K$6,"",IF(INDEX('Raw Pressure Data'!$A:$ZZ,$K$5+ROW()-26+$H$10,MATCH($F$10,'Raw Pressure Data'!$1:$1,0))=-999,"",INDEX('Raw Pressure Data'!$A:$ZZ,$K$5+ROW()-26+$H$10,MATCH($F$10,'Raw Pressure Data'!$1:$1,0))+$G$10))),"")</f>
        <v/>
      </c>
      <c r="T38" s="24">
        <f>IFERROR(IF($F$11="","",IF($K$5+ROW()-26&gt;$K$6,"",IF(INDEX('Raw Pressure Data'!$A:$ZZ,$K$5+ROW()-26+$H$11,MATCH($F$11,'Raw Pressure Data'!$1:$1,0))=-999,"",INDEX('Raw Pressure Data'!$A:$ZZ,$K$5+ROW()-26+$H$11,MATCH($F$11,'Raw Pressure Data'!$1:$1,0))+$G$11))),"")</f>
        <v/>
      </c>
      <c r="U38" s="24">
        <f>IFERROR(IF($F$12="","",IF($K$5+ROW()-26&gt;$K$6,"",IF(INDEX('Raw Pressure Data'!$A:$ZZ,$K$5+ROW()-26+$H$12,MATCH($F$12,'Raw Pressure Data'!$1:$1,0))=-999,"",INDEX('Raw Pressure Data'!$A:$ZZ,$K$5+ROW()-26+$H$12,MATCH($F$12,'Raw Pressure Data'!$1:$1,0))+$G$12))),"")</f>
        <v/>
      </c>
      <c r="V38" s="24">
        <f>IFERROR(IF($F$13="","",IF($K$5+ROW()-26&gt;$K$6,"",IF(INDEX('Raw Pressure Data'!$A:$ZZ,$K$5+ROW()-26+$H$13,MATCH($F$13,'Raw Pressure Data'!$1:$1,0))=-999,"",INDEX('Raw Pressure Data'!$A:$ZZ,$K$5+ROW()-26+$H$13,MATCH($F$13,'Raw Pressure Data'!$1:$1,0))+$G$13))),"")</f>
        <v/>
      </c>
      <c r="W38" s="24">
        <f>IFERROR(IF($F$14="","",IF($K$5+ROW()-26&gt;$K$6,"",IF(INDEX('Raw Pressure Data'!$A:$ZZ,$K$5+ROW()-26+$H$14,MATCH($F$14,'Raw Pressure Data'!$1:$1,0))=-999,"",INDEX('Raw Pressure Data'!$A:$ZZ,$K$5+ROW()-26+$H$14,MATCH($F$14,'Raw Pressure Data'!$1:$1,0))+$G$14))),"")</f>
        <v/>
      </c>
      <c r="X38" s="24">
        <f>IFERROR(IF($F$15="","",IF($K$5+ROW()-26&gt;$K$6,"",IF(INDEX('Raw Pressure Data'!$A:$ZZ,$K$5+ROW()-26+$H$15,MATCH($F$15,'Raw Pressure Data'!$1:$1,0))=-999,"",INDEX('Raw Pressure Data'!$A:$ZZ,$K$5+ROW()-26+$H$15,MATCH($F$15,'Raw Pressure Data'!$1:$1,0))+$G$15))),"")</f>
        <v/>
      </c>
      <c r="Y38" s="24">
        <f>IFERROR(IF($F$16="","",IF($K$5+ROW()-26&gt;$K$6,"",IF(INDEX('Raw Pressure Data'!$A:$ZZ,$K$5+ROW()-26+$H$16,MATCH($F$16,'Raw Pressure Data'!$1:$1,0))=-999,"",INDEX('Raw Pressure Data'!$A:$ZZ,$K$5+ROW()-26+$H$16,MATCH($F$16,'Raw Pressure Data'!$1:$1,0))+$G$16))),"")</f>
        <v/>
      </c>
      <c r="Z38" s="24">
        <f>IFERROR(IF($F$17="","",IF($K$5+ROW()-26&gt;$K$6,"",IF(INDEX('Raw Pressure Data'!$A:$ZZ,$K$5+ROW()-26+$H$17,MATCH($F$17,'Raw Pressure Data'!$1:$1,0))=-999,"",INDEX('Raw Pressure Data'!$A:$ZZ,$K$5+ROW()-26+$H$17,MATCH($F$17,'Raw Pressure Data'!$1:$1,0))+$G$17))),"")</f>
        <v/>
      </c>
      <c r="AA38" s="24">
        <f>IFERROR(IF($F$18="","",IF($K$5+ROW()-26&gt;$K$6,"",IF(INDEX('Raw Pressure Data'!$A:$ZZ,$K$5+ROW()-26+$H$18,MATCH($F$18,'Raw Pressure Data'!$1:$1,0))=-999,"",INDEX('Raw Pressure Data'!$A:$ZZ,$K$5+ROW()-26+$H$18,MATCH($F$18,'Raw Pressure Data'!$1:$1,0))+$G$18))),"")</f>
        <v/>
      </c>
      <c r="AB38" s="24">
        <f>IFERROR(IF($F$19="","",IF($K$5+ROW()-26&gt;$K$6,"",IF(INDEX('Raw Pressure Data'!$A:$ZZ,$K$5+ROW()-26+$H$19,MATCH($F$19,'Raw Pressure Data'!$1:$1,0))=-999,"",INDEX('Raw Pressure Data'!$A:$ZZ,$K$5+ROW()-26+$H$19,MATCH($F$19,'Raw Pressure Data'!$1:$1,0))+$G$19))),"")</f>
        <v/>
      </c>
      <c r="AC38" s="24">
        <f>IFERROR(IF($F$20="","",IF($K$5+ROW()-26&gt;$K$6,"",IF(INDEX('Raw Pressure Data'!$A:$ZZ,$K$5+ROW()-26+$H$20,MATCH($F$20,'Raw Pressure Data'!$1:$1,0))=-999,"",INDEX('Raw Pressure Data'!$A:$ZZ,$K$5+ROW()-26+$H$20,MATCH($F$20,'Raw Pressure Data'!$1:$1,0))+$G$20))),"")</f>
        <v/>
      </c>
      <c r="AD38" s="24">
        <f>IFERROR(IF($F$21="","",IF($K$5+ROW()-26&gt;$K$6,"",IF(INDEX('Raw Pressure Data'!$A:$ZZ,$K$5+ROW()-26+$H$21,MATCH($F$21,'Raw Pressure Data'!$1:$1,0))=-999,"",INDEX('Raw Pressure Data'!$A:$ZZ,$K$5+ROW()-26+$H$21,MATCH($F$21,'Raw Pressure Data'!$1:$1,0))+$G$21))),"")</f>
        <v/>
      </c>
      <c r="AE38" s="24">
        <f>IFERROR(IF($F$22="","",IF($K$5+ROW()-26&gt;$K$6,"",IF(INDEX('Raw Pressure Data'!$A:$ZZ,$K$5+ROW()-26+$H$22,MATCH($F$22,'Raw Pressure Data'!$1:$1,0))=-999,"",INDEX('Raw Pressure Data'!$A:$ZZ,$K$5+ROW()-26+$H$22,MATCH($F$22,'Raw Pressure Data'!$1:$1,0))+$G$22))),"")</f>
        <v/>
      </c>
    </row>
    <row r="39" ht="15" customHeight="1">
      <c r="A39" s="25">
        <f>IFERROR(IF($K$5+ROW()-26&gt;$K$6,"",IF(INDEX('Raw Flow Data'!$A:$A,$K$5+ROW()-26)="","",INDEX('Raw Flow Data'!$A:$A,$K$5+ROW()-26))),"")</f>
        <v/>
      </c>
      <c r="B39" s="26">
        <f>IFERROR(IF($B$3="","",IF($K$5+ROW()-26&gt;$K$6,"",IF(INDEX('Raw Flow Data'!$A:$ZZ,$K$5+ROW()-26+$D$3,MATCH($B$3,'Raw Flow Data'!$1:$1,0))=-999,"",INDEX('Raw Flow Data'!$A:$ZZ,$K$5+ROW()-26+$D$3,MATCH($B$3,'Raw Flow Data'!$1:$1,0))*$C$3))),"")</f>
        <v/>
      </c>
      <c r="C39" s="26">
        <f>IFERROR(IF($B$4="","",IF($K$5+ROW()-26&gt;$K$6,"",IF(INDEX('Raw Flow Data'!$A:$ZZ,$K$5+ROW()-26+$D$4,MATCH($B$4,'Raw Flow Data'!$1:$1,0))=-999,"",INDEX('Raw Flow Data'!$A:$ZZ,$K$5+ROW()-26+$D$4,MATCH($B$4,'Raw Flow Data'!$1:$1,0))*$C$4))),"")</f>
        <v/>
      </c>
      <c r="D39" s="26">
        <f>IFERROR(IF($B$5="","",IF($K$5+ROW()-26&gt;$K$6,"",IF(INDEX('Raw Flow Data'!$A:$ZZ,$K$5+ROW()-26+$D$5,MATCH($B$5,'Raw Flow Data'!$1:$1,0))=-999,"",INDEX('Raw Flow Data'!$A:$ZZ,$K$5+ROW()-26+$D$5,MATCH($B$5,'Raw Flow Data'!$1:$1,0))*$C$5))),"")</f>
        <v/>
      </c>
      <c r="E39" s="26">
        <f>IFERROR(IF($B$6="","",IF($K$5+ROW()-26&gt;$K$6,"",IF(INDEX('Raw Flow Data'!$A:$ZZ,$K$5+ROW()-26+$D$6,MATCH($B$6,'Raw Flow Data'!$1:$1,0))=-999,"",INDEX('Raw Flow Data'!$A:$ZZ,$K$5+ROW()-26+$D$6,MATCH($B$6,'Raw Flow Data'!$1:$1,0))*$C$6))),"")</f>
        <v/>
      </c>
      <c r="F39" s="26">
        <f>IFERROR(IF($B$7="","",IF($K$5+ROW()-26&gt;$K$6,"",IF(INDEX('Raw Flow Data'!$A:$ZZ,$K$5+ROW()-26+$D$7,MATCH($B$7,'Raw Flow Data'!$1:$1,0))=-999,"",INDEX('Raw Flow Data'!$A:$ZZ,$K$5+ROW()-26+$D$7,MATCH($B$7,'Raw Flow Data'!$1:$1,0))*$C$7))),"")</f>
        <v/>
      </c>
      <c r="G39" s="26">
        <f>IFERROR(IF($B$8="","",IF($K$5+ROW()-26&gt;$K$6,"",IF(INDEX('Raw Flow Data'!$A:$ZZ,$K$5+ROW()-26+$D$8,MATCH($B$8,'Raw Flow Data'!$1:$1,0))=-999,"",INDEX('Raw Flow Data'!$A:$ZZ,$K$5+ROW()-26+$D$8,MATCH($B$8,'Raw Flow Data'!$1:$1,0))*$C$8))),"")</f>
        <v/>
      </c>
      <c r="H39" s="26">
        <f>IFERROR(IF($B$9="","",IF($K$5+ROW()-26&gt;$K$6,"",IF(INDEX('Raw Flow Data'!$A:$ZZ,$K$5+ROW()-26+$D$9,MATCH($B$9,'Raw Flow Data'!$1:$1,0))=-999,"",INDEX('Raw Flow Data'!$A:$ZZ,$K$5+ROW()-26+$D$9,MATCH($B$9,'Raw Flow Data'!$1:$1,0))*$C$9))),"")</f>
        <v/>
      </c>
      <c r="I39" s="26">
        <f>IFERROR(IF($B$10="","",IF($K$5+ROW()-26&gt;$K$6,"",IF(INDEX('Raw Flow Data'!$A:$ZZ,$K$5+ROW()-26+$D$10,MATCH($B$10,'Raw Flow Data'!$1:$1,0))=-999,"",INDEX('Raw Flow Data'!$A:$ZZ,$K$5+ROW()-26+$D$10,MATCH($B$10,'Raw Flow Data'!$1:$1,0))*$C$10))),"")</f>
        <v/>
      </c>
      <c r="J39" s="26">
        <f>IFERROR(IF($B$11="","",IF($K$5+ROW()-26&gt;$K$6,"",IF(INDEX('Raw Flow Data'!$A:$ZZ,$K$5+ROW()-26+$D$11,MATCH($B$11,'Raw Flow Data'!$1:$1,0))=-999,"",INDEX('Raw Flow Data'!$A:$ZZ,$K$5+ROW()-26+$D$11,MATCH($B$11,'Raw Flow Data'!$1:$1,0))*$C$11))),"")</f>
        <v/>
      </c>
      <c r="K39" s="26">
        <f>IFERROR(IF($B$12="","",IF($K$5+ROW()-26&gt;$K$6,"",IF(INDEX('Raw Flow Data'!$A:$ZZ,$K$5+ROW()-26+$D$12,MATCH($B$12,'Raw Flow Data'!$1:$1,0))=-999,"",INDEX('Raw Flow Data'!$A:$ZZ,$K$5+ROW()-26+$D$12,MATCH($B$12,'Raw Flow Data'!$1:$1,0))*$C$12))),"")</f>
        <v/>
      </c>
      <c r="L39" s="26">
        <f>IFERROR(IF($F$3="","",IF($K$5+ROW()-26&gt;$K$6,"",IF(INDEX('Raw Pressure Data'!$A:$ZZ,$K$5+ROW()-26+$H$3,MATCH($F$3,'Raw Pressure Data'!$1:$1,0))=-999,"",INDEX('Raw Pressure Data'!$A:$ZZ,$K$5+ROW()-26+$H$3,MATCH($F$3,'Raw Pressure Data'!$1:$1,0))+$G$3))),"")</f>
        <v/>
      </c>
      <c r="M39" s="26">
        <f>IFERROR(IF($F$4="","",IF($K$5+ROW()-26&gt;$K$6,"",IF(INDEX('Raw Pressure Data'!$A:$ZZ,$K$5+ROW()-26+$H$4,MATCH($F$4,'Raw Pressure Data'!$1:$1,0))=-999,"",INDEX('Raw Pressure Data'!$A:$ZZ,$K$5+ROW()-26+$H$4,MATCH($F$4,'Raw Pressure Data'!$1:$1,0))+$G$4))),"")</f>
        <v/>
      </c>
      <c r="N39" s="26">
        <f>IFERROR(IF($F$5="","",IF($K$5+ROW()-26&gt;$K$6,"",IF(INDEX('Raw Pressure Data'!$A:$ZZ,$K$5+ROW()-26+$H$5,MATCH($F$5,'Raw Pressure Data'!$1:$1,0))=-999,"",INDEX('Raw Pressure Data'!$A:$ZZ,$K$5+ROW()-26+$H$5,MATCH($F$5,'Raw Pressure Data'!$1:$1,0))+$G$5))),"")</f>
        <v/>
      </c>
      <c r="O39" s="26">
        <f>IFERROR(IF($F$6="","",IF($K$5+ROW()-26&gt;$K$6,"",IF(INDEX('Raw Pressure Data'!$A:$ZZ,$K$5+ROW()-26+$H$6,MATCH($F$6,'Raw Pressure Data'!$1:$1,0))=-999,"",INDEX('Raw Pressure Data'!$A:$ZZ,$K$5+ROW()-26+$H$6,MATCH($F$6,'Raw Pressure Data'!$1:$1,0))+$G$6))),"")</f>
        <v/>
      </c>
      <c r="P39" s="26">
        <f>IFERROR(IF($F$7="","",IF($K$5+ROW()-26&gt;$K$6,"",IF(INDEX('Raw Pressure Data'!$A:$ZZ,$K$5+ROW()-26+$H$7,MATCH($F$7,'Raw Pressure Data'!$1:$1,0))=-999,"",INDEX('Raw Pressure Data'!$A:$ZZ,$K$5+ROW()-26+$H$7,MATCH($F$7,'Raw Pressure Data'!$1:$1,0))+$G$7))),"")</f>
        <v/>
      </c>
      <c r="Q39" s="26">
        <f>IFERROR(IF($F$8="","",IF($K$5+ROW()-26&gt;$K$6,"",IF(INDEX('Raw Pressure Data'!$A:$ZZ,$K$5+ROW()-26+$H$8,MATCH($F$8,'Raw Pressure Data'!$1:$1,0))=-999,"",INDEX('Raw Pressure Data'!$A:$ZZ,$K$5+ROW()-26+$H$8,MATCH($F$8,'Raw Pressure Data'!$1:$1,0))+$G$8))),"")</f>
        <v/>
      </c>
      <c r="R39" s="26">
        <f>IFERROR(IF($F$9="","",IF($K$5+ROW()-26&gt;$K$6,"",IF(INDEX('Raw Pressure Data'!$A:$ZZ,$K$5+ROW()-26+$H$9,MATCH($F$9,'Raw Pressure Data'!$1:$1,0))=-999,"",INDEX('Raw Pressure Data'!$A:$ZZ,$K$5+ROW()-26+$H$9,MATCH($F$9,'Raw Pressure Data'!$1:$1,0))+$G$9))),"")</f>
        <v/>
      </c>
      <c r="S39" s="26">
        <f>IFERROR(IF($F$10="","",IF($K$5+ROW()-26&gt;$K$6,"",IF(INDEX('Raw Pressure Data'!$A:$ZZ,$K$5+ROW()-26+$H$10,MATCH($F$10,'Raw Pressure Data'!$1:$1,0))=-999,"",INDEX('Raw Pressure Data'!$A:$ZZ,$K$5+ROW()-26+$H$10,MATCH($F$10,'Raw Pressure Data'!$1:$1,0))+$G$10))),"")</f>
        <v/>
      </c>
      <c r="T39" s="26">
        <f>IFERROR(IF($F$11="","",IF($K$5+ROW()-26&gt;$K$6,"",IF(INDEX('Raw Pressure Data'!$A:$ZZ,$K$5+ROW()-26+$H$11,MATCH($F$11,'Raw Pressure Data'!$1:$1,0))=-999,"",INDEX('Raw Pressure Data'!$A:$ZZ,$K$5+ROW()-26+$H$11,MATCH($F$11,'Raw Pressure Data'!$1:$1,0))+$G$11))),"")</f>
        <v/>
      </c>
      <c r="U39" s="26">
        <f>IFERROR(IF($F$12="","",IF($K$5+ROW()-26&gt;$K$6,"",IF(INDEX('Raw Pressure Data'!$A:$ZZ,$K$5+ROW()-26+$H$12,MATCH($F$12,'Raw Pressure Data'!$1:$1,0))=-999,"",INDEX('Raw Pressure Data'!$A:$ZZ,$K$5+ROW()-26+$H$12,MATCH($F$12,'Raw Pressure Data'!$1:$1,0))+$G$12))),"")</f>
        <v/>
      </c>
      <c r="V39" s="26">
        <f>IFERROR(IF($F$13="","",IF($K$5+ROW()-26&gt;$K$6,"",IF(INDEX('Raw Pressure Data'!$A:$ZZ,$K$5+ROW()-26+$H$13,MATCH($F$13,'Raw Pressure Data'!$1:$1,0))=-999,"",INDEX('Raw Pressure Data'!$A:$ZZ,$K$5+ROW()-26+$H$13,MATCH($F$13,'Raw Pressure Data'!$1:$1,0))+$G$13))),"")</f>
        <v/>
      </c>
      <c r="W39" s="26">
        <f>IFERROR(IF($F$14="","",IF($K$5+ROW()-26&gt;$K$6,"",IF(INDEX('Raw Pressure Data'!$A:$ZZ,$K$5+ROW()-26+$H$14,MATCH($F$14,'Raw Pressure Data'!$1:$1,0))=-999,"",INDEX('Raw Pressure Data'!$A:$ZZ,$K$5+ROW()-26+$H$14,MATCH($F$14,'Raw Pressure Data'!$1:$1,0))+$G$14))),"")</f>
        <v/>
      </c>
      <c r="X39" s="26">
        <f>IFERROR(IF($F$15="","",IF($K$5+ROW()-26&gt;$K$6,"",IF(INDEX('Raw Pressure Data'!$A:$ZZ,$K$5+ROW()-26+$H$15,MATCH($F$15,'Raw Pressure Data'!$1:$1,0))=-999,"",INDEX('Raw Pressure Data'!$A:$ZZ,$K$5+ROW()-26+$H$15,MATCH($F$15,'Raw Pressure Data'!$1:$1,0))+$G$15))),"")</f>
        <v/>
      </c>
      <c r="Y39" s="26">
        <f>IFERROR(IF($F$16="","",IF($K$5+ROW()-26&gt;$K$6,"",IF(INDEX('Raw Pressure Data'!$A:$ZZ,$K$5+ROW()-26+$H$16,MATCH($F$16,'Raw Pressure Data'!$1:$1,0))=-999,"",INDEX('Raw Pressure Data'!$A:$ZZ,$K$5+ROW()-26+$H$16,MATCH($F$16,'Raw Pressure Data'!$1:$1,0))+$G$16))),"")</f>
        <v/>
      </c>
      <c r="Z39" s="26">
        <f>IFERROR(IF($F$17="","",IF($K$5+ROW()-26&gt;$K$6,"",IF(INDEX('Raw Pressure Data'!$A:$ZZ,$K$5+ROW()-26+$H$17,MATCH($F$17,'Raw Pressure Data'!$1:$1,0))=-999,"",INDEX('Raw Pressure Data'!$A:$ZZ,$K$5+ROW()-26+$H$17,MATCH($F$17,'Raw Pressure Data'!$1:$1,0))+$G$17))),"")</f>
        <v/>
      </c>
      <c r="AA39" s="26">
        <f>IFERROR(IF($F$18="","",IF($K$5+ROW()-26&gt;$K$6,"",IF(INDEX('Raw Pressure Data'!$A:$ZZ,$K$5+ROW()-26+$H$18,MATCH($F$18,'Raw Pressure Data'!$1:$1,0))=-999,"",INDEX('Raw Pressure Data'!$A:$ZZ,$K$5+ROW()-26+$H$18,MATCH($F$18,'Raw Pressure Data'!$1:$1,0))+$G$18))),"")</f>
        <v/>
      </c>
      <c r="AB39" s="26">
        <f>IFERROR(IF($F$19="","",IF($K$5+ROW()-26&gt;$K$6,"",IF(INDEX('Raw Pressure Data'!$A:$ZZ,$K$5+ROW()-26+$H$19,MATCH($F$19,'Raw Pressure Data'!$1:$1,0))=-999,"",INDEX('Raw Pressure Data'!$A:$ZZ,$K$5+ROW()-26+$H$19,MATCH($F$19,'Raw Pressure Data'!$1:$1,0))+$G$19))),"")</f>
        <v/>
      </c>
      <c r="AC39" s="26">
        <f>IFERROR(IF($F$20="","",IF($K$5+ROW()-26&gt;$K$6,"",IF(INDEX('Raw Pressure Data'!$A:$ZZ,$K$5+ROW()-26+$H$20,MATCH($F$20,'Raw Pressure Data'!$1:$1,0))=-999,"",INDEX('Raw Pressure Data'!$A:$ZZ,$K$5+ROW()-26+$H$20,MATCH($F$20,'Raw Pressure Data'!$1:$1,0))+$G$20))),"")</f>
        <v/>
      </c>
      <c r="AD39" s="26">
        <f>IFERROR(IF($F$21="","",IF($K$5+ROW()-26&gt;$K$6,"",IF(INDEX('Raw Pressure Data'!$A:$ZZ,$K$5+ROW()-26+$H$21,MATCH($F$21,'Raw Pressure Data'!$1:$1,0))=-999,"",INDEX('Raw Pressure Data'!$A:$ZZ,$K$5+ROW()-26+$H$21,MATCH($F$21,'Raw Pressure Data'!$1:$1,0))+$G$21))),"")</f>
        <v/>
      </c>
      <c r="AE39" s="26">
        <f>IFERROR(IF($F$22="","",IF($K$5+ROW()-26&gt;$K$6,"",IF(INDEX('Raw Pressure Data'!$A:$ZZ,$K$5+ROW()-26+$H$22,MATCH($F$22,'Raw Pressure Data'!$1:$1,0))=-999,"",INDEX('Raw Pressure Data'!$A:$ZZ,$K$5+ROW()-26+$H$22,MATCH($F$22,'Raw Pressure Data'!$1:$1,0))+$G$22))),"")</f>
        <v/>
      </c>
    </row>
    <row r="40" ht="15" customHeight="1">
      <c r="A40" s="23">
        <f>IFERROR(IF($K$5+ROW()-26&gt;$K$6,"",IF(INDEX('Raw Flow Data'!$A:$A,$K$5+ROW()-26)="","",INDEX('Raw Flow Data'!$A:$A,$K$5+ROW()-26))),"")</f>
        <v/>
      </c>
      <c r="B40" s="24">
        <f>IFERROR(IF($B$3="","",IF($K$5+ROW()-26&gt;$K$6,"",IF(INDEX('Raw Flow Data'!$A:$ZZ,$K$5+ROW()-26+$D$3,MATCH($B$3,'Raw Flow Data'!$1:$1,0))=-999,"",INDEX('Raw Flow Data'!$A:$ZZ,$K$5+ROW()-26+$D$3,MATCH($B$3,'Raw Flow Data'!$1:$1,0))*$C$3))),"")</f>
        <v/>
      </c>
      <c r="C40" s="24">
        <f>IFERROR(IF($B$4="","",IF($K$5+ROW()-26&gt;$K$6,"",IF(INDEX('Raw Flow Data'!$A:$ZZ,$K$5+ROW()-26+$D$4,MATCH($B$4,'Raw Flow Data'!$1:$1,0))=-999,"",INDEX('Raw Flow Data'!$A:$ZZ,$K$5+ROW()-26+$D$4,MATCH($B$4,'Raw Flow Data'!$1:$1,0))*$C$4))),"")</f>
        <v/>
      </c>
      <c r="D40" s="24">
        <f>IFERROR(IF($B$5="","",IF($K$5+ROW()-26&gt;$K$6,"",IF(INDEX('Raw Flow Data'!$A:$ZZ,$K$5+ROW()-26+$D$5,MATCH($B$5,'Raw Flow Data'!$1:$1,0))=-999,"",INDEX('Raw Flow Data'!$A:$ZZ,$K$5+ROW()-26+$D$5,MATCH($B$5,'Raw Flow Data'!$1:$1,0))*$C$5))),"")</f>
        <v/>
      </c>
      <c r="E40" s="24">
        <f>IFERROR(IF($B$6="","",IF($K$5+ROW()-26&gt;$K$6,"",IF(INDEX('Raw Flow Data'!$A:$ZZ,$K$5+ROW()-26+$D$6,MATCH($B$6,'Raw Flow Data'!$1:$1,0))=-999,"",INDEX('Raw Flow Data'!$A:$ZZ,$K$5+ROW()-26+$D$6,MATCH($B$6,'Raw Flow Data'!$1:$1,0))*$C$6))),"")</f>
        <v/>
      </c>
      <c r="F40" s="24">
        <f>IFERROR(IF($B$7="","",IF($K$5+ROW()-26&gt;$K$6,"",IF(INDEX('Raw Flow Data'!$A:$ZZ,$K$5+ROW()-26+$D$7,MATCH($B$7,'Raw Flow Data'!$1:$1,0))=-999,"",INDEX('Raw Flow Data'!$A:$ZZ,$K$5+ROW()-26+$D$7,MATCH($B$7,'Raw Flow Data'!$1:$1,0))*$C$7))),"")</f>
        <v/>
      </c>
      <c r="G40" s="24">
        <f>IFERROR(IF($B$8="","",IF($K$5+ROW()-26&gt;$K$6,"",IF(INDEX('Raw Flow Data'!$A:$ZZ,$K$5+ROW()-26+$D$8,MATCH($B$8,'Raw Flow Data'!$1:$1,0))=-999,"",INDEX('Raw Flow Data'!$A:$ZZ,$K$5+ROW()-26+$D$8,MATCH($B$8,'Raw Flow Data'!$1:$1,0))*$C$8))),"")</f>
        <v/>
      </c>
      <c r="H40" s="24">
        <f>IFERROR(IF($B$9="","",IF($K$5+ROW()-26&gt;$K$6,"",IF(INDEX('Raw Flow Data'!$A:$ZZ,$K$5+ROW()-26+$D$9,MATCH($B$9,'Raw Flow Data'!$1:$1,0))=-999,"",INDEX('Raw Flow Data'!$A:$ZZ,$K$5+ROW()-26+$D$9,MATCH($B$9,'Raw Flow Data'!$1:$1,0))*$C$9))),"")</f>
        <v/>
      </c>
      <c r="I40" s="24">
        <f>IFERROR(IF($B$10="","",IF($K$5+ROW()-26&gt;$K$6,"",IF(INDEX('Raw Flow Data'!$A:$ZZ,$K$5+ROW()-26+$D$10,MATCH($B$10,'Raw Flow Data'!$1:$1,0))=-999,"",INDEX('Raw Flow Data'!$A:$ZZ,$K$5+ROW()-26+$D$10,MATCH($B$10,'Raw Flow Data'!$1:$1,0))*$C$10))),"")</f>
        <v/>
      </c>
      <c r="J40" s="24">
        <f>IFERROR(IF($B$11="","",IF($K$5+ROW()-26&gt;$K$6,"",IF(INDEX('Raw Flow Data'!$A:$ZZ,$K$5+ROW()-26+$D$11,MATCH($B$11,'Raw Flow Data'!$1:$1,0))=-999,"",INDEX('Raw Flow Data'!$A:$ZZ,$K$5+ROW()-26+$D$11,MATCH($B$11,'Raw Flow Data'!$1:$1,0))*$C$11))),"")</f>
        <v/>
      </c>
      <c r="K40" s="24">
        <f>IFERROR(IF($B$12="","",IF($K$5+ROW()-26&gt;$K$6,"",IF(INDEX('Raw Flow Data'!$A:$ZZ,$K$5+ROW()-26+$D$12,MATCH($B$12,'Raw Flow Data'!$1:$1,0))=-999,"",INDEX('Raw Flow Data'!$A:$ZZ,$K$5+ROW()-26+$D$12,MATCH($B$12,'Raw Flow Data'!$1:$1,0))*$C$12))),"")</f>
        <v/>
      </c>
      <c r="L40" s="24">
        <f>IFERROR(IF($F$3="","",IF($K$5+ROW()-26&gt;$K$6,"",IF(INDEX('Raw Pressure Data'!$A:$ZZ,$K$5+ROW()-26+$H$3,MATCH($F$3,'Raw Pressure Data'!$1:$1,0))=-999,"",INDEX('Raw Pressure Data'!$A:$ZZ,$K$5+ROW()-26+$H$3,MATCH($F$3,'Raw Pressure Data'!$1:$1,0))+$G$3))),"")</f>
        <v/>
      </c>
      <c r="M40" s="24">
        <f>IFERROR(IF($F$4="","",IF($K$5+ROW()-26&gt;$K$6,"",IF(INDEX('Raw Pressure Data'!$A:$ZZ,$K$5+ROW()-26+$H$4,MATCH($F$4,'Raw Pressure Data'!$1:$1,0))=-999,"",INDEX('Raw Pressure Data'!$A:$ZZ,$K$5+ROW()-26+$H$4,MATCH($F$4,'Raw Pressure Data'!$1:$1,0))+$G$4))),"")</f>
        <v/>
      </c>
      <c r="N40" s="24">
        <f>IFERROR(IF($F$5="","",IF($K$5+ROW()-26&gt;$K$6,"",IF(INDEX('Raw Pressure Data'!$A:$ZZ,$K$5+ROW()-26+$H$5,MATCH($F$5,'Raw Pressure Data'!$1:$1,0))=-999,"",INDEX('Raw Pressure Data'!$A:$ZZ,$K$5+ROW()-26+$H$5,MATCH($F$5,'Raw Pressure Data'!$1:$1,0))+$G$5))),"")</f>
        <v/>
      </c>
      <c r="O40" s="24">
        <f>IFERROR(IF($F$6="","",IF($K$5+ROW()-26&gt;$K$6,"",IF(INDEX('Raw Pressure Data'!$A:$ZZ,$K$5+ROW()-26+$H$6,MATCH($F$6,'Raw Pressure Data'!$1:$1,0))=-999,"",INDEX('Raw Pressure Data'!$A:$ZZ,$K$5+ROW()-26+$H$6,MATCH($F$6,'Raw Pressure Data'!$1:$1,0))+$G$6))),"")</f>
        <v/>
      </c>
      <c r="P40" s="24">
        <f>IFERROR(IF($F$7="","",IF($K$5+ROW()-26&gt;$K$6,"",IF(INDEX('Raw Pressure Data'!$A:$ZZ,$K$5+ROW()-26+$H$7,MATCH($F$7,'Raw Pressure Data'!$1:$1,0))=-999,"",INDEX('Raw Pressure Data'!$A:$ZZ,$K$5+ROW()-26+$H$7,MATCH($F$7,'Raw Pressure Data'!$1:$1,0))+$G$7))),"")</f>
        <v/>
      </c>
      <c r="Q40" s="24">
        <f>IFERROR(IF($F$8="","",IF($K$5+ROW()-26&gt;$K$6,"",IF(INDEX('Raw Pressure Data'!$A:$ZZ,$K$5+ROW()-26+$H$8,MATCH($F$8,'Raw Pressure Data'!$1:$1,0))=-999,"",INDEX('Raw Pressure Data'!$A:$ZZ,$K$5+ROW()-26+$H$8,MATCH($F$8,'Raw Pressure Data'!$1:$1,0))+$G$8))),"")</f>
        <v/>
      </c>
      <c r="R40" s="24">
        <f>IFERROR(IF($F$9="","",IF($K$5+ROW()-26&gt;$K$6,"",IF(INDEX('Raw Pressure Data'!$A:$ZZ,$K$5+ROW()-26+$H$9,MATCH($F$9,'Raw Pressure Data'!$1:$1,0))=-999,"",INDEX('Raw Pressure Data'!$A:$ZZ,$K$5+ROW()-26+$H$9,MATCH($F$9,'Raw Pressure Data'!$1:$1,0))+$G$9))),"")</f>
        <v/>
      </c>
      <c r="S40" s="24">
        <f>IFERROR(IF($F$10="","",IF($K$5+ROW()-26&gt;$K$6,"",IF(INDEX('Raw Pressure Data'!$A:$ZZ,$K$5+ROW()-26+$H$10,MATCH($F$10,'Raw Pressure Data'!$1:$1,0))=-999,"",INDEX('Raw Pressure Data'!$A:$ZZ,$K$5+ROW()-26+$H$10,MATCH($F$10,'Raw Pressure Data'!$1:$1,0))+$G$10))),"")</f>
        <v/>
      </c>
      <c r="T40" s="24">
        <f>IFERROR(IF($F$11="","",IF($K$5+ROW()-26&gt;$K$6,"",IF(INDEX('Raw Pressure Data'!$A:$ZZ,$K$5+ROW()-26+$H$11,MATCH($F$11,'Raw Pressure Data'!$1:$1,0))=-999,"",INDEX('Raw Pressure Data'!$A:$ZZ,$K$5+ROW()-26+$H$11,MATCH($F$11,'Raw Pressure Data'!$1:$1,0))+$G$11))),"")</f>
        <v/>
      </c>
      <c r="U40" s="24">
        <f>IFERROR(IF($F$12="","",IF($K$5+ROW()-26&gt;$K$6,"",IF(INDEX('Raw Pressure Data'!$A:$ZZ,$K$5+ROW()-26+$H$12,MATCH($F$12,'Raw Pressure Data'!$1:$1,0))=-999,"",INDEX('Raw Pressure Data'!$A:$ZZ,$K$5+ROW()-26+$H$12,MATCH($F$12,'Raw Pressure Data'!$1:$1,0))+$G$12))),"")</f>
        <v/>
      </c>
      <c r="V40" s="24">
        <f>IFERROR(IF($F$13="","",IF($K$5+ROW()-26&gt;$K$6,"",IF(INDEX('Raw Pressure Data'!$A:$ZZ,$K$5+ROW()-26+$H$13,MATCH($F$13,'Raw Pressure Data'!$1:$1,0))=-999,"",INDEX('Raw Pressure Data'!$A:$ZZ,$K$5+ROW()-26+$H$13,MATCH($F$13,'Raw Pressure Data'!$1:$1,0))+$G$13))),"")</f>
        <v/>
      </c>
      <c r="W40" s="24">
        <f>IFERROR(IF($F$14="","",IF($K$5+ROW()-26&gt;$K$6,"",IF(INDEX('Raw Pressure Data'!$A:$ZZ,$K$5+ROW()-26+$H$14,MATCH($F$14,'Raw Pressure Data'!$1:$1,0))=-999,"",INDEX('Raw Pressure Data'!$A:$ZZ,$K$5+ROW()-26+$H$14,MATCH($F$14,'Raw Pressure Data'!$1:$1,0))+$G$14))),"")</f>
        <v/>
      </c>
      <c r="X40" s="24">
        <f>IFERROR(IF($F$15="","",IF($K$5+ROW()-26&gt;$K$6,"",IF(INDEX('Raw Pressure Data'!$A:$ZZ,$K$5+ROW()-26+$H$15,MATCH($F$15,'Raw Pressure Data'!$1:$1,0))=-999,"",INDEX('Raw Pressure Data'!$A:$ZZ,$K$5+ROW()-26+$H$15,MATCH($F$15,'Raw Pressure Data'!$1:$1,0))+$G$15))),"")</f>
        <v/>
      </c>
      <c r="Y40" s="24">
        <f>IFERROR(IF($F$16="","",IF($K$5+ROW()-26&gt;$K$6,"",IF(INDEX('Raw Pressure Data'!$A:$ZZ,$K$5+ROW()-26+$H$16,MATCH($F$16,'Raw Pressure Data'!$1:$1,0))=-999,"",INDEX('Raw Pressure Data'!$A:$ZZ,$K$5+ROW()-26+$H$16,MATCH($F$16,'Raw Pressure Data'!$1:$1,0))+$G$16))),"")</f>
        <v/>
      </c>
      <c r="Z40" s="24">
        <f>IFERROR(IF($F$17="","",IF($K$5+ROW()-26&gt;$K$6,"",IF(INDEX('Raw Pressure Data'!$A:$ZZ,$K$5+ROW()-26+$H$17,MATCH($F$17,'Raw Pressure Data'!$1:$1,0))=-999,"",INDEX('Raw Pressure Data'!$A:$ZZ,$K$5+ROW()-26+$H$17,MATCH($F$17,'Raw Pressure Data'!$1:$1,0))+$G$17))),"")</f>
        <v/>
      </c>
      <c r="AA40" s="24">
        <f>IFERROR(IF($F$18="","",IF($K$5+ROW()-26&gt;$K$6,"",IF(INDEX('Raw Pressure Data'!$A:$ZZ,$K$5+ROW()-26+$H$18,MATCH($F$18,'Raw Pressure Data'!$1:$1,0))=-999,"",INDEX('Raw Pressure Data'!$A:$ZZ,$K$5+ROW()-26+$H$18,MATCH($F$18,'Raw Pressure Data'!$1:$1,0))+$G$18))),"")</f>
        <v/>
      </c>
      <c r="AB40" s="24">
        <f>IFERROR(IF($F$19="","",IF($K$5+ROW()-26&gt;$K$6,"",IF(INDEX('Raw Pressure Data'!$A:$ZZ,$K$5+ROW()-26+$H$19,MATCH($F$19,'Raw Pressure Data'!$1:$1,0))=-999,"",INDEX('Raw Pressure Data'!$A:$ZZ,$K$5+ROW()-26+$H$19,MATCH($F$19,'Raw Pressure Data'!$1:$1,0))+$G$19))),"")</f>
        <v/>
      </c>
      <c r="AC40" s="24">
        <f>IFERROR(IF($F$20="","",IF($K$5+ROW()-26&gt;$K$6,"",IF(INDEX('Raw Pressure Data'!$A:$ZZ,$K$5+ROW()-26+$H$20,MATCH($F$20,'Raw Pressure Data'!$1:$1,0))=-999,"",INDEX('Raw Pressure Data'!$A:$ZZ,$K$5+ROW()-26+$H$20,MATCH($F$20,'Raw Pressure Data'!$1:$1,0))+$G$20))),"")</f>
        <v/>
      </c>
      <c r="AD40" s="24">
        <f>IFERROR(IF($F$21="","",IF($K$5+ROW()-26&gt;$K$6,"",IF(INDEX('Raw Pressure Data'!$A:$ZZ,$K$5+ROW()-26+$H$21,MATCH($F$21,'Raw Pressure Data'!$1:$1,0))=-999,"",INDEX('Raw Pressure Data'!$A:$ZZ,$K$5+ROW()-26+$H$21,MATCH($F$21,'Raw Pressure Data'!$1:$1,0))+$G$21))),"")</f>
        <v/>
      </c>
      <c r="AE40" s="24">
        <f>IFERROR(IF($F$22="","",IF($K$5+ROW()-26&gt;$K$6,"",IF(INDEX('Raw Pressure Data'!$A:$ZZ,$K$5+ROW()-26+$H$22,MATCH($F$22,'Raw Pressure Data'!$1:$1,0))=-999,"",INDEX('Raw Pressure Data'!$A:$ZZ,$K$5+ROW()-26+$H$22,MATCH($F$22,'Raw Pressure Data'!$1:$1,0))+$G$22))),"")</f>
        <v/>
      </c>
    </row>
    <row r="41" ht="15" customHeight="1">
      <c r="A41" s="25">
        <f>IFERROR(IF($K$5+ROW()-26&gt;$K$6,"",IF(INDEX('Raw Flow Data'!$A:$A,$K$5+ROW()-26)="","",INDEX('Raw Flow Data'!$A:$A,$K$5+ROW()-26))),"")</f>
        <v/>
      </c>
      <c r="B41" s="26">
        <f>IFERROR(IF($B$3="","",IF($K$5+ROW()-26&gt;$K$6,"",IF(INDEX('Raw Flow Data'!$A:$ZZ,$K$5+ROW()-26+$D$3,MATCH($B$3,'Raw Flow Data'!$1:$1,0))=-999,"",INDEX('Raw Flow Data'!$A:$ZZ,$K$5+ROW()-26+$D$3,MATCH($B$3,'Raw Flow Data'!$1:$1,0))*$C$3))),"")</f>
        <v/>
      </c>
      <c r="C41" s="26">
        <f>IFERROR(IF($B$4="","",IF($K$5+ROW()-26&gt;$K$6,"",IF(INDEX('Raw Flow Data'!$A:$ZZ,$K$5+ROW()-26+$D$4,MATCH($B$4,'Raw Flow Data'!$1:$1,0))=-999,"",INDEX('Raw Flow Data'!$A:$ZZ,$K$5+ROW()-26+$D$4,MATCH($B$4,'Raw Flow Data'!$1:$1,0))*$C$4))),"")</f>
        <v/>
      </c>
      <c r="D41" s="26">
        <f>IFERROR(IF($B$5="","",IF($K$5+ROW()-26&gt;$K$6,"",IF(INDEX('Raw Flow Data'!$A:$ZZ,$K$5+ROW()-26+$D$5,MATCH($B$5,'Raw Flow Data'!$1:$1,0))=-999,"",INDEX('Raw Flow Data'!$A:$ZZ,$K$5+ROW()-26+$D$5,MATCH($B$5,'Raw Flow Data'!$1:$1,0))*$C$5))),"")</f>
        <v/>
      </c>
      <c r="E41" s="26">
        <f>IFERROR(IF($B$6="","",IF($K$5+ROW()-26&gt;$K$6,"",IF(INDEX('Raw Flow Data'!$A:$ZZ,$K$5+ROW()-26+$D$6,MATCH($B$6,'Raw Flow Data'!$1:$1,0))=-999,"",INDEX('Raw Flow Data'!$A:$ZZ,$K$5+ROW()-26+$D$6,MATCH($B$6,'Raw Flow Data'!$1:$1,0))*$C$6))),"")</f>
        <v/>
      </c>
      <c r="F41" s="26">
        <f>IFERROR(IF($B$7="","",IF($K$5+ROW()-26&gt;$K$6,"",IF(INDEX('Raw Flow Data'!$A:$ZZ,$K$5+ROW()-26+$D$7,MATCH($B$7,'Raw Flow Data'!$1:$1,0))=-999,"",INDEX('Raw Flow Data'!$A:$ZZ,$K$5+ROW()-26+$D$7,MATCH($B$7,'Raw Flow Data'!$1:$1,0))*$C$7))),"")</f>
        <v/>
      </c>
      <c r="G41" s="26">
        <f>IFERROR(IF($B$8="","",IF($K$5+ROW()-26&gt;$K$6,"",IF(INDEX('Raw Flow Data'!$A:$ZZ,$K$5+ROW()-26+$D$8,MATCH($B$8,'Raw Flow Data'!$1:$1,0))=-999,"",INDEX('Raw Flow Data'!$A:$ZZ,$K$5+ROW()-26+$D$8,MATCH($B$8,'Raw Flow Data'!$1:$1,0))*$C$8))),"")</f>
        <v/>
      </c>
      <c r="H41" s="26">
        <f>IFERROR(IF($B$9="","",IF($K$5+ROW()-26&gt;$K$6,"",IF(INDEX('Raw Flow Data'!$A:$ZZ,$K$5+ROW()-26+$D$9,MATCH($B$9,'Raw Flow Data'!$1:$1,0))=-999,"",INDEX('Raw Flow Data'!$A:$ZZ,$K$5+ROW()-26+$D$9,MATCH($B$9,'Raw Flow Data'!$1:$1,0))*$C$9))),"")</f>
        <v/>
      </c>
      <c r="I41" s="26">
        <f>IFERROR(IF($B$10="","",IF($K$5+ROW()-26&gt;$K$6,"",IF(INDEX('Raw Flow Data'!$A:$ZZ,$K$5+ROW()-26+$D$10,MATCH($B$10,'Raw Flow Data'!$1:$1,0))=-999,"",INDEX('Raw Flow Data'!$A:$ZZ,$K$5+ROW()-26+$D$10,MATCH($B$10,'Raw Flow Data'!$1:$1,0))*$C$10))),"")</f>
        <v/>
      </c>
      <c r="J41" s="26">
        <f>IFERROR(IF($B$11="","",IF($K$5+ROW()-26&gt;$K$6,"",IF(INDEX('Raw Flow Data'!$A:$ZZ,$K$5+ROW()-26+$D$11,MATCH($B$11,'Raw Flow Data'!$1:$1,0))=-999,"",INDEX('Raw Flow Data'!$A:$ZZ,$K$5+ROW()-26+$D$11,MATCH($B$11,'Raw Flow Data'!$1:$1,0))*$C$11))),"")</f>
        <v/>
      </c>
      <c r="K41" s="26">
        <f>IFERROR(IF($B$12="","",IF($K$5+ROW()-26&gt;$K$6,"",IF(INDEX('Raw Flow Data'!$A:$ZZ,$K$5+ROW()-26+$D$12,MATCH($B$12,'Raw Flow Data'!$1:$1,0))=-999,"",INDEX('Raw Flow Data'!$A:$ZZ,$K$5+ROW()-26+$D$12,MATCH($B$12,'Raw Flow Data'!$1:$1,0))*$C$12))),"")</f>
        <v/>
      </c>
      <c r="L41" s="26">
        <f>IFERROR(IF($F$3="","",IF($K$5+ROW()-26&gt;$K$6,"",IF(INDEX('Raw Pressure Data'!$A:$ZZ,$K$5+ROW()-26+$H$3,MATCH($F$3,'Raw Pressure Data'!$1:$1,0))=-999,"",INDEX('Raw Pressure Data'!$A:$ZZ,$K$5+ROW()-26+$H$3,MATCH($F$3,'Raw Pressure Data'!$1:$1,0))+$G$3))),"")</f>
        <v/>
      </c>
      <c r="M41" s="26">
        <f>IFERROR(IF($F$4="","",IF($K$5+ROW()-26&gt;$K$6,"",IF(INDEX('Raw Pressure Data'!$A:$ZZ,$K$5+ROW()-26+$H$4,MATCH($F$4,'Raw Pressure Data'!$1:$1,0))=-999,"",INDEX('Raw Pressure Data'!$A:$ZZ,$K$5+ROW()-26+$H$4,MATCH($F$4,'Raw Pressure Data'!$1:$1,0))+$G$4))),"")</f>
        <v/>
      </c>
      <c r="N41" s="26">
        <f>IFERROR(IF($F$5="","",IF($K$5+ROW()-26&gt;$K$6,"",IF(INDEX('Raw Pressure Data'!$A:$ZZ,$K$5+ROW()-26+$H$5,MATCH($F$5,'Raw Pressure Data'!$1:$1,0))=-999,"",INDEX('Raw Pressure Data'!$A:$ZZ,$K$5+ROW()-26+$H$5,MATCH($F$5,'Raw Pressure Data'!$1:$1,0))+$G$5))),"")</f>
        <v/>
      </c>
      <c r="O41" s="26">
        <f>IFERROR(IF($F$6="","",IF($K$5+ROW()-26&gt;$K$6,"",IF(INDEX('Raw Pressure Data'!$A:$ZZ,$K$5+ROW()-26+$H$6,MATCH($F$6,'Raw Pressure Data'!$1:$1,0))=-999,"",INDEX('Raw Pressure Data'!$A:$ZZ,$K$5+ROW()-26+$H$6,MATCH($F$6,'Raw Pressure Data'!$1:$1,0))+$G$6))),"")</f>
        <v/>
      </c>
      <c r="P41" s="26">
        <f>IFERROR(IF($F$7="","",IF($K$5+ROW()-26&gt;$K$6,"",IF(INDEX('Raw Pressure Data'!$A:$ZZ,$K$5+ROW()-26+$H$7,MATCH($F$7,'Raw Pressure Data'!$1:$1,0))=-999,"",INDEX('Raw Pressure Data'!$A:$ZZ,$K$5+ROW()-26+$H$7,MATCH($F$7,'Raw Pressure Data'!$1:$1,0))+$G$7))),"")</f>
        <v/>
      </c>
      <c r="Q41" s="26">
        <f>IFERROR(IF($F$8="","",IF($K$5+ROW()-26&gt;$K$6,"",IF(INDEX('Raw Pressure Data'!$A:$ZZ,$K$5+ROW()-26+$H$8,MATCH($F$8,'Raw Pressure Data'!$1:$1,0))=-999,"",INDEX('Raw Pressure Data'!$A:$ZZ,$K$5+ROW()-26+$H$8,MATCH($F$8,'Raw Pressure Data'!$1:$1,0))+$G$8))),"")</f>
        <v/>
      </c>
      <c r="R41" s="26">
        <f>IFERROR(IF($F$9="","",IF($K$5+ROW()-26&gt;$K$6,"",IF(INDEX('Raw Pressure Data'!$A:$ZZ,$K$5+ROW()-26+$H$9,MATCH($F$9,'Raw Pressure Data'!$1:$1,0))=-999,"",INDEX('Raw Pressure Data'!$A:$ZZ,$K$5+ROW()-26+$H$9,MATCH($F$9,'Raw Pressure Data'!$1:$1,0))+$G$9))),"")</f>
        <v/>
      </c>
      <c r="S41" s="26">
        <f>IFERROR(IF($F$10="","",IF($K$5+ROW()-26&gt;$K$6,"",IF(INDEX('Raw Pressure Data'!$A:$ZZ,$K$5+ROW()-26+$H$10,MATCH($F$10,'Raw Pressure Data'!$1:$1,0))=-999,"",INDEX('Raw Pressure Data'!$A:$ZZ,$K$5+ROW()-26+$H$10,MATCH($F$10,'Raw Pressure Data'!$1:$1,0))+$G$10))),"")</f>
        <v/>
      </c>
      <c r="T41" s="26">
        <f>IFERROR(IF($F$11="","",IF($K$5+ROW()-26&gt;$K$6,"",IF(INDEX('Raw Pressure Data'!$A:$ZZ,$K$5+ROW()-26+$H$11,MATCH($F$11,'Raw Pressure Data'!$1:$1,0))=-999,"",INDEX('Raw Pressure Data'!$A:$ZZ,$K$5+ROW()-26+$H$11,MATCH($F$11,'Raw Pressure Data'!$1:$1,0))+$G$11))),"")</f>
        <v/>
      </c>
      <c r="U41" s="26">
        <f>IFERROR(IF($F$12="","",IF($K$5+ROW()-26&gt;$K$6,"",IF(INDEX('Raw Pressure Data'!$A:$ZZ,$K$5+ROW()-26+$H$12,MATCH($F$12,'Raw Pressure Data'!$1:$1,0))=-999,"",INDEX('Raw Pressure Data'!$A:$ZZ,$K$5+ROW()-26+$H$12,MATCH($F$12,'Raw Pressure Data'!$1:$1,0))+$G$12))),"")</f>
        <v/>
      </c>
      <c r="V41" s="26">
        <f>IFERROR(IF($F$13="","",IF($K$5+ROW()-26&gt;$K$6,"",IF(INDEX('Raw Pressure Data'!$A:$ZZ,$K$5+ROW()-26+$H$13,MATCH($F$13,'Raw Pressure Data'!$1:$1,0))=-999,"",INDEX('Raw Pressure Data'!$A:$ZZ,$K$5+ROW()-26+$H$13,MATCH($F$13,'Raw Pressure Data'!$1:$1,0))+$G$13))),"")</f>
        <v/>
      </c>
      <c r="W41" s="26">
        <f>IFERROR(IF($F$14="","",IF($K$5+ROW()-26&gt;$K$6,"",IF(INDEX('Raw Pressure Data'!$A:$ZZ,$K$5+ROW()-26+$H$14,MATCH($F$14,'Raw Pressure Data'!$1:$1,0))=-999,"",INDEX('Raw Pressure Data'!$A:$ZZ,$K$5+ROW()-26+$H$14,MATCH($F$14,'Raw Pressure Data'!$1:$1,0))+$G$14))),"")</f>
        <v/>
      </c>
      <c r="X41" s="26">
        <f>IFERROR(IF($F$15="","",IF($K$5+ROW()-26&gt;$K$6,"",IF(INDEX('Raw Pressure Data'!$A:$ZZ,$K$5+ROW()-26+$H$15,MATCH($F$15,'Raw Pressure Data'!$1:$1,0))=-999,"",INDEX('Raw Pressure Data'!$A:$ZZ,$K$5+ROW()-26+$H$15,MATCH($F$15,'Raw Pressure Data'!$1:$1,0))+$G$15))),"")</f>
        <v/>
      </c>
      <c r="Y41" s="26">
        <f>IFERROR(IF($F$16="","",IF($K$5+ROW()-26&gt;$K$6,"",IF(INDEX('Raw Pressure Data'!$A:$ZZ,$K$5+ROW()-26+$H$16,MATCH($F$16,'Raw Pressure Data'!$1:$1,0))=-999,"",INDEX('Raw Pressure Data'!$A:$ZZ,$K$5+ROW()-26+$H$16,MATCH($F$16,'Raw Pressure Data'!$1:$1,0))+$G$16))),"")</f>
        <v/>
      </c>
      <c r="Z41" s="26">
        <f>IFERROR(IF($F$17="","",IF($K$5+ROW()-26&gt;$K$6,"",IF(INDEX('Raw Pressure Data'!$A:$ZZ,$K$5+ROW()-26+$H$17,MATCH($F$17,'Raw Pressure Data'!$1:$1,0))=-999,"",INDEX('Raw Pressure Data'!$A:$ZZ,$K$5+ROW()-26+$H$17,MATCH($F$17,'Raw Pressure Data'!$1:$1,0))+$G$17))),"")</f>
        <v/>
      </c>
      <c r="AA41" s="26">
        <f>IFERROR(IF($F$18="","",IF($K$5+ROW()-26&gt;$K$6,"",IF(INDEX('Raw Pressure Data'!$A:$ZZ,$K$5+ROW()-26+$H$18,MATCH($F$18,'Raw Pressure Data'!$1:$1,0))=-999,"",INDEX('Raw Pressure Data'!$A:$ZZ,$K$5+ROW()-26+$H$18,MATCH($F$18,'Raw Pressure Data'!$1:$1,0))+$G$18))),"")</f>
        <v/>
      </c>
      <c r="AB41" s="26">
        <f>IFERROR(IF($F$19="","",IF($K$5+ROW()-26&gt;$K$6,"",IF(INDEX('Raw Pressure Data'!$A:$ZZ,$K$5+ROW()-26+$H$19,MATCH($F$19,'Raw Pressure Data'!$1:$1,0))=-999,"",INDEX('Raw Pressure Data'!$A:$ZZ,$K$5+ROW()-26+$H$19,MATCH($F$19,'Raw Pressure Data'!$1:$1,0))+$G$19))),"")</f>
        <v/>
      </c>
      <c r="AC41" s="26">
        <f>IFERROR(IF($F$20="","",IF($K$5+ROW()-26&gt;$K$6,"",IF(INDEX('Raw Pressure Data'!$A:$ZZ,$K$5+ROW()-26+$H$20,MATCH($F$20,'Raw Pressure Data'!$1:$1,0))=-999,"",INDEX('Raw Pressure Data'!$A:$ZZ,$K$5+ROW()-26+$H$20,MATCH($F$20,'Raw Pressure Data'!$1:$1,0))+$G$20))),"")</f>
        <v/>
      </c>
      <c r="AD41" s="26">
        <f>IFERROR(IF($F$21="","",IF($K$5+ROW()-26&gt;$K$6,"",IF(INDEX('Raw Pressure Data'!$A:$ZZ,$K$5+ROW()-26+$H$21,MATCH($F$21,'Raw Pressure Data'!$1:$1,0))=-999,"",INDEX('Raw Pressure Data'!$A:$ZZ,$K$5+ROW()-26+$H$21,MATCH($F$21,'Raw Pressure Data'!$1:$1,0))+$G$21))),"")</f>
        <v/>
      </c>
      <c r="AE41" s="26">
        <f>IFERROR(IF($F$22="","",IF($K$5+ROW()-26&gt;$K$6,"",IF(INDEX('Raw Pressure Data'!$A:$ZZ,$K$5+ROW()-26+$H$22,MATCH($F$22,'Raw Pressure Data'!$1:$1,0))=-999,"",INDEX('Raw Pressure Data'!$A:$ZZ,$K$5+ROW()-26+$H$22,MATCH($F$22,'Raw Pressure Data'!$1:$1,0))+$G$22))),"")</f>
        <v/>
      </c>
    </row>
    <row r="42" ht="15" customHeight="1">
      <c r="A42" s="23">
        <f>IFERROR(IF($K$5+ROW()-26&gt;$K$6,"",IF(INDEX('Raw Flow Data'!$A:$A,$K$5+ROW()-26)="","",INDEX('Raw Flow Data'!$A:$A,$K$5+ROW()-26))),"")</f>
        <v/>
      </c>
      <c r="B42" s="24">
        <f>IFERROR(IF($B$3="","",IF($K$5+ROW()-26&gt;$K$6,"",IF(INDEX('Raw Flow Data'!$A:$ZZ,$K$5+ROW()-26+$D$3,MATCH($B$3,'Raw Flow Data'!$1:$1,0))=-999,"",INDEX('Raw Flow Data'!$A:$ZZ,$K$5+ROW()-26+$D$3,MATCH($B$3,'Raw Flow Data'!$1:$1,0))*$C$3))),"")</f>
        <v/>
      </c>
      <c r="C42" s="24">
        <f>IFERROR(IF($B$4="","",IF($K$5+ROW()-26&gt;$K$6,"",IF(INDEX('Raw Flow Data'!$A:$ZZ,$K$5+ROW()-26+$D$4,MATCH($B$4,'Raw Flow Data'!$1:$1,0))=-999,"",INDEX('Raw Flow Data'!$A:$ZZ,$K$5+ROW()-26+$D$4,MATCH($B$4,'Raw Flow Data'!$1:$1,0))*$C$4))),"")</f>
        <v/>
      </c>
      <c r="D42" s="24">
        <f>IFERROR(IF($B$5="","",IF($K$5+ROW()-26&gt;$K$6,"",IF(INDEX('Raw Flow Data'!$A:$ZZ,$K$5+ROW()-26+$D$5,MATCH($B$5,'Raw Flow Data'!$1:$1,0))=-999,"",INDEX('Raw Flow Data'!$A:$ZZ,$K$5+ROW()-26+$D$5,MATCH($B$5,'Raw Flow Data'!$1:$1,0))*$C$5))),"")</f>
        <v/>
      </c>
      <c r="E42" s="24">
        <f>IFERROR(IF($B$6="","",IF($K$5+ROW()-26&gt;$K$6,"",IF(INDEX('Raw Flow Data'!$A:$ZZ,$K$5+ROW()-26+$D$6,MATCH($B$6,'Raw Flow Data'!$1:$1,0))=-999,"",INDEX('Raw Flow Data'!$A:$ZZ,$K$5+ROW()-26+$D$6,MATCH($B$6,'Raw Flow Data'!$1:$1,0))*$C$6))),"")</f>
        <v/>
      </c>
      <c r="F42" s="24">
        <f>IFERROR(IF($B$7="","",IF($K$5+ROW()-26&gt;$K$6,"",IF(INDEX('Raw Flow Data'!$A:$ZZ,$K$5+ROW()-26+$D$7,MATCH($B$7,'Raw Flow Data'!$1:$1,0))=-999,"",INDEX('Raw Flow Data'!$A:$ZZ,$K$5+ROW()-26+$D$7,MATCH($B$7,'Raw Flow Data'!$1:$1,0))*$C$7))),"")</f>
        <v/>
      </c>
      <c r="G42" s="24">
        <f>IFERROR(IF($B$8="","",IF($K$5+ROW()-26&gt;$K$6,"",IF(INDEX('Raw Flow Data'!$A:$ZZ,$K$5+ROW()-26+$D$8,MATCH($B$8,'Raw Flow Data'!$1:$1,0))=-999,"",INDEX('Raw Flow Data'!$A:$ZZ,$K$5+ROW()-26+$D$8,MATCH($B$8,'Raw Flow Data'!$1:$1,0))*$C$8))),"")</f>
        <v/>
      </c>
      <c r="H42" s="24">
        <f>IFERROR(IF($B$9="","",IF($K$5+ROW()-26&gt;$K$6,"",IF(INDEX('Raw Flow Data'!$A:$ZZ,$K$5+ROW()-26+$D$9,MATCH($B$9,'Raw Flow Data'!$1:$1,0))=-999,"",INDEX('Raw Flow Data'!$A:$ZZ,$K$5+ROW()-26+$D$9,MATCH($B$9,'Raw Flow Data'!$1:$1,0))*$C$9))),"")</f>
        <v/>
      </c>
      <c r="I42" s="24">
        <f>IFERROR(IF($B$10="","",IF($K$5+ROW()-26&gt;$K$6,"",IF(INDEX('Raw Flow Data'!$A:$ZZ,$K$5+ROW()-26+$D$10,MATCH($B$10,'Raw Flow Data'!$1:$1,0))=-999,"",INDEX('Raw Flow Data'!$A:$ZZ,$K$5+ROW()-26+$D$10,MATCH($B$10,'Raw Flow Data'!$1:$1,0))*$C$10))),"")</f>
        <v/>
      </c>
      <c r="J42" s="24">
        <f>IFERROR(IF($B$11="","",IF($K$5+ROW()-26&gt;$K$6,"",IF(INDEX('Raw Flow Data'!$A:$ZZ,$K$5+ROW()-26+$D$11,MATCH($B$11,'Raw Flow Data'!$1:$1,0))=-999,"",INDEX('Raw Flow Data'!$A:$ZZ,$K$5+ROW()-26+$D$11,MATCH($B$11,'Raw Flow Data'!$1:$1,0))*$C$11))),"")</f>
        <v/>
      </c>
      <c r="K42" s="24">
        <f>IFERROR(IF($B$12="","",IF($K$5+ROW()-26&gt;$K$6,"",IF(INDEX('Raw Flow Data'!$A:$ZZ,$K$5+ROW()-26+$D$12,MATCH($B$12,'Raw Flow Data'!$1:$1,0))=-999,"",INDEX('Raw Flow Data'!$A:$ZZ,$K$5+ROW()-26+$D$12,MATCH($B$12,'Raw Flow Data'!$1:$1,0))*$C$12))),"")</f>
        <v/>
      </c>
      <c r="L42" s="24">
        <f>IFERROR(IF($F$3="","",IF($K$5+ROW()-26&gt;$K$6,"",IF(INDEX('Raw Pressure Data'!$A:$ZZ,$K$5+ROW()-26+$H$3,MATCH($F$3,'Raw Pressure Data'!$1:$1,0))=-999,"",INDEX('Raw Pressure Data'!$A:$ZZ,$K$5+ROW()-26+$H$3,MATCH($F$3,'Raw Pressure Data'!$1:$1,0))+$G$3))),"")</f>
        <v/>
      </c>
      <c r="M42" s="24">
        <f>IFERROR(IF($F$4="","",IF($K$5+ROW()-26&gt;$K$6,"",IF(INDEX('Raw Pressure Data'!$A:$ZZ,$K$5+ROW()-26+$H$4,MATCH($F$4,'Raw Pressure Data'!$1:$1,0))=-999,"",INDEX('Raw Pressure Data'!$A:$ZZ,$K$5+ROW()-26+$H$4,MATCH($F$4,'Raw Pressure Data'!$1:$1,0))+$G$4))),"")</f>
        <v/>
      </c>
      <c r="N42" s="24">
        <f>IFERROR(IF($F$5="","",IF($K$5+ROW()-26&gt;$K$6,"",IF(INDEX('Raw Pressure Data'!$A:$ZZ,$K$5+ROW()-26+$H$5,MATCH($F$5,'Raw Pressure Data'!$1:$1,0))=-999,"",INDEX('Raw Pressure Data'!$A:$ZZ,$K$5+ROW()-26+$H$5,MATCH($F$5,'Raw Pressure Data'!$1:$1,0))+$G$5))),"")</f>
        <v/>
      </c>
      <c r="O42" s="24">
        <f>IFERROR(IF($F$6="","",IF($K$5+ROW()-26&gt;$K$6,"",IF(INDEX('Raw Pressure Data'!$A:$ZZ,$K$5+ROW()-26+$H$6,MATCH($F$6,'Raw Pressure Data'!$1:$1,0))=-999,"",INDEX('Raw Pressure Data'!$A:$ZZ,$K$5+ROW()-26+$H$6,MATCH($F$6,'Raw Pressure Data'!$1:$1,0))+$G$6))),"")</f>
        <v/>
      </c>
      <c r="P42" s="24">
        <f>IFERROR(IF($F$7="","",IF($K$5+ROW()-26&gt;$K$6,"",IF(INDEX('Raw Pressure Data'!$A:$ZZ,$K$5+ROW()-26+$H$7,MATCH($F$7,'Raw Pressure Data'!$1:$1,0))=-999,"",INDEX('Raw Pressure Data'!$A:$ZZ,$K$5+ROW()-26+$H$7,MATCH($F$7,'Raw Pressure Data'!$1:$1,0))+$G$7))),"")</f>
        <v/>
      </c>
      <c r="Q42" s="24">
        <f>IFERROR(IF($F$8="","",IF($K$5+ROW()-26&gt;$K$6,"",IF(INDEX('Raw Pressure Data'!$A:$ZZ,$K$5+ROW()-26+$H$8,MATCH($F$8,'Raw Pressure Data'!$1:$1,0))=-999,"",INDEX('Raw Pressure Data'!$A:$ZZ,$K$5+ROW()-26+$H$8,MATCH($F$8,'Raw Pressure Data'!$1:$1,0))+$G$8))),"")</f>
        <v/>
      </c>
      <c r="R42" s="24">
        <f>IFERROR(IF($F$9="","",IF($K$5+ROW()-26&gt;$K$6,"",IF(INDEX('Raw Pressure Data'!$A:$ZZ,$K$5+ROW()-26+$H$9,MATCH($F$9,'Raw Pressure Data'!$1:$1,0))=-999,"",INDEX('Raw Pressure Data'!$A:$ZZ,$K$5+ROW()-26+$H$9,MATCH($F$9,'Raw Pressure Data'!$1:$1,0))+$G$9))),"")</f>
        <v/>
      </c>
      <c r="S42" s="24">
        <f>IFERROR(IF($F$10="","",IF($K$5+ROW()-26&gt;$K$6,"",IF(INDEX('Raw Pressure Data'!$A:$ZZ,$K$5+ROW()-26+$H$10,MATCH($F$10,'Raw Pressure Data'!$1:$1,0))=-999,"",INDEX('Raw Pressure Data'!$A:$ZZ,$K$5+ROW()-26+$H$10,MATCH($F$10,'Raw Pressure Data'!$1:$1,0))+$G$10))),"")</f>
        <v/>
      </c>
      <c r="T42" s="24">
        <f>IFERROR(IF($F$11="","",IF($K$5+ROW()-26&gt;$K$6,"",IF(INDEX('Raw Pressure Data'!$A:$ZZ,$K$5+ROW()-26+$H$11,MATCH($F$11,'Raw Pressure Data'!$1:$1,0))=-999,"",INDEX('Raw Pressure Data'!$A:$ZZ,$K$5+ROW()-26+$H$11,MATCH($F$11,'Raw Pressure Data'!$1:$1,0))+$G$11))),"")</f>
        <v/>
      </c>
      <c r="U42" s="24">
        <f>IFERROR(IF($F$12="","",IF($K$5+ROW()-26&gt;$K$6,"",IF(INDEX('Raw Pressure Data'!$A:$ZZ,$K$5+ROW()-26+$H$12,MATCH($F$12,'Raw Pressure Data'!$1:$1,0))=-999,"",INDEX('Raw Pressure Data'!$A:$ZZ,$K$5+ROW()-26+$H$12,MATCH($F$12,'Raw Pressure Data'!$1:$1,0))+$G$12))),"")</f>
        <v/>
      </c>
      <c r="V42" s="24">
        <f>IFERROR(IF($F$13="","",IF($K$5+ROW()-26&gt;$K$6,"",IF(INDEX('Raw Pressure Data'!$A:$ZZ,$K$5+ROW()-26+$H$13,MATCH($F$13,'Raw Pressure Data'!$1:$1,0))=-999,"",INDEX('Raw Pressure Data'!$A:$ZZ,$K$5+ROW()-26+$H$13,MATCH($F$13,'Raw Pressure Data'!$1:$1,0))+$G$13))),"")</f>
        <v/>
      </c>
      <c r="W42" s="24">
        <f>IFERROR(IF($F$14="","",IF($K$5+ROW()-26&gt;$K$6,"",IF(INDEX('Raw Pressure Data'!$A:$ZZ,$K$5+ROW()-26+$H$14,MATCH($F$14,'Raw Pressure Data'!$1:$1,0))=-999,"",INDEX('Raw Pressure Data'!$A:$ZZ,$K$5+ROW()-26+$H$14,MATCH($F$14,'Raw Pressure Data'!$1:$1,0))+$G$14))),"")</f>
        <v/>
      </c>
      <c r="X42" s="24">
        <f>IFERROR(IF($F$15="","",IF($K$5+ROW()-26&gt;$K$6,"",IF(INDEX('Raw Pressure Data'!$A:$ZZ,$K$5+ROW()-26+$H$15,MATCH($F$15,'Raw Pressure Data'!$1:$1,0))=-999,"",INDEX('Raw Pressure Data'!$A:$ZZ,$K$5+ROW()-26+$H$15,MATCH($F$15,'Raw Pressure Data'!$1:$1,0))+$G$15))),"")</f>
        <v/>
      </c>
      <c r="Y42" s="24">
        <f>IFERROR(IF($F$16="","",IF($K$5+ROW()-26&gt;$K$6,"",IF(INDEX('Raw Pressure Data'!$A:$ZZ,$K$5+ROW()-26+$H$16,MATCH($F$16,'Raw Pressure Data'!$1:$1,0))=-999,"",INDEX('Raw Pressure Data'!$A:$ZZ,$K$5+ROW()-26+$H$16,MATCH($F$16,'Raw Pressure Data'!$1:$1,0))+$G$16))),"")</f>
        <v/>
      </c>
      <c r="Z42" s="24">
        <f>IFERROR(IF($F$17="","",IF($K$5+ROW()-26&gt;$K$6,"",IF(INDEX('Raw Pressure Data'!$A:$ZZ,$K$5+ROW()-26+$H$17,MATCH($F$17,'Raw Pressure Data'!$1:$1,0))=-999,"",INDEX('Raw Pressure Data'!$A:$ZZ,$K$5+ROW()-26+$H$17,MATCH($F$17,'Raw Pressure Data'!$1:$1,0))+$G$17))),"")</f>
        <v/>
      </c>
      <c r="AA42" s="24">
        <f>IFERROR(IF($F$18="","",IF($K$5+ROW()-26&gt;$K$6,"",IF(INDEX('Raw Pressure Data'!$A:$ZZ,$K$5+ROW()-26+$H$18,MATCH($F$18,'Raw Pressure Data'!$1:$1,0))=-999,"",INDEX('Raw Pressure Data'!$A:$ZZ,$K$5+ROW()-26+$H$18,MATCH($F$18,'Raw Pressure Data'!$1:$1,0))+$G$18))),"")</f>
        <v/>
      </c>
      <c r="AB42" s="24">
        <f>IFERROR(IF($F$19="","",IF($K$5+ROW()-26&gt;$K$6,"",IF(INDEX('Raw Pressure Data'!$A:$ZZ,$K$5+ROW()-26+$H$19,MATCH($F$19,'Raw Pressure Data'!$1:$1,0))=-999,"",INDEX('Raw Pressure Data'!$A:$ZZ,$K$5+ROW()-26+$H$19,MATCH($F$19,'Raw Pressure Data'!$1:$1,0))+$G$19))),"")</f>
        <v/>
      </c>
      <c r="AC42" s="24">
        <f>IFERROR(IF($F$20="","",IF($K$5+ROW()-26&gt;$K$6,"",IF(INDEX('Raw Pressure Data'!$A:$ZZ,$K$5+ROW()-26+$H$20,MATCH($F$20,'Raw Pressure Data'!$1:$1,0))=-999,"",INDEX('Raw Pressure Data'!$A:$ZZ,$K$5+ROW()-26+$H$20,MATCH($F$20,'Raw Pressure Data'!$1:$1,0))+$G$20))),"")</f>
        <v/>
      </c>
      <c r="AD42" s="24">
        <f>IFERROR(IF($F$21="","",IF($K$5+ROW()-26&gt;$K$6,"",IF(INDEX('Raw Pressure Data'!$A:$ZZ,$K$5+ROW()-26+$H$21,MATCH($F$21,'Raw Pressure Data'!$1:$1,0))=-999,"",INDEX('Raw Pressure Data'!$A:$ZZ,$K$5+ROW()-26+$H$21,MATCH($F$21,'Raw Pressure Data'!$1:$1,0))+$G$21))),"")</f>
        <v/>
      </c>
      <c r="AE42" s="24">
        <f>IFERROR(IF($F$22="","",IF($K$5+ROW()-26&gt;$K$6,"",IF(INDEX('Raw Pressure Data'!$A:$ZZ,$K$5+ROW()-26+$H$22,MATCH($F$22,'Raw Pressure Data'!$1:$1,0))=-999,"",INDEX('Raw Pressure Data'!$A:$ZZ,$K$5+ROW()-26+$H$22,MATCH($F$22,'Raw Pressure Data'!$1:$1,0))+$G$22))),"")</f>
        <v/>
      </c>
    </row>
    <row r="43" ht="15" customHeight="1">
      <c r="A43" s="25">
        <f>IFERROR(IF($K$5+ROW()-26&gt;$K$6,"",IF(INDEX('Raw Flow Data'!$A:$A,$K$5+ROW()-26)="","",INDEX('Raw Flow Data'!$A:$A,$K$5+ROW()-26))),"")</f>
        <v/>
      </c>
      <c r="B43" s="26">
        <f>IFERROR(IF($B$3="","",IF($K$5+ROW()-26&gt;$K$6,"",IF(INDEX('Raw Flow Data'!$A:$ZZ,$K$5+ROW()-26+$D$3,MATCH($B$3,'Raw Flow Data'!$1:$1,0))=-999,"",INDEX('Raw Flow Data'!$A:$ZZ,$K$5+ROW()-26+$D$3,MATCH($B$3,'Raw Flow Data'!$1:$1,0))*$C$3))),"")</f>
        <v/>
      </c>
      <c r="C43" s="26">
        <f>IFERROR(IF($B$4="","",IF($K$5+ROW()-26&gt;$K$6,"",IF(INDEX('Raw Flow Data'!$A:$ZZ,$K$5+ROW()-26+$D$4,MATCH($B$4,'Raw Flow Data'!$1:$1,0))=-999,"",INDEX('Raw Flow Data'!$A:$ZZ,$K$5+ROW()-26+$D$4,MATCH($B$4,'Raw Flow Data'!$1:$1,0))*$C$4))),"")</f>
        <v/>
      </c>
      <c r="D43" s="26">
        <f>IFERROR(IF($B$5="","",IF($K$5+ROW()-26&gt;$K$6,"",IF(INDEX('Raw Flow Data'!$A:$ZZ,$K$5+ROW()-26+$D$5,MATCH($B$5,'Raw Flow Data'!$1:$1,0))=-999,"",INDEX('Raw Flow Data'!$A:$ZZ,$K$5+ROW()-26+$D$5,MATCH($B$5,'Raw Flow Data'!$1:$1,0))*$C$5))),"")</f>
        <v/>
      </c>
      <c r="E43" s="26">
        <f>IFERROR(IF($B$6="","",IF($K$5+ROW()-26&gt;$K$6,"",IF(INDEX('Raw Flow Data'!$A:$ZZ,$K$5+ROW()-26+$D$6,MATCH($B$6,'Raw Flow Data'!$1:$1,0))=-999,"",INDEX('Raw Flow Data'!$A:$ZZ,$K$5+ROW()-26+$D$6,MATCH($B$6,'Raw Flow Data'!$1:$1,0))*$C$6))),"")</f>
        <v/>
      </c>
      <c r="F43" s="26">
        <f>IFERROR(IF($B$7="","",IF($K$5+ROW()-26&gt;$K$6,"",IF(INDEX('Raw Flow Data'!$A:$ZZ,$K$5+ROW()-26+$D$7,MATCH($B$7,'Raw Flow Data'!$1:$1,0))=-999,"",INDEX('Raw Flow Data'!$A:$ZZ,$K$5+ROW()-26+$D$7,MATCH($B$7,'Raw Flow Data'!$1:$1,0))*$C$7))),"")</f>
        <v/>
      </c>
      <c r="G43" s="26">
        <f>IFERROR(IF($B$8="","",IF($K$5+ROW()-26&gt;$K$6,"",IF(INDEX('Raw Flow Data'!$A:$ZZ,$K$5+ROW()-26+$D$8,MATCH($B$8,'Raw Flow Data'!$1:$1,0))=-999,"",INDEX('Raw Flow Data'!$A:$ZZ,$K$5+ROW()-26+$D$8,MATCH($B$8,'Raw Flow Data'!$1:$1,0))*$C$8))),"")</f>
        <v/>
      </c>
      <c r="H43" s="26">
        <f>IFERROR(IF($B$9="","",IF($K$5+ROW()-26&gt;$K$6,"",IF(INDEX('Raw Flow Data'!$A:$ZZ,$K$5+ROW()-26+$D$9,MATCH($B$9,'Raw Flow Data'!$1:$1,0))=-999,"",INDEX('Raw Flow Data'!$A:$ZZ,$K$5+ROW()-26+$D$9,MATCH($B$9,'Raw Flow Data'!$1:$1,0))*$C$9))),"")</f>
        <v/>
      </c>
      <c r="I43" s="26">
        <f>IFERROR(IF($B$10="","",IF($K$5+ROW()-26&gt;$K$6,"",IF(INDEX('Raw Flow Data'!$A:$ZZ,$K$5+ROW()-26+$D$10,MATCH($B$10,'Raw Flow Data'!$1:$1,0))=-999,"",INDEX('Raw Flow Data'!$A:$ZZ,$K$5+ROW()-26+$D$10,MATCH($B$10,'Raw Flow Data'!$1:$1,0))*$C$10))),"")</f>
        <v/>
      </c>
      <c r="J43" s="26">
        <f>IFERROR(IF($B$11="","",IF($K$5+ROW()-26&gt;$K$6,"",IF(INDEX('Raw Flow Data'!$A:$ZZ,$K$5+ROW()-26+$D$11,MATCH($B$11,'Raw Flow Data'!$1:$1,0))=-999,"",INDEX('Raw Flow Data'!$A:$ZZ,$K$5+ROW()-26+$D$11,MATCH($B$11,'Raw Flow Data'!$1:$1,0))*$C$11))),"")</f>
        <v/>
      </c>
      <c r="K43" s="26">
        <f>IFERROR(IF($B$12="","",IF($K$5+ROW()-26&gt;$K$6,"",IF(INDEX('Raw Flow Data'!$A:$ZZ,$K$5+ROW()-26+$D$12,MATCH($B$12,'Raw Flow Data'!$1:$1,0))=-999,"",INDEX('Raw Flow Data'!$A:$ZZ,$K$5+ROW()-26+$D$12,MATCH($B$12,'Raw Flow Data'!$1:$1,0))*$C$12))),"")</f>
        <v/>
      </c>
      <c r="L43" s="26">
        <f>IFERROR(IF($F$3="","",IF($K$5+ROW()-26&gt;$K$6,"",IF(INDEX('Raw Pressure Data'!$A:$ZZ,$K$5+ROW()-26+$H$3,MATCH($F$3,'Raw Pressure Data'!$1:$1,0))=-999,"",INDEX('Raw Pressure Data'!$A:$ZZ,$K$5+ROW()-26+$H$3,MATCH($F$3,'Raw Pressure Data'!$1:$1,0))+$G$3))),"")</f>
        <v/>
      </c>
      <c r="M43" s="26">
        <f>IFERROR(IF($F$4="","",IF($K$5+ROW()-26&gt;$K$6,"",IF(INDEX('Raw Pressure Data'!$A:$ZZ,$K$5+ROW()-26+$H$4,MATCH($F$4,'Raw Pressure Data'!$1:$1,0))=-999,"",INDEX('Raw Pressure Data'!$A:$ZZ,$K$5+ROW()-26+$H$4,MATCH($F$4,'Raw Pressure Data'!$1:$1,0))+$G$4))),"")</f>
        <v/>
      </c>
      <c r="N43" s="26">
        <f>IFERROR(IF($F$5="","",IF($K$5+ROW()-26&gt;$K$6,"",IF(INDEX('Raw Pressure Data'!$A:$ZZ,$K$5+ROW()-26+$H$5,MATCH($F$5,'Raw Pressure Data'!$1:$1,0))=-999,"",INDEX('Raw Pressure Data'!$A:$ZZ,$K$5+ROW()-26+$H$5,MATCH($F$5,'Raw Pressure Data'!$1:$1,0))+$G$5))),"")</f>
        <v/>
      </c>
      <c r="O43" s="26">
        <f>IFERROR(IF($F$6="","",IF($K$5+ROW()-26&gt;$K$6,"",IF(INDEX('Raw Pressure Data'!$A:$ZZ,$K$5+ROW()-26+$H$6,MATCH($F$6,'Raw Pressure Data'!$1:$1,0))=-999,"",INDEX('Raw Pressure Data'!$A:$ZZ,$K$5+ROW()-26+$H$6,MATCH($F$6,'Raw Pressure Data'!$1:$1,0))+$G$6))),"")</f>
        <v/>
      </c>
      <c r="P43" s="26">
        <f>IFERROR(IF($F$7="","",IF($K$5+ROW()-26&gt;$K$6,"",IF(INDEX('Raw Pressure Data'!$A:$ZZ,$K$5+ROW()-26+$H$7,MATCH($F$7,'Raw Pressure Data'!$1:$1,0))=-999,"",INDEX('Raw Pressure Data'!$A:$ZZ,$K$5+ROW()-26+$H$7,MATCH($F$7,'Raw Pressure Data'!$1:$1,0))+$G$7))),"")</f>
        <v/>
      </c>
      <c r="Q43" s="26">
        <f>IFERROR(IF($F$8="","",IF($K$5+ROW()-26&gt;$K$6,"",IF(INDEX('Raw Pressure Data'!$A:$ZZ,$K$5+ROW()-26+$H$8,MATCH($F$8,'Raw Pressure Data'!$1:$1,0))=-999,"",INDEX('Raw Pressure Data'!$A:$ZZ,$K$5+ROW()-26+$H$8,MATCH($F$8,'Raw Pressure Data'!$1:$1,0))+$G$8))),"")</f>
        <v/>
      </c>
      <c r="R43" s="26">
        <f>IFERROR(IF($F$9="","",IF($K$5+ROW()-26&gt;$K$6,"",IF(INDEX('Raw Pressure Data'!$A:$ZZ,$K$5+ROW()-26+$H$9,MATCH($F$9,'Raw Pressure Data'!$1:$1,0))=-999,"",INDEX('Raw Pressure Data'!$A:$ZZ,$K$5+ROW()-26+$H$9,MATCH($F$9,'Raw Pressure Data'!$1:$1,0))+$G$9))),"")</f>
        <v/>
      </c>
      <c r="S43" s="26">
        <f>IFERROR(IF($F$10="","",IF($K$5+ROW()-26&gt;$K$6,"",IF(INDEX('Raw Pressure Data'!$A:$ZZ,$K$5+ROW()-26+$H$10,MATCH($F$10,'Raw Pressure Data'!$1:$1,0))=-999,"",INDEX('Raw Pressure Data'!$A:$ZZ,$K$5+ROW()-26+$H$10,MATCH($F$10,'Raw Pressure Data'!$1:$1,0))+$G$10))),"")</f>
        <v/>
      </c>
      <c r="T43" s="26">
        <f>IFERROR(IF($F$11="","",IF($K$5+ROW()-26&gt;$K$6,"",IF(INDEX('Raw Pressure Data'!$A:$ZZ,$K$5+ROW()-26+$H$11,MATCH($F$11,'Raw Pressure Data'!$1:$1,0))=-999,"",INDEX('Raw Pressure Data'!$A:$ZZ,$K$5+ROW()-26+$H$11,MATCH($F$11,'Raw Pressure Data'!$1:$1,0))+$G$11))),"")</f>
        <v/>
      </c>
      <c r="U43" s="26">
        <f>IFERROR(IF($F$12="","",IF($K$5+ROW()-26&gt;$K$6,"",IF(INDEX('Raw Pressure Data'!$A:$ZZ,$K$5+ROW()-26+$H$12,MATCH($F$12,'Raw Pressure Data'!$1:$1,0))=-999,"",INDEX('Raw Pressure Data'!$A:$ZZ,$K$5+ROW()-26+$H$12,MATCH($F$12,'Raw Pressure Data'!$1:$1,0))+$G$12))),"")</f>
        <v/>
      </c>
      <c r="V43" s="26">
        <f>IFERROR(IF($F$13="","",IF($K$5+ROW()-26&gt;$K$6,"",IF(INDEX('Raw Pressure Data'!$A:$ZZ,$K$5+ROW()-26+$H$13,MATCH($F$13,'Raw Pressure Data'!$1:$1,0))=-999,"",INDEX('Raw Pressure Data'!$A:$ZZ,$K$5+ROW()-26+$H$13,MATCH($F$13,'Raw Pressure Data'!$1:$1,0))+$G$13))),"")</f>
        <v/>
      </c>
      <c r="W43" s="26">
        <f>IFERROR(IF($F$14="","",IF($K$5+ROW()-26&gt;$K$6,"",IF(INDEX('Raw Pressure Data'!$A:$ZZ,$K$5+ROW()-26+$H$14,MATCH($F$14,'Raw Pressure Data'!$1:$1,0))=-999,"",INDEX('Raw Pressure Data'!$A:$ZZ,$K$5+ROW()-26+$H$14,MATCH($F$14,'Raw Pressure Data'!$1:$1,0))+$G$14))),"")</f>
        <v/>
      </c>
      <c r="X43" s="26">
        <f>IFERROR(IF($F$15="","",IF($K$5+ROW()-26&gt;$K$6,"",IF(INDEX('Raw Pressure Data'!$A:$ZZ,$K$5+ROW()-26+$H$15,MATCH($F$15,'Raw Pressure Data'!$1:$1,0))=-999,"",INDEX('Raw Pressure Data'!$A:$ZZ,$K$5+ROW()-26+$H$15,MATCH($F$15,'Raw Pressure Data'!$1:$1,0))+$G$15))),"")</f>
        <v/>
      </c>
      <c r="Y43" s="26">
        <f>IFERROR(IF($F$16="","",IF($K$5+ROW()-26&gt;$K$6,"",IF(INDEX('Raw Pressure Data'!$A:$ZZ,$K$5+ROW()-26+$H$16,MATCH($F$16,'Raw Pressure Data'!$1:$1,0))=-999,"",INDEX('Raw Pressure Data'!$A:$ZZ,$K$5+ROW()-26+$H$16,MATCH($F$16,'Raw Pressure Data'!$1:$1,0))+$G$16))),"")</f>
        <v/>
      </c>
      <c r="Z43" s="26">
        <f>IFERROR(IF($F$17="","",IF($K$5+ROW()-26&gt;$K$6,"",IF(INDEX('Raw Pressure Data'!$A:$ZZ,$K$5+ROW()-26+$H$17,MATCH($F$17,'Raw Pressure Data'!$1:$1,0))=-999,"",INDEX('Raw Pressure Data'!$A:$ZZ,$K$5+ROW()-26+$H$17,MATCH($F$17,'Raw Pressure Data'!$1:$1,0))+$G$17))),"")</f>
        <v/>
      </c>
      <c r="AA43" s="26">
        <f>IFERROR(IF($F$18="","",IF($K$5+ROW()-26&gt;$K$6,"",IF(INDEX('Raw Pressure Data'!$A:$ZZ,$K$5+ROW()-26+$H$18,MATCH($F$18,'Raw Pressure Data'!$1:$1,0))=-999,"",INDEX('Raw Pressure Data'!$A:$ZZ,$K$5+ROW()-26+$H$18,MATCH($F$18,'Raw Pressure Data'!$1:$1,0))+$G$18))),"")</f>
        <v/>
      </c>
      <c r="AB43" s="26">
        <f>IFERROR(IF($F$19="","",IF($K$5+ROW()-26&gt;$K$6,"",IF(INDEX('Raw Pressure Data'!$A:$ZZ,$K$5+ROW()-26+$H$19,MATCH($F$19,'Raw Pressure Data'!$1:$1,0))=-999,"",INDEX('Raw Pressure Data'!$A:$ZZ,$K$5+ROW()-26+$H$19,MATCH($F$19,'Raw Pressure Data'!$1:$1,0))+$G$19))),"")</f>
        <v/>
      </c>
      <c r="AC43" s="26">
        <f>IFERROR(IF($F$20="","",IF($K$5+ROW()-26&gt;$K$6,"",IF(INDEX('Raw Pressure Data'!$A:$ZZ,$K$5+ROW()-26+$H$20,MATCH($F$20,'Raw Pressure Data'!$1:$1,0))=-999,"",INDEX('Raw Pressure Data'!$A:$ZZ,$K$5+ROW()-26+$H$20,MATCH($F$20,'Raw Pressure Data'!$1:$1,0))+$G$20))),"")</f>
        <v/>
      </c>
      <c r="AD43" s="26">
        <f>IFERROR(IF($F$21="","",IF($K$5+ROW()-26&gt;$K$6,"",IF(INDEX('Raw Pressure Data'!$A:$ZZ,$K$5+ROW()-26+$H$21,MATCH($F$21,'Raw Pressure Data'!$1:$1,0))=-999,"",INDEX('Raw Pressure Data'!$A:$ZZ,$K$5+ROW()-26+$H$21,MATCH($F$21,'Raw Pressure Data'!$1:$1,0))+$G$21))),"")</f>
        <v/>
      </c>
      <c r="AE43" s="26">
        <f>IFERROR(IF($F$22="","",IF($K$5+ROW()-26&gt;$K$6,"",IF(INDEX('Raw Pressure Data'!$A:$ZZ,$K$5+ROW()-26+$H$22,MATCH($F$22,'Raw Pressure Data'!$1:$1,0))=-999,"",INDEX('Raw Pressure Data'!$A:$ZZ,$K$5+ROW()-26+$H$22,MATCH($F$22,'Raw Pressure Data'!$1:$1,0))+$G$22))),"")</f>
        <v/>
      </c>
    </row>
    <row r="44" ht="15" customHeight="1">
      <c r="A44" s="23">
        <f>IFERROR(IF($K$5+ROW()-26&gt;$K$6,"",IF(INDEX('Raw Flow Data'!$A:$A,$K$5+ROW()-26)="","",INDEX('Raw Flow Data'!$A:$A,$K$5+ROW()-26))),"")</f>
        <v/>
      </c>
      <c r="B44" s="24">
        <f>IFERROR(IF($B$3="","",IF($K$5+ROW()-26&gt;$K$6,"",IF(INDEX('Raw Flow Data'!$A:$ZZ,$K$5+ROW()-26+$D$3,MATCH($B$3,'Raw Flow Data'!$1:$1,0))=-999,"",INDEX('Raw Flow Data'!$A:$ZZ,$K$5+ROW()-26+$D$3,MATCH($B$3,'Raw Flow Data'!$1:$1,0))*$C$3))),"")</f>
        <v/>
      </c>
      <c r="C44" s="24">
        <f>IFERROR(IF($B$4="","",IF($K$5+ROW()-26&gt;$K$6,"",IF(INDEX('Raw Flow Data'!$A:$ZZ,$K$5+ROW()-26+$D$4,MATCH($B$4,'Raw Flow Data'!$1:$1,0))=-999,"",INDEX('Raw Flow Data'!$A:$ZZ,$K$5+ROW()-26+$D$4,MATCH($B$4,'Raw Flow Data'!$1:$1,0))*$C$4))),"")</f>
        <v/>
      </c>
      <c r="D44" s="24">
        <f>IFERROR(IF($B$5="","",IF($K$5+ROW()-26&gt;$K$6,"",IF(INDEX('Raw Flow Data'!$A:$ZZ,$K$5+ROW()-26+$D$5,MATCH($B$5,'Raw Flow Data'!$1:$1,0))=-999,"",INDEX('Raw Flow Data'!$A:$ZZ,$K$5+ROW()-26+$D$5,MATCH($B$5,'Raw Flow Data'!$1:$1,0))*$C$5))),"")</f>
        <v/>
      </c>
      <c r="E44" s="24">
        <f>IFERROR(IF($B$6="","",IF($K$5+ROW()-26&gt;$K$6,"",IF(INDEX('Raw Flow Data'!$A:$ZZ,$K$5+ROW()-26+$D$6,MATCH($B$6,'Raw Flow Data'!$1:$1,0))=-999,"",INDEX('Raw Flow Data'!$A:$ZZ,$K$5+ROW()-26+$D$6,MATCH($B$6,'Raw Flow Data'!$1:$1,0))*$C$6))),"")</f>
        <v/>
      </c>
      <c r="F44" s="24">
        <f>IFERROR(IF($B$7="","",IF($K$5+ROW()-26&gt;$K$6,"",IF(INDEX('Raw Flow Data'!$A:$ZZ,$K$5+ROW()-26+$D$7,MATCH($B$7,'Raw Flow Data'!$1:$1,0))=-999,"",INDEX('Raw Flow Data'!$A:$ZZ,$K$5+ROW()-26+$D$7,MATCH($B$7,'Raw Flow Data'!$1:$1,0))*$C$7))),"")</f>
        <v/>
      </c>
      <c r="G44" s="24">
        <f>IFERROR(IF($B$8="","",IF($K$5+ROW()-26&gt;$K$6,"",IF(INDEX('Raw Flow Data'!$A:$ZZ,$K$5+ROW()-26+$D$8,MATCH($B$8,'Raw Flow Data'!$1:$1,0))=-999,"",INDEX('Raw Flow Data'!$A:$ZZ,$K$5+ROW()-26+$D$8,MATCH($B$8,'Raw Flow Data'!$1:$1,0))*$C$8))),"")</f>
        <v/>
      </c>
      <c r="H44" s="24">
        <f>IFERROR(IF($B$9="","",IF($K$5+ROW()-26&gt;$K$6,"",IF(INDEX('Raw Flow Data'!$A:$ZZ,$K$5+ROW()-26+$D$9,MATCH($B$9,'Raw Flow Data'!$1:$1,0))=-999,"",INDEX('Raw Flow Data'!$A:$ZZ,$K$5+ROW()-26+$D$9,MATCH($B$9,'Raw Flow Data'!$1:$1,0))*$C$9))),"")</f>
        <v/>
      </c>
      <c r="I44" s="24">
        <f>IFERROR(IF($B$10="","",IF($K$5+ROW()-26&gt;$K$6,"",IF(INDEX('Raw Flow Data'!$A:$ZZ,$K$5+ROW()-26+$D$10,MATCH($B$10,'Raw Flow Data'!$1:$1,0))=-999,"",INDEX('Raw Flow Data'!$A:$ZZ,$K$5+ROW()-26+$D$10,MATCH($B$10,'Raw Flow Data'!$1:$1,0))*$C$10))),"")</f>
        <v/>
      </c>
      <c r="J44" s="24">
        <f>IFERROR(IF($B$11="","",IF($K$5+ROW()-26&gt;$K$6,"",IF(INDEX('Raw Flow Data'!$A:$ZZ,$K$5+ROW()-26+$D$11,MATCH($B$11,'Raw Flow Data'!$1:$1,0))=-999,"",INDEX('Raw Flow Data'!$A:$ZZ,$K$5+ROW()-26+$D$11,MATCH($B$11,'Raw Flow Data'!$1:$1,0))*$C$11))),"")</f>
        <v/>
      </c>
      <c r="K44" s="24">
        <f>IFERROR(IF($B$12="","",IF($K$5+ROW()-26&gt;$K$6,"",IF(INDEX('Raw Flow Data'!$A:$ZZ,$K$5+ROW()-26+$D$12,MATCH($B$12,'Raw Flow Data'!$1:$1,0))=-999,"",INDEX('Raw Flow Data'!$A:$ZZ,$K$5+ROW()-26+$D$12,MATCH($B$12,'Raw Flow Data'!$1:$1,0))*$C$12))),"")</f>
        <v/>
      </c>
      <c r="L44" s="24">
        <f>IFERROR(IF($F$3="","",IF($K$5+ROW()-26&gt;$K$6,"",IF(INDEX('Raw Pressure Data'!$A:$ZZ,$K$5+ROW()-26+$H$3,MATCH($F$3,'Raw Pressure Data'!$1:$1,0))=-999,"",INDEX('Raw Pressure Data'!$A:$ZZ,$K$5+ROW()-26+$H$3,MATCH($F$3,'Raw Pressure Data'!$1:$1,0))+$G$3))),"")</f>
        <v/>
      </c>
      <c r="M44" s="24">
        <f>IFERROR(IF($F$4="","",IF($K$5+ROW()-26&gt;$K$6,"",IF(INDEX('Raw Pressure Data'!$A:$ZZ,$K$5+ROW()-26+$H$4,MATCH($F$4,'Raw Pressure Data'!$1:$1,0))=-999,"",INDEX('Raw Pressure Data'!$A:$ZZ,$K$5+ROW()-26+$H$4,MATCH($F$4,'Raw Pressure Data'!$1:$1,0))+$G$4))),"")</f>
        <v/>
      </c>
      <c r="N44" s="24">
        <f>IFERROR(IF($F$5="","",IF($K$5+ROW()-26&gt;$K$6,"",IF(INDEX('Raw Pressure Data'!$A:$ZZ,$K$5+ROW()-26+$H$5,MATCH($F$5,'Raw Pressure Data'!$1:$1,0))=-999,"",INDEX('Raw Pressure Data'!$A:$ZZ,$K$5+ROW()-26+$H$5,MATCH($F$5,'Raw Pressure Data'!$1:$1,0))+$G$5))),"")</f>
        <v/>
      </c>
      <c r="O44" s="24">
        <f>IFERROR(IF($F$6="","",IF($K$5+ROW()-26&gt;$K$6,"",IF(INDEX('Raw Pressure Data'!$A:$ZZ,$K$5+ROW()-26+$H$6,MATCH($F$6,'Raw Pressure Data'!$1:$1,0))=-999,"",INDEX('Raw Pressure Data'!$A:$ZZ,$K$5+ROW()-26+$H$6,MATCH($F$6,'Raw Pressure Data'!$1:$1,0))+$G$6))),"")</f>
        <v/>
      </c>
      <c r="P44" s="24">
        <f>IFERROR(IF($F$7="","",IF($K$5+ROW()-26&gt;$K$6,"",IF(INDEX('Raw Pressure Data'!$A:$ZZ,$K$5+ROW()-26+$H$7,MATCH($F$7,'Raw Pressure Data'!$1:$1,0))=-999,"",INDEX('Raw Pressure Data'!$A:$ZZ,$K$5+ROW()-26+$H$7,MATCH($F$7,'Raw Pressure Data'!$1:$1,0))+$G$7))),"")</f>
        <v/>
      </c>
      <c r="Q44" s="24">
        <f>IFERROR(IF($F$8="","",IF($K$5+ROW()-26&gt;$K$6,"",IF(INDEX('Raw Pressure Data'!$A:$ZZ,$K$5+ROW()-26+$H$8,MATCH($F$8,'Raw Pressure Data'!$1:$1,0))=-999,"",INDEX('Raw Pressure Data'!$A:$ZZ,$K$5+ROW()-26+$H$8,MATCH($F$8,'Raw Pressure Data'!$1:$1,0))+$G$8))),"")</f>
        <v/>
      </c>
      <c r="R44" s="24">
        <f>IFERROR(IF($F$9="","",IF($K$5+ROW()-26&gt;$K$6,"",IF(INDEX('Raw Pressure Data'!$A:$ZZ,$K$5+ROW()-26+$H$9,MATCH($F$9,'Raw Pressure Data'!$1:$1,0))=-999,"",INDEX('Raw Pressure Data'!$A:$ZZ,$K$5+ROW()-26+$H$9,MATCH($F$9,'Raw Pressure Data'!$1:$1,0))+$G$9))),"")</f>
        <v/>
      </c>
      <c r="S44" s="24">
        <f>IFERROR(IF($F$10="","",IF($K$5+ROW()-26&gt;$K$6,"",IF(INDEX('Raw Pressure Data'!$A:$ZZ,$K$5+ROW()-26+$H$10,MATCH($F$10,'Raw Pressure Data'!$1:$1,0))=-999,"",INDEX('Raw Pressure Data'!$A:$ZZ,$K$5+ROW()-26+$H$10,MATCH($F$10,'Raw Pressure Data'!$1:$1,0))+$G$10))),"")</f>
        <v/>
      </c>
      <c r="T44" s="24">
        <f>IFERROR(IF($F$11="","",IF($K$5+ROW()-26&gt;$K$6,"",IF(INDEX('Raw Pressure Data'!$A:$ZZ,$K$5+ROW()-26+$H$11,MATCH($F$11,'Raw Pressure Data'!$1:$1,0))=-999,"",INDEX('Raw Pressure Data'!$A:$ZZ,$K$5+ROW()-26+$H$11,MATCH($F$11,'Raw Pressure Data'!$1:$1,0))+$G$11))),"")</f>
        <v/>
      </c>
      <c r="U44" s="24">
        <f>IFERROR(IF($F$12="","",IF($K$5+ROW()-26&gt;$K$6,"",IF(INDEX('Raw Pressure Data'!$A:$ZZ,$K$5+ROW()-26+$H$12,MATCH($F$12,'Raw Pressure Data'!$1:$1,0))=-999,"",INDEX('Raw Pressure Data'!$A:$ZZ,$K$5+ROW()-26+$H$12,MATCH($F$12,'Raw Pressure Data'!$1:$1,0))+$G$12))),"")</f>
        <v/>
      </c>
      <c r="V44" s="24">
        <f>IFERROR(IF($F$13="","",IF($K$5+ROW()-26&gt;$K$6,"",IF(INDEX('Raw Pressure Data'!$A:$ZZ,$K$5+ROW()-26+$H$13,MATCH($F$13,'Raw Pressure Data'!$1:$1,0))=-999,"",INDEX('Raw Pressure Data'!$A:$ZZ,$K$5+ROW()-26+$H$13,MATCH($F$13,'Raw Pressure Data'!$1:$1,0))+$G$13))),"")</f>
        <v/>
      </c>
      <c r="W44" s="24">
        <f>IFERROR(IF($F$14="","",IF($K$5+ROW()-26&gt;$K$6,"",IF(INDEX('Raw Pressure Data'!$A:$ZZ,$K$5+ROW()-26+$H$14,MATCH($F$14,'Raw Pressure Data'!$1:$1,0))=-999,"",INDEX('Raw Pressure Data'!$A:$ZZ,$K$5+ROW()-26+$H$14,MATCH($F$14,'Raw Pressure Data'!$1:$1,0))+$G$14))),"")</f>
        <v/>
      </c>
      <c r="X44" s="24">
        <f>IFERROR(IF($F$15="","",IF($K$5+ROW()-26&gt;$K$6,"",IF(INDEX('Raw Pressure Data'!$A:$ZZ,$K$5+ROW()-26+$H$15,MATCH($F$15,'Raw Pressure Data'!$1:$1,0))=-999,"",INDEX('Raw Pressure Data'!$A:$ZZ,$K$5+ROW()-26+$H$15,MATCH($F$15,'Raw Pressure Data'!$1:$1,0))+$G$15))),"")</f>
        <v/>
      </c>
      <c r="Y44" s="24">
        <f>IFERROR(IF($F$16="","",IF($K$5+ROW()-26&gt;$K$6,"",IF(INDEX('Raw Pressure Data'!$A:$ZZ,$K$5+ROW()-26+$H$16,MATCH($F$16,'Raw Pressure Data'!$1:$1,0))=-999,"",INDEX('Raw Pressure Data'!$A:$ZZ,$K$5+ROW()-26+$H$16,MATCH($F$16,'Raw Pressure Data'!$1:$1,0))+$G$16))),"")</f>
        <v/>
      </c>
      <c r="Z44" s="24">
        <f>IFERROR(IF($F$17="","",IF($K$5+ROW()-26&gt;$K$6,"",IF(INDEX('Raw Pressure Data'!$A:$ZZ,$K$5+ROW()-26+$H$17,MATCH($F$17,'Raw Pressure Data'!$1:$1,0))=-999,"",INDEX('Raw Pressure Data'!$A:$ZZ,$K$5+ROW()-26+$H$17,MATCH($F$17,'Raw Pressure Data'!$1:$1,0))+$G$17))),"")</f>
        <v/>
      </c>
      <c r="AA44" s="24">
        <f>IFERROR(IF($F$18="","",IF($K$5+ROW()-26&gt;$K$6,"",IF(INDEX('Raw Pressure Data'!$A:$ZZ,$K$5+ROW()-26+$H$18,MATCH($F$18,'Raw Pressure Data'!$1:$1,0))=-999,"",INDEX('Raw Pressure Data'!$A:$ZZ,$K$5+ROW()-26+$H$18,MATCH($F$18,'Raw Pressure Data'!$1:$1,0))+$G$18))),"")</f>
        <v/>
      </c>
      <c r="AB44" s="24">
        <f>IFERROR(IF($F$19="","",IF($K$5+ROW()-26&gt;$K$6,"",IF(INDEX('Raw Pressure Data'!$A:$ZZ,$K$5+ROW()-26+$H$19,MATCH($F$19,'Raw Pressure Data'!$1:$1,0))=-999,"",INDEX('Raw Pressure Data'!$A:$ZZ,$K$5+ROW()-26+$H$19,MATCH($F$19,'Raw Pressure Data'!$1:$1,0))+$G$19))),"")</f>
        <v/>
      </c>
      <c r="AC44" s="24">
        <f>IFERROR(IF($F$20="","",IF($K$5+ROW()-26&gt;$K$6,"",IF(INDEX('Raw Pressure Data'!$A:$ZZ,$K$5+ROW()-26+$H$20,MATCH($F$20,'Raw Pressure Data'!$1:$1,0))=-999,"",INDEX('Raw Pressure Data'!$A:$ZZ,$K$5+ROW()-26+$H$20,MATCH($F$20,'Raw Pressure Data'!$1:$1,0))+$G$20))),"")</f>
        <v/>
      </c>
      <c r="AD44" s="24">
        <f>IFERROR(IF($F$21="","",IF($K$5+ROW()-26&gt;$K$6,"",IF(INDEX('Raw Pressure Data'!$A:$ZZ,$K$5+ROW()-26+$H$21,MATCH($F$21,'Raw Pressure Data'!$1:$1,0))=-999,"",INDEX('Raw Pressure Data'!$A:$ZZ,$K$5+ROW()-26+$H$21,MATCH($F$21,'Raw Pressure Data'!$1:$1,0))+$G$21))),"")</f>
        <v/>
      </c>
      <c r="AE44" s="24">
        <f>IFERROR(IF($F$22="","",IF($K$5+ROW()-26&gt;$K$6,"",IF(INDEX('Raw Pressure Data'!$A:$ZZ,$K$5+ROW()-26+$H$22,MATCH($F$22,'Raw Pressure Data'!$1:$1,0))=-999,"",INDEX('Raw Pressure Data'!$A:$ZZ,$K$5+ROW()-26+$H$22,MATCH($F$22,'Raw Pressure Data'!$1:$1,0))+$G$22))),"")</f>
        <v/>
      </c>
    </row>
    <row r="45" ht="15" customHeight="1">
      <c r="A45" s="25">
        <f>IFERROR(IF($K$5+ROW()-26&gt;$K$6,"",IF(INDEX('Raw Flow Data'!$A:$A,$K$5+ROW()-26)="","",INDEX('Raw Flow Data'!$A:$A,$K$5+ROW()-26))),"")</f>
        <v/>
      </c>
      <c r="B45" s="26">
        <f>IFERROR(IF($B$3="","",IF($K$5+ROW()-26&gt;$K$6,"",IF(INDEX('Raw Flow Data'!$A:$ZZ,$K$5+ROW()-26+$D$3,MATCH($B$3,'Raw Flow Data'!$1:$1,0))=-999,"",INDEX('Raw Flow Data'!$A:$ZZ,$K$5+ROW()-26+$D$3,MATCH($B$3,'Raw Flow Data'!$1:$1,0))*$C$3))),"")</f>
        <v/>
      </c>
      <c r="C45" s="26">
        <f>IFERROR(IF($B$4="","",IF($K$5+ROW()-26&gt;$K$6,"",IF(INDEX('Raw Flow Data'!$A:$ZZ,$K$5+ROW()-26+$D$4,MATCH($B$4,'Raw Flow Data'!$1:$1,0))=-999,"",INDEX('Raw Flow Data'!$A:$ZZ,$K$5+ROW()-26+$D$4,MATCH($B$4,'Raw Flow Data'!$1:$1,0))*$C$4))),"")</f>
        <v/>
      </c>
      <c r="D45" s="26">
        <f>IFERROR(IF($B$5="","",IF($K$5+ROW()-26&gt;$K$6,"",IF(INDEX('Raw Flow Data'!$A:$ZZ,$K$5+ROW()-26+$D$5,MATCH($B$5,'Raw Flow Data'!$1:$1,0))=-999,"",INDEX('Raw Flow Data'!$A:$ZZ,$K$5+ROW()-26+$D$5,MATCH($B$5,'Raw Flow Data'!$1:$1,0))*$C$5))),"")</f>
        <v/>
      </c>
      <c r="E45" s="26">
        <f>IFERROR(IF($B$6="","",IF($K$5+ROW()-26&gt;$K$6,"",IF(INDEX('Raw Flow Data'!$A:$ZZ,$K$5+ROW()-26+$D$6,MATCH($B$6,'Raw Flow Data'!$1:$1,0))=-999,"",INDEX('Raw Flow Data'!$A:$ZZ,$K$5+ROW()-26+$D$6,MATCH($B$6,'Raw Flow Data'!$1:$1,0))*$C$6))),"")</f>
        <v/>
      </c>
      <c r="F45" s="26">
        <f>IFERROR(IF($B$7="","",IF($K$5+ROW()-26&gt;$K$6,"",IF(INDEX('Raw Flow Data'!$A:$ZZ,$K$5+ROW()-26+$D$7,MATCH($B$7,'Raw Flow Data'!$1:$1,0))=-999,"",INDEX('Raw Flow Data'!$A:$ZZ,$K$5+ROW()-26+$D$7,MATCH($B$7,'Raw Flow Data'!$1:$1,0))*$C$7))),"")</f>
        <v/>
      </c>
      <c r="G45" s="26">
        <f>IFERROR(IF($B$8="","",IF($K$5+ROW()-26&gt;$K$6,"",IF(INDEX('Raw Flow Data'!$A:$ZZ,$K$5+ROW()-26+$D$8,MATCH($B$8,'Raw Flow Data'!$1:$1,0))=-999,"",INDEX('Raw Flow Data'!$A:$ZZ,$K$5+ROW()-26+$D$8,MATCH($B$8,'Raw Flow Data'!$1:$1,0))*$C$8))),"")</f>
        <v/>
      </c>
      <c r="H45" s="26">
        <f>IFERROR(IF($B$9="","",IF($K$5+ROW()-26&gt;$K$6,"",IF(INDEX('Raw Flow Data'!$A:$ZZ,$K$5+ROW()-26+$D$9,MATCH($B$9,'Raw Flow Data'!$1:$1,0))=-999,"",INDEX('Raw Flow Data'!$A:$ZZ,$K$5+ROW()-26+$D$9,MATCH($B$9,'Raw Flow Data'!$1:$1,0))*$C$9))),"")</f>
        <v/>
      </c>
      <c r="I45" s="26">
        <f>IFERROR(IF($B$10="","",IF($K$5+ROW()-26&gt;$K$6,"",IF(INDEX('Raw Flow Data'!$A:$ZZ,$K$5+ROW()-26+$D$10,MATCH($B$10,'Raw Flow Data'!$1:$1,0))=-999,"",INDEX('Raw Flow Data'!$A:$ZZ,$K$5+ROW()-26+$D$10,MATCH($B$10,'Raw Flow Data'!$1:$1,0))*$C$10))),"")</f>
        <v/>
      </c>
      <c r="J45" s="26">
        <f>IFERROR(IF($B$11="","",IF($K$5+ROW()-26&gt;$K$6,"",IF(INDEX('Raw Flow Data'!$A:$ZZ,$K$5+ROW()-26+$D$11,MATCH($B$11,'Raw Flow Data'!$1:$1,0))=-999,"",INDEX('Raw Flow Data'!$A:$ZZ,$K$5+ROW()-26+$D$11,MATCH($B$11,'Raw Flow Data'!$1:$1,0))*$C$11))),"")</f>
        <v/>
      </c>
      <c r="K45" s="26">
        <f>IFERROR(IF($B$12="","",IF($K$5+ROW()-26&gt;$K$6,"",IF(INDEX('Raw Flow Data'!$A:$ZZ,$K$5+ROW()-26+$D$12,MATCH($B$12,'Raw Flow Data'!$1:$1,0))=-999,"",INDEX('Raw Flow Data'!$A:$ZZ,$K$5+ROW()-26+$D$12,MATCH($B$12,'Raw Flow Data'!$1:$1,0))*$C$12))),"")</f>
        <v/>
      </c>
      <c r="L45" s="26">
        <f>IFERROR(IF($F$3="","",IF($K$5+ROW()-26&gt;$K$6,"",IF(INDEX('Raw Pressure Data'!$A:$ZZ,$K$5+ROW()-26+$H$3,MATCH($F$3,'Raw Pressure Data'!$1:$1,0))=-999,"",INDEX('Raw Pressure Data'!$A:$ZZ,$K$5+ROW()-26+$H$3,MATCH($F$3,'Raw Pressure Data'!$1:$1,0))+$G$3))),"")</f>
        <v/>
      </c>
      <c r="M45" s="26">
        <f>IFERROR(IF($F$4="","",IF($K$5+ROW()-26&gt;$K$6,"",IF(INDEX('Raw Pressure Data'!$A:$ZZ,$K$5+ROW()-26+$H$4,MATCH($F$4,'Raw Pressure Data'!$1:$1,0))=-999,"",INDEX('Raw Pressure Data'!$A:$ZZ,$K$5+ROW()-26+$H$4,MATCH($F$4,'Raw Pressure Data'!$1:$1,0))+$G$4))),"")</f>
        <v/>
      </c>
      <c r="N45" s="26">
        <f>IFERROR(IF($F$5="","",IF($K$5+ROW()-26&gt;$K$6,"",IF(INDEX('Raw Pressure Data'!$A:$ZZ,$K$5+ROW()-26+$H$5,MATCH($F$5,'Raw Pressure Data'!$1:$1,0))=-999,"",INDEX('Raw Pressure Data'!$A:$ZZ,$K$5+ROW()-26+$H$5,MATCH($F$5,'Raw Pressure Data'!$1:$1,0))+$G$5))),"")</f>
        <v/>
      </c>
      <c r="O45" s="26">
        <f>IFERROR(IF($F$6="","",IF($K$5+ROW()-26&gt;$K$6,"",IF(INDEX('Raw Pressure Data'!$A:$ZZ,$K$5+ROW()-26+$H$6,MATCH($F$6,'Raw Pressure Data'!$1:$1,0))=-999,"",INDEX('Raw Pressure Data'!$A:$ZZ,$K$5+ROW()-26+$H$6,MATCH($F$6,'Raw Pressure Data'!$1:$1,0))+$G$6))),"")</f>
        <v/>
      </c>
      <c r="P45" s="26">
        <f>IFERROR(IF($F$7="","",IF($K$5+ROW()-26&gt;$K$6,"",IF(INDEX('Raw Pressure Data'!$A:$ZZ,$K$5+ROW()-26+$H$7,MATCH($F$7,'Raw Pressure Data'!$1:$1,0))=-999,"",INDEX('Raw Pressure Data'!$A:$ZZ,$K$5+ROW()-26+$H$7,MATCH($F$7,'Raw Pressure Data'!$1:$1,0))+$G$7))),"")</f>
        <v/>
      </c>
      <c r="Q45" s="26">
        <f>IFERROR(IF($F$8="","",IF($K$5+ROW()-26&gt;$K$6,"",IF(INDEX('Raw Pressure Data'!$A:$ZZ,$K$5+ROW()-26+$H$8,MATCH($F$8,'Raw Pressure Data'!$1:$1,0))=-999,"",INDEX('Raw Pressure Data'!$A:$ZZ,$K$5+ROW()-26+$H$8,MATCH($F$8,'Raw Pressure Data'!$1:$1,0))+$G$8))),"")</f>
        <v/>
      </c>
      <c r="R45" s="26">
        <f>IFERROR(IF($F$9="","",IF($K$5+ROW()-26&gt;$K$6,"",IF(INDEX('Raw Pressure Data'!$A:$ZZ,$K$5+ROW()-26+$H$9,MATCH($F$9,'Raw Pressure Data'!$1:$1,0))=-999,"",INDEX('Raw Pressure Data'!$A:$ZZ,$K$5+ROW()-26+$H$9,MATCH($F$9,'Raw Pressure Data'!$1:$1,0))+$G$9))),"")</f>
        <v/>
      </c>
      <c r="S45" s="26">
        <f>IFERROR(IF($F$10="","",IF($K$5+ROW()-26&gt;$K$6,"",IF(INDEX('Raw Pressure Data'!$A:$ZZ,$K$5+ROW()-26+$H$10,MATCH($F$10,'Raw Pressure Data'!$1:$1,0))=-999,"",INDEX('Raw Pressure Data'!$A:$ZZ,$K$5+ROW()-26+$H$10,MATCH($F$10,'Raw Pressure Data'!$1:$1,0))+$G$10))),"")</f>
        <v/>
      </c>
      <c r="T45" s="26">
        <f>IFERROR(IF($F$11="","",IF($K$5+ROW()-26&gt;$K$6,"",IF(INDEX('Raw Pressure Data'!$A:$ZZ,$K$5+ROW()-26+$H$11,MATCH($F$11,'Raw Pressure Data'!$1:$1,0))=-999,"",INDEX('Raw Pressure Data'!$A:$ZZ,$K$5+ROW()-26+$H$11,MATCH($F$11,'Raw Pressure Data'!$1:$1,0))+$G$11))),"")</f>
        <v/>
      </c>
      <c r="U45" s="26">
        <f>IFERROR(IF($F$12="","",IF($K$5+ROW()-26&gt;$K$6,"",IF(INDEX('Raw Pressure Data'!$A:$ZZ,$K$5+ROW()-26+$H$12,MATCH($F$12,'Raw Pressure Data'!$1:$1,0))=-999,"",INDEX('Raw Pressure Data'!$A:$ZZ,$K$5+ROW()-26+$H$12,MATCH($F$12,'Raw Pressure Data'!$1:$1,0))+$G$12))),"")</f>
        <v/>
      </c>
      <c r="V45" s="26">
        <f>IFERROR(IF($F$13="","",IF($K$5+ROW()-26&gt;$K$6,"",IF(INDEX('Raw Pressure Data'!$A:$ZZ,$K$5+ROW()-26+$H$13,MATCH($F$13,'Raw Pressure Data'!$1:$1,0))=-999,"",INDEX('Raw Pressure Data'!$A:$ZZ,$K$5+ROW()-26+$H$13,MATCH($F$13,'Raw Pressure Data'!$1:$1,0))+$G$13))),"")</f>
        <v/>
      </c>
      <c r="W45" s="26">
        <f>IFERROR(IF($F$14="","",IF($K$5+ROW()-26&gt;$K$6,"",IF(INDEX('Raw Pressure Data'!$A:$ZZ,$K$5+ROW()-26+$H$14,MATCH($F$14,'Raw Pressure Data'!$1:$1,0))=-999,"",INDEX('Raw Pressure Data'!$A:$ZZ,$K$5+ROW()-26+$H$14,MATCH($F$14,'Raw Pressure Data'!$1:$1,0))+$G$14))),"")</f>
        <v/>
      </c>
      <c r="X45" s="26">
        <f>IFERROR(IF($F$15="","",IF($K$5+ROW()-26&gt;$K$6,"",IF(INDEX('Raw Pressure Data'!$A:$ZZ,$K$5+ROW()-26+$H$15,MATCH($F$15,'Raw Pressure Data'!$1:$1,0))=-999,"",INDEX('Raw Pressure Data'!$A:$ZZ,$K$5+ROW()-26+$H$15,MATCH($F$15,'Raw Pressure Data'!$1:$1,0))+$G$15))),"")</f>
        <v/>
      </c>
      <c r="Y45" s="26">
        <f>IFERROR(IF($F$16="","",IF($K$5+ROW()-26&gt;$K$6,"",IF(INDEX('Raw Pressure Data'!$A:$ZZ,$K$5+ROW()-26+$H$16,MATCH($F$16,'Raw Pressure Data'!$1:$1,0))=-999,"",INDEX('Raw Pressure Data'!$A:$ZZ,$K$5+ROW()-26+$H$16,MATCH($F$16,'Raw Pressure Data'!$1:$1,0))+$G$16))),"")</f>
        <v/>
      </c>
      <c r="Z45" s="26">
        <f>IFERROR(IF($F$17="","",IF($K$5+ROW()-26&gt;$K$6,"",IF(INDEX('Raw Pressure Data'!$A:$ZZ,$K$5+ROW()-26+$H$17,MATCH($F$17,'Raw Pressure Data'!$1:$1,0))=-999,"",INDEX('Raw Pressure Data'!$A:$ZZ,$K$5+ROW()-26+$H$17,MATCH($F$17,'Raw Pressure Data'!$1:$1,0))+$G$17))),"")</f>
        <v/>
      </c>
      <c r="AA45" s="26">
        <f>IFERROR(IF($F$18="","",IF($K$5+ROW()-26&gt;$K$6,"",IF(INDEX('Raw Pressure Data'!$A:$ZZ,$K$5+ROW()-26+$H$18,MATCH($F$18,'Raw Pressure Data'!$1:$1,0))=-999,"",INDEX('Raw Pressure Data'!$A:$ZZ,$K$5+ROW()-26+$H$18,MATCH($F$18,'Raw Pressure Data'!$1:$1,0))+$G$18))),"")</f>
        <v/>
      </c>
      <c r="AB45" s="26">
        <f>IFERROR(IF($F$19="","",IF($K$5+ROW()-26&gt;$K$6,"",IF(INDEX('Raw Pressure Data'!$A:$ZZ,$K$5+ROW()-26+$H$19,MATCH($F$19,'Raw Pressure Data'!$1:$1,0))=-999,"",INDEX('Raw Pressure Data'!$A:$ZZ,$K$5+ROW()-26+$H$19,MATCH($F$19,'Raw Pressure Data'!$1:$1,0))+$G$19))),"")</f>
        <v/>
      </c>
      <c r="AC45" s="26">
        <f>IFERROR(IF($F$20="","",IF($K$5+ROW()-26&gt;$K$6,"",IF(INDEX('Raw Pressure Data'!$A:$ZZ,$K$5+ROW()-26+$H$20,MATCH($F$20,'Raw Pressure Data'!$1:$1,0))=-999,"",INDEX('Raw Pressure Data'!$A:$ZZ,$K$5+ROW()-26+$H$20,MATCH($F$20,'Raw Pressure Data'!$1:$1,0))+$G$20))),"")</f>
        <v/>
      </c>
      <c r="AD45" s="26">
        <f>IFERROR(IF($F$21="","",IF($K$5+ROW()-26&gt;$K$6,"",IF(INDEX('Raw Pressure Data'!$A:$ZZ,$K$5+ROW()-26+$H$21,MATCH($F$21,'Raw Pressure Data'!$1:$1,0))=-999,"",INDEX('Raw Pressure Data'!$A:$ZZ,$K$5+ROW()-26+$H$21,MATCH($F$21,'Raw Pressure Data'!$1:$1,0))+$G$21))),"")</f>
        <v/>
      </c>
      <c r="AE45" s="26">
        <f>IFERROR(IF($F$22="","",IF($K$5+ROW()-26&gt;$K$6,"",IF(INDEX('Raw Pressure Data'!$A:$ZZ,$K$5+ROW()-26+$H$22,MATCH($F$22,'Raw Pressure Data'!$1:$1,0))=-999,"",INDEX('Raw Pressure Data'!$A:$ZZ,$K$5+ROW()-26+$H$22,MATCH($F$22,'Raw Pressure Data'!$1:$1,0))+$G$22))),"")</f>
        <v/>
      </c>
    </row>
    <row r="46" ht="15" customHeight="1">
      <c r="A46" s="23">
        <f>IFERROR(IF($K$5+ROW()-26&gt;$K$6,"",IF(INDEX('Raw Flow Data'!$A:$A,$K$5+ROW()-26)="","",INDEX('Raw Flow Data'!$A:$A,$K$5+ROW()-26))),"")</f>
        <v/>
      </c>
      <c r="B46" s="24">
        <f>IFERROR(IF($B$3="","",IF($K$5+ROW()-26&gt;$K$6,"",IF(INDEX('Raw Flow Data'!$A:$ZZ,$K$5+ROW()-26+$D$3,MATCH($B$3,'Raw Flow Data'!$1:$1,0))=-999,"",INDEX('Raw Flow Data'!$A:$ZZ,$K$5+ROW()-26+$D$3,MATCH($B$3,'Raw Flow Data'!$1:$1,0))*$C$3))),"")</f>
        <v/>
      </c>
      <c r="C46" s="24">
        <f>IFERROR(IF($B$4="","",IF($K$5+ROW()-26&gt;$K$6,"",IF(INDEX('Raw Flow Data'!$A:$ZZ,$K$5+ROW()-26+$D$4,MATCH($B$4,'Raw Flow Data'!$1:$1,0))=-999,"",INDEX('Raw Flow Data'!$A:$ZZ,$K$5+ROW()-26+$D$4,MATCH($B$4,'Raw Flow Data'!$1:$1,0))*$C$4))),"")</f>
        <v/>
      </c>
      <c r="D46" s="24">
        <f>IFERROR(IF($B$5="","",IF($K$5+ROW()-26&gt;$K$6,"",IF(INDEX('Raw Flow Data'!$A:$ZZ,$K$5+ROW()-26+$D$5,MATCH($B$5,'Raw Flow Data'!$1:$1,0))=-999,"",INDEX('Raw Flow Data'!$A:$ZZ,$K$5+ROW()-26+$D$5,MATCH($B$5,'Raw Flow Data'!$1:$1,0))*$C$5))),"")</f>
        <v/>
      </c>
      <c r="E46" s="24">
        <f>IFERROR(IF($B$6="","",IF($K$5+ROW()-26&gt;$K$6,"",IF(INDEX('Raw Flow Data'!$A:$ZZ,$K$5+ROW()-26+$D$6,MATCH($B$6,'Raw Flow Data'!$1:$1,0))=-999,"",INDEX('Raw Flow Data'!$A:$ZZ,$K$5+ROW()-26+$D$6,MATCH($B$6,'Raw Flow Data'!$1:$1,0))*$C$6))),"")</f>
        <v/>
      </c>
      <c r="F46" s="24">
        <f>IFERROR(IF($B$7="","",IF($K$5+ROW()-26&gt;$K$6,"",IF(INDEX('Raw Flow Data'!$A:$ZZ,$K$5+ROW()-26+$D$7,MATCH($B$7,'Raw Flow Data'!$1:$1,0))=-999,"",INDEX('Raw Flow Data'!$A:$ZZ,$K$5+ROW()-26+$D$7,MATCH($B$7,'Raw Flow Data'!$1:$1,0))*$C$7))),"")</f>
        <v/>
      </c>
      <c r="G46" s="24">
        <f>IFERROR(IF($B$8="","",IF($K$5+ROW()-26&gt;$K$6,"",IF(INDEX('Raw Flow Data'!$A:$ZZ,$K$5+ROW()-26+$D$8,MATCH($B$8,'Raw Flow Data'!$1:$1,0))=-999,"",INDEX('Raw Flow Data'!$A:$ZZ,$K$5+ROW()-26+$D$8,MATCH($B$8,'Raw Flow Data'!$1:$1,0))*$C$8))),"")</f>
        <v/>
      </c>
      <c r="H46" s="24">
        <f>IFERROR(IF($B$9="","",IF($K$5+ROW()-26&gt;$K$6,"",IF(INDEX('Raw Flow Data'!$A:$ZZ,$K$5+ROW()-26+$D$9,MATCH($B$9,'Raw Flow Data'!$1:$1,0))=-999,"",INDEX('Raw Flow Data'!$A:$ZZ,$K$5+ROW()-26+$D$9,MATCH($B$9,'Raw Flow Data'!$1:$1,0))*$C$9))),"")</f>
        <v/>
      </c>
      <c r="I46" s="24">
        <f>IFERROR(IF($B$10="","",IF($K$5+ROW()-26&gt;$K$6,"",IF(INDEX('Raw Flow Data'!$A:$ZZ,$K$5+ROW()-26+$D$10,MATCH($B$10,'Raw Flow Data'!$1:$1,0))=-999,"",INDEX('Raw Flow Data'!$A:$ZZ,$K$5+ROW()-26+$D$10,MATCH($B$10,'Raw Flow Data'!$1:$1,0))*$C$10))),"")</f>
        <v/>
      </c>
      <c r="J46" s="24">
        <f>IFERROR(IF($B$11="","",IF($K$5+ROW()-26&gt;$K$6,"",IF(INDEX('Raw Flow Data'!$A:$ZZ,$K$5+ROW()-26+$D$11,MATCH($B$11,'Raw Flow Data'!$1:$1,0))=-999,"",INDEX('Raw Flow Data'!$A:$ZZ,$K$5+ROW()-26+$D$11,MATCH($B$11,'Raw Flow Data'!$1:$1,0))*$C$11))),"")</f>
        <v/>
      </c>
      <c r="K46" s="24">
        <f>IFERROR(IF($B$12="","",IF($K$5+ROW()-26&gt;$K$6,"",IF(INDEX('Raw Flow Data'!$A:$ZZ,$K$5+ROW()-26+$D$12,MATCH($B$12,'Raw Flow Data'!$1:$1,0))=-999,"",INDEX('Raw Flow Data'!$A:$ZZ,$K$5+ROW()-26+$D$12,MATCH($B$12,'Raw Flow Data'!$1:$1,0))*$C$12))),"")</f>
        <v/>
      </c>
      <c r="L46" s="24">
        <f>IFERROR(IF($F$3="","",IF($K$5+ROW()-26&gt;$K$6,"",IF(INDEX('Raw Pressure Data'!$A:$ZZ,$K$5+ROW()-26+$H$3,MATCH($F$3,'Raw Pressure Data'!$1:$1,0))=-999,"",INDEX('Raw Pressure Data'!$A:$ZZ,$K$5+ROW()-26+$H$3,MATCH($F$3,'Raw Pressure Data'!$1:$1,0))+$G$3))),"")</f>
        <v/>
      </c>
      <c r="M46" s="24">
        <f>IFERROR(IF($F$4="","",IF($K$5+ROW()-26&gt;$K$6,"",IF(INDEX('Raw Pressure Data'!$A:$ZZ,$K$5+ROW()-26+$H$4,MATCH($F$4,'Raw Pressure Data'!$1:$1,0))=-999,"",INDEX('Raw Pressure Data'!$A:$ZZ,$K$5+ROW()-26+$H$4,MATCH($F$4,'Raw Pressure Data'!$1:$1,0))+$G$4))),"")</f>
        <v/>
      </c>
      <c r="N46" s="24">
        <f>IFERROR(IF($F$5="","",IF($K$5+ROW()-26&gt;$K$6,"",IF(INDEX('Raw Pressure Data'!$A:$ZZ,$K$5+ROW()-26+$H$5,MATCH($F$5,'Raw Pressure Data'!$1:$1,0))=-999,"",INDEX('Raw Pressure Data'!$A:$ZZ,$K$5+ROW()-26+$H$5,MATCH($F$5,'Raw Pressure Data'!$1:$1,0))+$G$5))),"")</f>
        <v/>
      </c>
      <c r="O46" s="24">
        <f>IFERROR(IF($F$6="","",IF($K$5+ROW()-26&gt;$K$6,"",IF(INDEX('Raw Pressure Data'!$A:$ZZ,$K$5+ROW()-26+$H$6,MATCH($F$6,'Raw Pressure Data'!$1:$1,0))=-999,"",INDEX('Raw Pressure Data'!$A:$ZZ,$K$5+ROW()-26+$H$6,MATCH($F$6,'Raw Pressure Data'!$1:$1,0))+$G$6))),"")</f>
        <v/>
      </c>
      <c r="P46" s="24">
        <f>IFERROR(IF($F$7="","",IF($K$5+ROW()-26&gt;$K$6,"",IF(INDEX('Raw Pressure Data'!$A:$ZZ,$K$5+ROW()-26+$H$7,MATCH($F$7,'Raw Pressure Data'!$1:$1,0))=-999,"",INDEX('Raw Pressure Data'!$A:$ZZ,$K$5+ROW()-26+$H$7,MATCH($F$7,'Raw Pressure Data'!$1:$1,0))+$G$7))),"")</f>
        <v/>
      </c>
      <c r="Q46" s="24">
        <f>IFERROR(IF($F$8="","",IF($K$5+ROW()-26&gt;$K$6,"",IF(INDEX('Raw Pressure Data'!$A:$ZZ,$K$5+ROW()-26+$H$8,MATCH($F$8,'Raw Pressure Data'!$1:$1,0))=-999,"",INDEX('Raw Pressure Data'!$A:$ZZ,$K$5+ROW()-26+$H$8,MATCH($F$8,'Raw Pressure Data'!$1:$1,0))+$G$8))),"")</f>
        <v/>
      </c>
      <c r="R46" s="24">
        <f>IFERROR(IF($F$9="","",IF($K$5+ROW()-26&gt;$K$6,"",IF(INDEX('Raw Pressure Data'!$A:$ZZ,$K$5+ROW()-26+$H$9,MATCH($F$9,'Raw Pressure Data'!$1:$1,0))=-999,"",INDEX('Raw Pressure Data'!$A:$ZZ,$K$5+ROW()-26+$H$9,MATCH($F$9,'Raw Pressure Data'!$1:$1,0))+$G$9))),"")</f>
        <v/>
      </c>
      <c r="S46" s="24">
        <f>IFERROR(IF($F$10="","",IF($K$5+ROW()-26&gt;$K$6,"",IF(INDEX('Raw Pressure Data'!$A:$ZZ,$K$5+ROW()-26+$H$10,MATCH($F$10,'Raw Pressure Data'!$1:$1,0))=-999,"",INDEX('Raw Pressure Data'!$A:$ZZ,$K$5+ROW()-26+$H$10,MATCH($F$10,'Raw Pressure Data'!$1:$1,0))+$G$10))),"")</f>
        <v/>
      </c>
      <c r="T46" s="24">
        <f>IFERROR(IF($F$11="","",IF($K$5+ROW()-26&gt;$K$6,"",IF(INDEX('Raw Pressure Data'!$A:$ZZ,$K$5+ROW()-26+$H$11,MATCH($F$11,'Raw Pressure Data'!$1:$1,0))=-999,"",INDEX('Raw Pressure Data'!$A:$ZZ,$K$5+ROW()-26+$H$11,MATCH($F$11,'Raw Pressure Data'!$1:$1,0))+$G$11))),"")</f>
        <v/>
      </c>
      <c r="U46" s="24">
        <f>IFERROR(IF($F$12="","",IF($K$5+ROW()-26&gt;$K$6,"",IF(INDEX('Raw Pressure Data'!$A:$ZZ,$K$5+ROW()-26+$H$12,MATCH($F$12,'Raw Pressure Data'!$1:$1,0))=-999,"",INDEX('Raw Pressure Data'!$A:$ZZ,$K$5+ROW()-26+$H$12,MATCH($F$12,'Raw Pressure Data'!$1:$1,0))+$G$12))),"")</f>
        <v/>
      </c>
      <c r="V46" s="24">
        <f>IFERROR(IF($F$13="","",IF($K$5+ROW()-26&gt;$K$6,"",IF(INDEX('Raw Pressure Data'!$A:$ZZ,$K$5+ROW()-26+$H$13,MATCH($F$13,'Raw Pressure Data'!$1:$1,0))=-999,"",INDEX('Raw Pressure Data'!$A:$ZZ,$K$5+ROW()-26+$H$13,MATCH($F$13,'Raw Pressure Data'!$1:$1,0))+$G$13))),"")</f>
        <v/>
      </c>
      <c r="W46" s="24">
        <f>IFERROR(IF($F$14="","",IF($K$5+ROW()-26&gt;$K$6,"",IF(INDEX('Raw Pressure Data'!$A:$ZZ,$K$5+ROW()-26+$H$14,MATCH($F$14,'Raw Pressure Data'!$1:$1,0))=-999,"",INDEX('Raw Pressure Data'!$A:$ZZ,$K$5+ROW()-26+$H$14,MATCH($F$14,'Raw Pressure Data'!$1:$1,0))+$G$14))),"")</f>
        <v/>
      </c>
      <c r="X46" s="24">
        <f>IFERROR(IF($F$15="","",IF($K$5+ROW()-26&gt;$K$6,"",IF(INDEX('Raw Pressure Data'!$A:$ZZ,$K$5+ROW()-26+$H$15,MATCH($F$15,'Raw Pressure Data'!$1:$1,0))=-999,"",INDEX('Raw Pressure Data'!$A:$ZZ,$K$5+ROW()-26+$H$15,MATCH($F$15,'Raw Pressure Data'!$1:$1,0))+$G$15))),"")</f>
        <v/>
      </c>
      <c r="Y46" s="24">
        <f>IFERROR(IF($F$16="","",IF($K$5+ROW()-26&gt;$K$6,"",IF(INDEX('Raw Pressure Data'!$A:$ZZ,$K$5+ROW()-26+$H$16,MATCH($F$16,'Raw Pressure Data'!$1:$1,0))=-999,"",INDEX('Raw Pressure Data'!$A:$ZZ,$K$5+ROW()-26+$H$16,MATCH($F$16,'Raw Pressure Data'!$1:$1,0))+$G$16))),"")</f>
        <v/>
      </c>
      <c r="Z46" s="24">
        <f>IFERROR(IF($F$17="","",IF($K$5+ROW()-26&gt;$K$6,"",IF(INDEX('Raw Pressure Data'!$A:$ZZ,$K$5+ROW()-26+$H$17,MATCH($F$17,'Raw Pressure Data'!$1:$1,0))=-999,"",INDEX('Raw Pressure Data'!$A:$ZZ,$K$5+ROW()-26+$H$17,MATCH($F$17,'Raw Pressure Data'!$1:$1,0))+$G$17))),"")</f>
        <v/>
      </c>
      <c r="AA46" s="24">
        <f>IFERROR(IF($F$18="","",IF($K$5+ROW()-26&gt;$K$6,"",IF(INDEX('Raw Pressure Data'!$A:$ZZ,$K$5+ROW()-26+$H$18,MATCH($F$18,'Raw Pressure Data'!$1:$1,0))=-999,"",INDEX('Raw Pressure Data'!$A:$ZZ,$K$5+ROW()-26+$H$18,MATCH($F$18,'Raw Pressure Data'!$1:$1,0))+$G$18))),"")</f>
        <v/>
      </c>
      <c r="AB46" s="24">
        <f>IFERROR(IF($F$19="","",IF($K$5+ROW()-26&gt;$K$6,"",IF(INDEX('Raw Pressure Data'!$A:$ZZ,$K$5+ROW()-26+$H$19,MATCH($F$19,'Raw Pressure Data'!$1:$1,0))=-999,"",INDEX('Raw Pressure Data'!$A:$ZZ,$K$5+ROW()-26+$H$19,MATCH($F$19,'Raw Pressure Data'!$1:$1,0))+$G$19))),"")</f>
        <v/>
      </c>
      <c r="AC46" s="24">
        <f>IFERROR(IF($F$20="","",IF($K$5+ROW()-26&gt;$K$6,"",IF(INDEX('Raw Pressure Data'!$A:$ZZ,$K$5+ROW()-26+$H$20,MATCH($F$20,'Raw Pressure Data'!$1:$1,0))=-999,"",INDEX('Raw Pressure Data'!$A:$ZZ,$K$5+ROW()-26+$H$20,MATCH($F$20,'Raw Pressure Data'!$1:$1,0))+$G$20))),"")</f>
        <v/>
      </c>
      <c r="AD46" s="24">
        <f>IFERROR(IF($F$21="","",IF($K$5+ROW()-26&gt;$K$6,"",IF(INDEX('Raw Pressure Data'!$A:$ZZ,$K$5+ROW()-26+$H$21,MATCH($F$21,'Raw Pressure Data'!$1:$1,0))=-999,"",INDEX('Raw Pressure Data'!$A:$ZZ,$K$5+ROW()-26+$H$21,MATCH($F$21,'Raw Pressure Data'!$1:$1,0))+$G$21))),"")</f>
        <v/>
      </c>
      <c r="AE46" s="24">
        <f>IFERROR(IF($F$22="","",IF($K$5+ROW()-26&gt;$K$6,"",IF(INDEX('Raw Pressure Data'!$A:$ZZ,$K$5+ROW()-26+$H$22,MATCH($F$22,'Raw Pressure Data'!$1:$1,0))=-999,"",INDEX('Raw Pressure Data'!$A:$ZZ,$K$5+ROW()-26+$H$22,MATCH($F$22,'Raw Pressure Data'!$1:$1,0))+$G$22))),"")</f>
        <v/>
      </c>
    </row>
    <row r="47" ht="15" customHeight="1">
      <c r="A47" s="25">
        <f>IFERROR(IF($K$5+ROW()-26&gt;$K$6,"",IF(INDEX('Raw Flow Data'!$A:$A,$K$5+ROW()-26)="","",INDEX('Raw Flow Data'!$A:$A,$K$5+ROW()-26))),"")</f>
        <v/>
      </c>
      <c r="B47" s="26">
        <f>IFERROR(IF($B$3="","",IF($K$5+ROW()-26&gt;$K$6,"",IF(INDEX('Raw Flow Data'!$A:$ZZ,$K$5+ROW()-26+$D$3,MATCH($B$3,'Raw Flow Data'!$1:$1,0))=-999,"",INDEX('Raw Flow Data'!$A:$ZZ,$K$5+ROW()-26+$D$3,MATCH($B$3,'Raw Flow Data'!$1:$1,0))*$C$3))),"")</f>
        <v/>
      </c>
      <c r="C47" s="26">
        <f>IFERROR(IF($B$4="","",IF($K$5+ROW()-26&gt;$K$6,"",IF(INDEX('Raw Flow Data'!$A:$ZZ,$K$5+ROW()-26+$D$4,MATCH($B$4,'Raw Flow Data'!$1:$1,0))=-999,"",INDEX('Raw Flow Data'!$A:$ZZ,$K$5+ROW()-26+$D$4,MATCH($B$4,'Raw Flow Data'!$1:$1,0))*$C$4))),"")</f>
        <v/>
      </c>
      <c r="D47" s="26">
        <f>IFERROR(IF($B$5="","",IF($K$5+ROW()-26&gt;$K$6,"",IF(INDEX('Raw Flow Data'!$A:$ZZ,$K$5+ROW()-26+$D$5,MATCH($B$5,'Raw Flow Data'!$1:$1,0))=-999,"",INDEX('Raw Flow Data'!$A:$ZZ,$K$5+ROW()-26+$D$5,MATCH($B$5,'Raw Flow Data'!$1:$1,0))*$C$5))),"")</f>
        <v/>
      </c>
      <c r="E47" s="26">
        <f>IFERROR(IF($B$6="","",IF($K$5+ROW()-26&gt;$K$6,"",IF(INDEX('Raw Flow Data'!$A:$ZZ,$K$5+ROW()-26+$D$6,MATCH($B$6,'Raw Flow Data'!$1:$1,0))=-999,"",INDEX('Raw Flow Data'!$A:$ZZ,$K$5+ROW()-26+$D$6,MATCH($B$6,'Raw Flow Data'!$1:$1,0))*$C$6))),"")</f>
        <v/>
      </c>
      <c r="F47" s="26">
        <f>IFERROR(IF($B$7="","",IF($K$5+ROW()-26&gt;$K$6,"",IF(INDEX('Raw Flow Data'!$A:$ZZ,$K$5+ROW()-26+$D$7,MATCH($B$7,'Raw Flow Data'!$1:$1,0))=-999,"",INDEX('Raw Flow Data'!$A:$ZZ,$K$5+ROW()-26+$D$7,MATCH($B$7,'Raw Flow Data'!$1:$1,0))*$C$7))),"")</f>
        <v/>
      </c>
      <c r="G47" s="26">
        <f>IFERROR(IF($B$8="","",IF($K$5+ROW()-26&gt;$K$6,"",IF(INDEX('Raw Flow Data'!$A:$ZZ,$K$5+ROW()-26+$D$8,MATCH($B$8,'Raw Flow Data'!$1:$1,0))=-999,"",INDEX('Raw Flow Data'!$A:$ZZ,$K$5+ROW()-26+$D$8,MATCH($B$8,'Raw Flow Data'!$1:$1,0))*$C$8))),"")</f>
        <v/>
      </c>
      <c r="H47" s="26">
        <f>IFERROR(IF($B$9="","",IF($K$5+ROW()-26&gt;$K$6,"",IF(INDEX('Raw Flow Data'!$A:$ZZ,$K$5+ROW()-26+$D$9,MATCH($B$9,'Raw Flow Data'!$1:$1,0))=-999,"",INDEX('Raw Flow Data'!$A:$ZZ,$K$5+ROW()-26+$D$9,MATCH($B$9,'Raw Flow Data'!$1:$1,0))*$C$9))),"")</f>
        <v/>
      </c>
      <c r="I47" s="26">
        <f>IFERROR(IF($B$10="","",IF($K$5+ROW()-26&gt;$K$6,"",IF(INDEX('Raw Flow Data'!$A:$ZZ,$K$5+ROW()-26+$D$10,MATCH($B$10,'Raw Flow Data'!$1:$1,0))=-999,"",INDEX('Raw Flow Data'!$A:$ZZ,$K$5+ROW()-26+$D$10,MATCH($B$10,'Raw Flow Data'!$1:$1,0))*$C$10))),"")</f>
        <v/>
      </c>
      <c r="J47" s="26">
        <f>IFERROR(IF($B$11="","",IF($K$5+ROW()-26&gt;$K$6,"",IF(INDEX('Raw Flow Data'!$A:$ZZ,$K$5+ROW()-26+$D$11,MATCH($B$11,'Raw Flow Data'!$1:$1,0))=-999,"",INDEX('Raw Flow Data'!$A:$ZZ,$K$5+ROW()-26+$D$11,MATCH($B$11,'Raw Flow Data'!$1:$1,0))*$C$11))),"")</f>
        <v/>
      </c>
      <c r="K47" s="26">
        <f>IFERROR(IF($B$12="","",IF($K$5+ROW()-26&gt;$K$6,"",IF(INDEX('Raw Flow Data'!$A:$ZZ,$K$5+ROW()-26+$D$12,MATCH($B$12,'Raw Flow Data'!$1:$1,0))=-999,"",INDEX('Raw Flow Data'!$A:$ZZ,$K$5+ROW()-26+$D$12,MATCH($B$12,'Raw Flow Data'!$1:$1,0))*$C$12))),"")</f>
        <v/>
      </c>
      <c r="L47" s="26">
        <f>IFERROR(IF($F$3="","",IF($K$5+ROW()-26&gt;$K$6,"",IF(INDEX('Raw Pressure Data'!$A:$ZZ,$K$5+ROW()-26+$H$3,MATCH($F$3,'Raw Pressure Data'!$1:$1,0))=-999,"",INDEX('Raw Pressure Data'!$A:$ZZ,$K$5+ROW()-26+$H$3,MATCH($F$3,'Raw Pressure Data'!$1:$1,0))+$G$3))),"")</f>
        <v/>
      </c>
      <c r="M47" s="26">
        <f>IFERROR(IF($F$4="","",IF($K$5+ROW()-26&gt;$K$6,"",IF(INDEX('Raw Pressure Data'!$A:$ZZ,$K$5+ROW()-26+$H$4,MATCH($F$4,'Raw Pressure Data'!$1:$1,0))=-999,"",INDEX('Raw Pressure Data'!$A:$ZZ,$K$5+ROW()-26+$H$4,MATCH($F$4,'Raw Pressure Data'!$1:$1,0))+$G$4))),"")</f>
        <v/>
      </c>
      <c r="N47" s="26">
        <f>IFERROR(IF($F$5="","",IF($K$5+ROW()-26&gt;$K$6,"",IF(INDEX('Raw Pressure Data'!$A:$ZZ,$K$5+ROW()-26+$H$5,MATCH($F$5,'Raw Pressure Data'!$1:$1,0))=-999,"",INDEX('Raw Pressure Data'!$A:$ZZ,$K$5+ROW()-26+$H$5,MATCH($F$5,'Raw Pressure Data'!$1:$1,0))+$G$5))),"")</f>
        <v/>
      </c>
      <c r="O47" s="26">
        <f>IFERROR(IF($F$6="","",IF($K$5+ROW()-26&gt;$K$6,"",IF(INDEX('Raw Pressure Data'!$A:$ZZ,$K$5+ROW()-26+$H$6,MATCH($F$6,'Raw Pressure Data'!$1:$1,0))=-999,"",INDEX('Raw Pressure Data'!$A:$ZZ,$K$5+ROW()-26+$H$6,MATCH($F$6,'Raw Pressure Data'!$1:$1,0))+$G$6))),"")</f>
        <v/>
      </c>
      <c r="P47" s="26">
        <f>IFERROR(IF($F$7="","",IF($K$5+ROW()-26&gt;$K$6,"",IF(INDEX('Raw Pressure Data'!$A:$ZZ,$K$5+ROW()-26+$H$7,MATCH($F$7,'Raw Pressure Data'!$1:$1,0))=-999,"",INDEX('Raw Pressure Data'!$A:$ZZ,$K$5+ROW()-26+$H$7,MATCH($F$7,'Raw Pressure Data'!$1:$1,0))+$G$7))),"")</f>
        <v/>
      </c>
      <c r="Q47" s="26">
        <f>IFERROR(IF($F$8="","",IF($K$5+ROW()-26&gt;$K$6,"",IF(INDEX('Raw Pressure Data'!$A:$ZZ,$K$5+ROW()-26+$H$8,MATCH($F$8,'Raw Pressure Data'!$1:$1,0))=-999,"",INDEX('Raw Pressure Data'!$A:$ZZ,$K$5+ROW()-26+$H$8,MATCH($F$8,'Raw Pressure Data'!$1:$1,0))+$G$8))),"")</f>
        <v/>
      </c>
      <c r="R47" s="26">
        <f>IFERROR(IF($F$9="","",IF($K$5+ROW()-26&gt;$K$6,"",IF(INDEX('Raw Pressure Data'!$A:$ZZ,$K$5+ROW()-26+$H$9,MATCH($F$9,'Raw Pressure Data'!$1:$1,0))=-999,"",INDEX('Raw Pressure Data'!$A:$ZZ,$K$5+ROW()-26+$H$9,MATCH($F$9,'Raw Pressure Data'!$1:$1,0))+$G$9))),"")</f>
        <v/>
      </c>
      <c r="S47" s="26">
        <f>IFERROR(IF($F$10="","",IF($K$5+ROW()-26&gt;$K$6,"",IF(INDEX('Raw Pressure Data'!$A:$ZZ,$K$5+ROW()-26+$H$10,MATCH($F$10,'Raw Pressure Data'!$1:$1,0))=-999,"",INDEX('Raw Pressure Data'!$A:$ZZ,$K$5+ROW()-26+$H$10,MATCH($F$10,'Raw Pressure Data'!$1:$1,0))+$G$10))),"")</f>
        <v/>
      </c>
      <c r="T47" s="26">
        <f>IFERROR(IF($F$11="","",IF($K$5+ROW()-26&gt;$K$6,"",IF(INDEX('Raw Pressure Data'!$A:$ZZ,$K$5+ROW()-26+$H$11,MATCH($F$11,'Raw Pressure Data'!$1:$1,0))=-999,"",INDEX('Raw Pressure Data'!$A:$ZZ,$K$5+ROW()-26+$H$11,MATCH($F$11,'Raw Pressure Data'!$1:$1,0))+$G$11))),"")</f>
        <v/>
      </c>
      <c r="U47" s="26">
        <f>IFERROR(IF($F$12="","",IF($K$5+ROW()-26&gt;$K$6,"",IF(INDEX('Raw Pressure Data'!$A:$ZZ,$K$5+ROW()-26+$H$12,MATCH($F$12,'Raw Pressure Data'!$1:$1,0))=-999,"",INDEX('Raw Pressure Data'!$A:$ZZ,$K$5+ROW()-26+$H$12,MATCH($F$12,'Raw Pressure Data'!$1:$1,0))+$G$12))),"")</f>
        <v/>
      </c>
      <c r="V47" s="26">
        <f>IFERROR(IF($F$13="","",IF($K$5+ROW()-26&gt;$K$6,"",IF(INDEX('Raw Pressure Data'!$A:$ZZ,$K$5+ROW()-26+$H$13,MATCH($F$13,'Raw Pressure Data'!$1:$1,0))=-999,"",INDEX('Raw Pressure Data'!$A:$ZZ,$K$5+ROW()-26+$H$13,MATCH($F$13,'Raw Pressure Data'!$1:$1,0))+$G$13))),"")</f>
        <v/>
      </c>
      <c r="W47" s="26">
        <f>IFERROR(IF($F$14="","",IF($K$5+ROW()-26&gt;$K$6,"",IF(INDEX('Raw Pressure Data'!$A:$ZZ,$K$5+ROW()-26+$H$14,MATCH($F$14,'Raw Pressure Data'!$1:$1,0))=-999,"",INDEX('Raw Pressure Data'!$A:$ZZ,$K$5+ROW()-26+$H$14,MATCH($F$14,'Raw Pressure Data'!$1:$1,0))+$G$14))),"")</f>
        <v/>
      </c>
      <c r="X47" s="26">
        <f>IFERROR(IF($F$15="","",IF($K$5+ROW()-26&gt;$K$6,"",IF(INDEX('Raw Pressure Data'!$A:$ZZ,$K$5+ROW()-26+$H$15,MATCH($F$15,'Raw Pressure Data'!$1:$1,0))=-999,"",INDEX('Raw Pressure Data'!$A:$ZZ,$K$5+ROW()-26+$H$15,MATCH($F$15,'Raw Pressure Data'!$1:$1,0))+$G$15))),"")</f>
        <v/>
      </c>
      <c r="Y47" s="26">
        <f>IFERROR(IF($F$16="","",IF($K$5+ROW()-26&gt;$K$6,"",IF(INDEX('Raw Pressure Data'!$A:$ZZ,$K$5+ROW()-26+$H$16,MATCH($F$16,'Raw Pressure Data'!$1:$1,0))=-999,"",INDEX('Raw Pressure Data'!$A:$ZZ,$K$5+ROW()-26+$H$16,MATCH($F$16,'Raw Pressure Data'!$1:$1,0))+$G$16))),"")</f>
        <v/>
      </c>
      <c r="Z47" s="26">
        <f>IFERROR(IF($F$17="","",IF($K$5+ROW()-26&gt;$K$6,"",IF(INDEX('Raw Pressure Data'!$A:$ZZ,$K$5+ROW()-26+$H$17,MATCH($F$17,'Raw Pressure Data'!$1:$1,0))=-999,"",INDEX('Raw Pressure Data'!$A:$ZZ,$K$5+ROW()-26+$H$17,MATCH($F$17,'Raw Pressure Data'!$1:$1,0))+$G$17))),"")</f>
        <v/>
      </c>
      <c r="AA47" s="26">
        <f>IFERROR(IF($F$18="","",IF($K$5+ROW()-26&gt;$K$6,"",IF(INDEX('Raw Pressure Data'!$A:$ZZ,$K$5+ROW()-26+$H$18,MATCH($F$18,'Raw Pressure Data'!$1:$1,0))=-999,"",INDEX('Raw Pressure Data'!$A:$ZZ,$K$5+ROW()-26+$H$18,MATCH($F$18,'Raw Pressure Data'!$1:$1,0))+$G$18))),"")</f>
        <v/>
      </c>
      <c r="AB47" s="26">
        <f>IFERROR(IF($F$19="","",IF($K$5+ROW()-26&gt;$K$6,"",IF(INDEX('Raw Pressure Data'!$A:$ZZ,$K$5+ROW()-26+$H$19,MATCH($F$19,'Raw Pressure Data'!$1:$1,0))=-999,"",INDEX('Raw Pressure Data'!$A:$ZZ,$K$5+ROW()-26+$H$19,MATCH($F$19,'Raw Pressure Data'!$1:$1,0))+$G$19))),"")</f>
        <v/>
      </c>
      <c r="AC47" s="26">
        <f>IFERROR(IF($F$20="","",IF($K$5+ROW()-26&gt;$K$6,"",IF(INDEX('Raw Pressure Data'!$A:$ZZ,$K$5+ROW()-26+$H$20,MATCH($F$20,'Raw Pressure Data'!$1:$1,0))=-999,"",INDEX('Raw Pressure Data'!$A:$ZZ,$K$5+ROW()-26+$H$20,MATCH($F$20,'Raw Pressure Data'!$1:$1,0))+$G$20))),"")</f>
        <v/>
      </c>
      <c r="AD47" s="26">
        <f>IFERROR(IF($F$21="","",IF($K$5+ROW()-26&gt;$K$6,"",IF(INDEX('Raw Pressure Data'!$A:$ZZ,$K$5+ROW()-26+$H$21,MATCH($F$21,'Raw Pressure Data'!$1:$1,0))=-999,"",INDEX('Raw Pressure Data'!$A:$ZZ,$K$5+ROW()-26+$H$21,MATCH($F$21,'Raw Pressure Data'!$1:$1,0))+$G$21))),"")</f>
        <v/>
      </c>
      <c r="AE47" s="26">
        <f>IFERROR(IF($F$22="","",IF($K$5+ROW()-26&gt;$K$6,"",IF(INDEX('Raw Pressure Data'!$A:$ZZ,$K$5+ROW()-26+$H$22,MATCH($F$22,'Raw Pressure Data'!$1:$1,0))=-999,"",INDEX('Raw Pressure Data'!$A:$ZZ,$K$5+ROW()-26+$H$22,MATCH($F$22,'Raw Pressure Data'!$1:$1,0))+$G$22))),"")</f>
        <v/>
      </c>
    </row>
    <row r="48" ht="15" customHeight="1">
      <c r="A48" s="23">
        <f>IFERROR(IF($K$5+ROW()-26&gt;$K$6,"",IF(INDEX('Raw Flow Data'!$A:$A,$K$5+ROW()-26)="","",INDEX('Raw Flow Data'!$A:$A,$K$5+ROW()-26))),"")</f>
        <v/>
      </c>
      <c r="B48" s="24">
        <f>IFERROR(IF($B$3="","",IF($K$5+ROW()-26&gt;$K$6,"",IF(INDEX('Raw Flow Data'!$A:$ZZ,$K$5+ROW()-26+$D$3,MATCH($B$3,'Raw Flow Data'!$1:$1,0))=-999,"",INDEX('Raw Flow Data'!$A:$ZZ,$K$5+ROW()-26+$D$3,MATCH($B$3,'Raw Flow Data'!$1:$1,0))*$C$3))),"")</f>
        <v/>
      </c>
      <c r="C48" s="24">
        <f>IFERROR(IF($B$4="","",IF($K$5+ROW()-26&gt;$K$6,"",IF(INDEX('Raw Flow Data'!$A:$ZZ,$K$5+ROW()-26+$D$4,MATCH($B$4,'Raw Flow Data'!$1:$1,0))=-999,"",INDEX('Raw Flow Data'!$A:$ZZ,$K$5+ROW()-26+$D$4,MATCH($B$4,'Raw Flow Data'!$1:$1,0))*$C$4))),"")</f>
        <v/>
      </c>
      <c r="D48" s="24">
        <f>IFERROR(IF($B$5="","",IF($K$5+ROW()-26&gt;$K$6,"",IF(INDEX('Raw Flow Data'!$A:$ZZ,$K$5+ROW()-26+$D$5,MATCH($B$5,'Raw Flow Data'!$1:$1,0))=-999,"",INDEX('Raw Flow Data'!$A:$ZZ,$K$5+ROW()-26+$D$5,MATCH($B$5,'Raw Flow Data'!$1:$1,0))*$C$5))),"")</f>
        <v/>
      </c>
      <c r="E48" s="24">
        <f>IFERROR(IF($B$6="","",IF($K$5+ROW()-26&gt;$K$6,"",IF(INDEX('Raw Flow Data'!$A:$ZZ,$K$5+ROW()-26+$D$6,MATCH($B$6,'Raw Flow Data'!$1:$1,0))=-999,"",INDEX('Raw Flow Data'!$A:$ZZ,$K$5+ROW()-26+$D$6,MATCH($B$6,'Raw Flow Data'!$1:$1,0))*$C$6))),"")</f>
        <v/>
      </c>
      <c r="F48" s="24">
        <f>IFERROR(IF($B$7="","",IF($K$5+ROW()-26&gt;$K$6,"",IF(INDEX('Raw Flow Data'!$A:$ZZ,$K$5+ROW()-26+$D$7,MATCH($B$7,'Raw Flow Data'!$1:$1,0))=-999,"",INDEX('Raw Flow Data'!$A:$ZZ,$K$5+ROW()-26+$D$7,MATCH($B$7,'Raw Flow Data'!$1:$1,0))*$C$7))),"")</f>
        <v/>
      </c>
      <c r="G48" s="24">
        <f>IFERROR(IF($B$8="","",IF($K$5+ROW()-26&gt;$K$6,"",IF(INDEX('Raw Flow Data'!$A:$ZZ,$K$5+ROW()-26+$D$8,MATCH($B$8,'Raw Flow Data'!$1:$1,0))=-999,"",INDEX('Raw Flow Data'!$A:$ZZ,$K$5+ROW()-26+$D$8,MATCH($B$8,'Raw Flow Data'!$1:$1,0))*$C$8))),"")</f>
        <v/>
      </c>
      <c r="H48" s="24">
        <f>IFERROR(IF($B$9="","",IF($K$5+ROW()-26&gt;$K$6,"",IF(INDEX('Raw Flow Data'!$A:$ZZ,$K$5+ROW()-26+$D$9,MATCH($B$9,'Raw Flow Data'!$1:$1,0))=-999,"",INDEX('Raw Flow Data'!$A:$ZZ,$K$5+ROW()-26+$D$9,MATCH($B$9,'Raw Flow Data'!$1:$1,0))*$C$9))),"")</f>
        <v/>
      </c>
      <c r="I48" s="24">
        <f>IFERROR(IF($B$10="","",IF($K$5+ROW()-26&gt;$K$6,"",IF(INDEX('Raw Flow Data'!$A:$ZZ,$K$5+ROW()-26+$D$10,MATCH($B$10,'Raw Flow Data'!$1:$1,0))=-999,"",INDEX('Raw Flow Data'!$A:$ZZ,$K$5+ROW()-26+$D$10,MATCH($B$10,'Raw Flow Data'!$1:$1,0))*$C$10))),"")</f>
        <v/>
      </c>
      <c r="J48" s="24">
        <f>IFERROR(IF($B$11="","",IF($K$5+ROW()-26&gt;$K$6,"",IF(INDEX('Raw Flow Data'!$A:$ZZ,$K$5+ROW()-26+$D$11,MATCH($B$11,'Raw Flow Data'!$1:$1,0))=-999,"",INDEX('Raw Flow Data'!$A:$ZZ,$K$5+ROW()-26+$D$11,MATCH($B$11,'Raw Flow Data'!$1:$1,0))*$C$11))),"")</f>
        <v/>
      </c>
      <c r="K48" s="24">
        <f>IFERROR(IF($B$12="","",IF($K$5+ROW()-26&gt;$K$6,"",IF(INDEX('Raw Flow Data'!$A:$ZZ,$K$5+ROW()-26+$D$12,MATCH($B$12,'Raw Flow Data'!$1:$1,0))=-999,"",INDEX('Raw Flow Data'!$A:$ZZ,$K$5+ROW()-26+$D$12,MATCH($B$12,'Raw Flow Data'!$1:$1,0))*$C$12))),"")</f>
        <v/>
      </c>
      <c r="L48" s="24">
        <f>IFERROR(IF($F$3="","",IF($K$5+ROW()-26&gt;$K$6,"",IF(INDEX('Raw Pressure Data'!$A:$ZZ,$K$5+ROW()-26+$H$3,MATCH($F$3,'Raw Pressure Data'!$1:$1,0))=-999,"",INDEX('Raw Pressure Data'!$A:$ZZ,$K$5+ROW()-26+$H$3,MATCH($F$3,'Raw Pressure Data'!$1:$1,0))+$G$3))),"")</f>
        <v/>
      </c>
      <c r="M48" s="24">
        <f>IFERROR(IF($F$4="","",IF($K$5+ROW()-26&gt;$K$6,"",IF(INDEX('Raw Pressure Data'!$A:$ZZ,$K$5+ROW()-26+$H$4,MATCH($F$4,'Raw Pressure Data'!$1:$1,0))=-999,"",INDEX('Raw Pressure Data'!$A:$ZZ,$K$5+ROW()-26+$H$4,MATCH($F$4,'Raw Pressure Data'!$1:$1,0))+$G$4))),"")</f>
        <v/>
      </c>
      <c r="N48" s="24">
        <f>IFERROR(IF($F$5="","",IF($K$5+ROW()-26&gt;$K$6,"",IF(INDEX('Raw Pressure Data'!$A:$ZZ,$K$5+ROW()-26+$H$5,MATCH($F$5,'Raw Pressure Data'!$1:$1,0))=-999,"",INDEX('Raw Pressure Data'!$A:$ZZ,$K$5+ROW()-26+$H$5,MATCH($F$5,'Raw Pressure Data'!$1:$1,0))+$G$5))),"")</f>
        <v/>
      </c>
      <c r="O48" s="24">
        <f>IFERROR(IF($F$6="","",IF($K$5+ROW()-26&gt;$K$6,"",IF(INDEX('Raw Pressure Data'!$A:$ZZ,$K$5+ROW()-26+$H$6,MATCH($F$6,'Raw Pressure Data'!$1:$1,0))=-999,"",INDEX('Raw Pressure Data'!$A:$ZZ,$K$5+ROW()-26+$H$6,MATCH($F$6,'Raw Pressure Data'!$1:$1,0))+$G$6))),"")</f>
        <v/>
      </c>
      <c r="P48" s="24">
        <f>IFERROR(IF($F$7="","",IF($K$5+ROW()-26&gt;$K$6,"",IF(INDEX('Raw Pressure Data'!$A:$ZZ,$K$5+ROW()-26+$H$7,MATCH($F$7,'Raw Pressure Data'!$1:$1,0))=-999,"",INDEX('Raw Pressure Data'!$A:$ZZ,$K$5+ROW()-26+$H$7,MATCH($F$7,'Raw Pressure Data'!$1:$1,0))+$G$7))),"")</f>
        <v/>
      </c>
      <c r="Q48" s="24">
        <f>IFERROR(IF($F$8="","",IF($K$5+ROW()-26&gt;$K$6,"",IF(INDEX('Raw Pressure Data'!$A:$ZZ,$K$5+ROW()-26+$H$8,MATCH($F$8,'Raw Pressure Data'!$1:$1,0))=-999,"",INDEX('Raw Pressure Data'!$A:$ZZ,$K$5+ROW()-26+$H$8,MATCH($F$8,'Raw Pressure Data'!$1:$1,0))+$G$8))),"")</f>
        <v/>
      </c>
      <c r="R48" s="24">
        <f>IFERROR(IF($F$9="","",IF($K$5+ROW()-26&gt;$K$6,"",IF(INDEX('Raw Pressure Data'!$A:$ZZ,$K$5+ROW()-26+$H$9,MATCH($F$9,'Raw Pressure Data'!$1:$1,0))=-999,"",INDEX('Raw Pressure Data'!$A:$ZZ,$K$5+ROW()-26+$H$9,MATCH($F$9,'Raw Pressure Data'!$1:$1,0))+$G$9))),"")</f>
        <v/>
      </c>
      <c r="S48" s="24">
        <f>IFERROR(IF($F$10="","",IF($K$5+ROW()-26&gt;$K$6,"",IF(INDEX('Raw Pressure Data'!$A:$ZZ,$K$5+ROW()-26+$H$10,MATCH($F$10,'Raw Pressure Data'!$1:$1,0))=-999,"",INDEX('Raw Pressure Data'!$A:$ZZ,$K$5+ROW()-26+$H$10,MATCH($F$10,'Raw Pressure Data'!$1:$1,0))+$G$10))),"")</f>
        <v/>
      </c>
      <c r="T48" s="24">
        <f>IFERROR(IF($F$11="","",IF($K$5+ROW()-26&gt;$K$6,"",IF(INDEX('Raw Pressure Data'!$A:$ZZ,$K$5+ROW()-26+$H$11,MATCH($F$11,'Raw Pressure Data'!$1:$1,0))=-999,"",INDEX('Raw Pressure Data'!$A:$ZZ,$K$5+ROW()-26+$H$11,MATCH($F$11,'Raw Pressure Data'!$1:$1,0))+$G$11))),"")</f>
        <v/>
      </c>
      <c r="U48" s="24">
        <f>IFERROR(IF($F$12="","",IF($K$5+ROW()-26&gt;$K$6,"",IF(INDEX('Raw Pressure Data'!$A:$ZZ,$K$5+ROW()-26+$H$12,MATCH($F$12,'Raw Pressure Data'!$1:$1,0))=-999,"",INDEX('Raw Pressure Data'!$A:$ZZ,$K$5+ROW()-26+$H$12,MATCH($F$12,'Raw Pressure Data'!$1:$1,0))+$G$12))),"")</f>
        <v/>
      </c>
      <c r="V48" s="24">
        <f>IFERROR(IF($F$13="","",IF($K$5+ROW()-26&gt;$K$6,"",IF(INDEX('Raw Pressure Data'!$A:$ZZ,$K$5+ROW()-26+$H$13,MATCH($F$13,'Raw Pressure Data'!$1:$1,0))=-999,"",INDEX('Raw Pressure Data'!$A:$ZZ,$K$5+ROW()-26+$H$13,MATCH($F$13,'Raw Pressure Data'!$1:$1,0))+$G$13))),"")</f>
        <v/>
      </c>
      <c r="W48" s="24">
        <f>IFERROR(IF($F$14="","",IF($K$5+ROW()-26&gt;$K$6,"",IF(INDEX('Raw Pressure Data'!$A:$ZZ,$K$5+ROW()-26+$H$14,MATCH($F$14,'Raw Pressure Data'!$1:$1,0))=-999,"",INDEX('Raw Pressure Data'!$A:$ZZ,$K$5+ROW()-26+$H$14,MATCH($F$14,'Raw Pressure Data'!$1:$1,0))+$G$14))),"")</f>
        <v/>
      </c>
      <c r="X48" s="24">
        <f>IFERROR(IF($F$15="","",IF($K$5+ROW()-26&gt;$K$6,"",IF(INDEX('Raw Pressure Data'!$A:$ZZ,$K$5+ROW()-26+$H$15,MATCH($F$15,'Raw Pressure Data'!$1:$1,0))=-999,"",INDEX('Raw Pressure Data'!$A:$ZZ,$K$5+ROW()-26+$H$15,MATCH($F$15,'Raw Pressure Data'!$1:$1,0))+$G$15))),"")</f>
        <v/>
      </c>
      <c r="Y48" s="24">
        <f>IFERROR(IF($F$16="","",IF($K$5+ROW()-26&gt;$K$6,"",IF(INDEX('Raw Pressure Data'!$A:$ZZ,$K$5+ROW()-26+$H$16,MATCH($F$16,'Raw Pressure Data'!$1:$1,0))=-999,"",INDEX('Raw Pressure Data'!$A:$ZZ,$K$5+ROW()-26+$H$16,MATCH($F$16,'Raw Pressure Data'!$1:$1,0))+$G$16))),"")</f>
        <v/>
      </c>
      <c r="Z48" s="24">
        <f>IFERROR(IF($F$17="","",IF($K$5+ROW()-26&gt;$K$6,"",IF(INDEX('Raw Pressure Data'!$A:$ZZ,$K$5+ROW()-26+$H$17,MATCH($F$17,'Raw Pressure Data'!$1:$1,0))=-999,"",INDEX('Raw Pressure Data'!$A:$ZZ,$K$5+ROW()-26+$H$17,MATCH($F$17,'Raw Pressure Data'!$1:$1,0))+$G$17))),"")</f>
        <v/>
      </c>
      <c r="AA48" s="24">
        <f>IFERROR(IF($F$18="","",IF($K$5+ROW()-26&gt;$K$6,"",IF(INDEX('Raw Pressure Data'!$A:$ZZ,$K$5+ROW()-26+$H$18,MATCH($F$18,'Raw Pressure Data'!$1:$1,0))=-999,"",INDEX('Raw Pressure Data'!$A:$ZZ,$K$5+ROW()-26+$H$18,MATCH($F$18,'Raw Pressure Data'!$1:$1,0))+$G$18))),"")</f>
        <v/>
      </c>
      <c r="AB48" s="24">
        <f>IFERROR(IF($F$19="","",IF($K$5+ROW()-26&gt;$K$6,"",IF(INDEX('Raw Pressure Data'!$A:$ZZ,$K$5+ROW()-26+$H$19,MATCH($F$19,'Raw Pressure Data'!$1:$1,0))=-999,"",INDEX('Raw Pressure Data'!$A:$ZZ,$K$5+ROW()-26+$H$19,MATCH($F$19,'Raw Pressure Data'!$1:$1,0))+$G$19))),"")</f>
        <v/>
      </c>
      <c r="AC48" s="24">
        <f>IFERROR(IF($F$20="","",IF($K$5+ROW()-26&gt;$K$6,"",IF(INDEX('Raw Pressure Data'!$A:$ZZ,$K$5+ROW()-26+$H$20,MATCH($F$20,'Raw Pressure Data'!$1:$1,0))=-999,"",INDEX('Raw Pressure Data'!$A:$ZZ,$K$5+ROW()-26+$H$20,MATCH($F$20,'Raw Pressure Data'!$1:$1,0))+$G$20))),"")</f>
        <v/>
      </c>
      <c r="AD48" s="24">
        <f>IFERROR(IF($F$21="","",IF($K$5+ROW()-26&gt;$K$6,"",IF(INDEX('Raw Pressure Data'!$A:$ZZ,$K$5+ROW()-26+$H$21,MATCH($F$21,'Raw Pressure Data'!$1:$1,0))=-999,"",INDEX('Raw Pressure Data'!$A:$ZZ,$K$5+ROW()-26+$H$21,MATCH($F$21,'Raw Pressure Data'!$1:$1,0))+$G$21))),"")</f>
        <v/>
      </c>
      <c r="AE48" s="24">
        <f>IFERROR(IF($F$22="","",IF($K$5+ROW()-26&gt;$K$6,"",IF(INDEX('Raw Pressure Data'!$A:$ZZ,$K$5+ROW()-26+$H$22,MATCH($F$22,'Raw Pressure Data'!$1:$1,0))=-999,"",INDEX('Raw Pressure Data'!$A:$ZZ,$K$5+ROW()-26+$H$22,MATCH($F$22,'Raw Pressure Data'!$1:$1,0))+$G$22))),"")</f>
        <v/>
      </c>
    </row>
    <row r="49" ht="15" customHeight="1">
      <c r="A49" s="25">
        <f>IFERROR(IF($K$5+ROW()-26&gt;$K$6,"",IF(INDEX('Raw Flow Data'!$A:$A,$K$5+ROW()-26)="","",INDEX('Raw Flow Data'!$A:$A,$K$5+ROW()-26))),"")</f>
        <v/>
      </c>
      <c r="B49" s="26">
        <f>IFERROR(IF($B$3="","",IF($K$5+ROW()-26&gt;$K$6,"",IF(INDEX('Raw Flow Data'!$A:$ZZ,$K$5+ROW()-26+$D$3,MATCH($B$3,'Raw Flow Data'!$1:$1,0))=-999,"",INDEX('Raw Flow Data'!$A:$ZZ,$K$5+ROW()-26+$D$3,MATCH($B$3,'Raw Flow Data'!$1:$1,0))*$C$3))),"")</f>
        <v/>
      </c>
      <c r="C49" s="26">
        <f>IFERROR(IF($B$4="","",IF($K$5+ROW()-26&gt;$K$6,"",IF(INDEX('Raw Flow Data'!$A:$ZZ,$K$5+ROW()-26+$D$4,MATCH($B$4,'Raw Flow Data'!$1:$1,0))=-999,"",INDEX('Raw Flow Data'!$A:$ZZ,$K$5+ROW()-26+$D$4,MATCH($B$4,'Raw Flow Data'!$1:$1,0))*$C$4))),"")</f>
        <v/>
      </c>
      <c r="D49" s="26">
        <f>IFERROR(IF($B$5="","",IF($K$5+ROW()-26&gt;$K$6,"",IF(INDEX('Raw Flow Data'!$A:$ZZ,$K$5+ROW()-26+$D$5,MATCH($B$5,'Raw Flow Data'!$1:$1,0))=-999,"",INDEX('Raw Flow Data'!$A:$ZZ,$K$5+ROW()-26+$D$5,MATCH($B$5,'Raw Flow Data'!$1:$1,0))*$C$5))),"")</f>
        <v/>
      </c>
      <c r="E49" s="26">
        <f>IFERROR(IF($B$6="","",IF($K$5+ROW()-26&gt;$K$6,"",IF(INDEX('Raw Flow Data'!$A:$ZZ,$K$5+ROW()-26+$D$6,MATCH($B$6,'Raw Flow Data'!$1:$1,0))=-999,"",INDEX('Raw Flow Data'!$A:$ZZ,$K$5+ROW()-26+$D$6,MATCH($B$6,'Raw Flow Data'!$1:$1,0))*$C$6))),"")</f>
        <v/>
      </c>
      <c r="F49" s="26">
        <f>IFERROR(IF($B$7="","",IF($K$5+ROW()-26&gt;$K$6,"",IF(INDEX('Raw Flow Data'!$A:$ZZ,$K$5+ROW()-26+$D$7,MATCH($B$7,'Raw Flow Data'!$1:$1,0))=-999,"",INDEX('Raw Flow Data'!$A:$ZZ,$K$5+ROW()-26+$D$7,MATCH($B$7,'Raw Flow Data'!$1:$1,0))*$C$7))),"")</f>
        <v/>
      </c>
      <c r="G49" s="26">
        <f>IFERROR(IF($B$8="","",IF($K$5+ROW()-26&gt;$K$6,"",IF(INDEX('Raw Flow Data'!$A:$ZZ,$K$5+ROW()-26+$D$8,MATCH($B$8,'Raw Flow Data'!$1:$1,0))=-999,"",INDEX('Raw Flow Data'!$A:$ZZ,$K$5+ROW()-26+$D$8,MATCH($B$8,'Raw Flow Data'!$1:$1,0))*$C$8))),"")</f>
        <v/>
      </c>
      <c r="H49" s="26">
        <f>IFERROR(IF($B$9="","",IF($K$5+ROW()-26&gt;$K$6,"",IF(INDEX('Raw Flow Data'!$A:$ZZ,$K$5+ROW()-26+$D$9,MATCH($B$9,'Raw Flow Data'!$1:$1,0))=-999,"",INDEX('Raw Flow Data'!$A:$ZZ,$K$5+ROW()-26+$D$9,MATCH($B$9,'Raw Flow Data'!$1:$1,0))*$C$9))),"")</f>
        <v/>
      </c>
      <c r="I49" s="26">
        <f>IFERROR(IF($B$10="","",IF($K$5+ROW()-26&gt;$K$6,"",IF(INDEX('Raw Flow Data'!$A:$ZZ,$K$5+ROW()-26+$D$10,MATCH($B$10,'Raw Flow Data'!$1:$1,0))=-999,"",INDEX('Raw Flow Data'!$A:$ZZ,$K$5+ROW()-26+$D$10,MATCH($B$10,'Raw Flow Data'!$1:$1,0))*$C$10))),"")</f>
        <v/>
      </c>
      <c r="J49" s="26">
        <f>IFERROR(IF($B$11="","",IF($K$5+ROW()-26&gt;$K$6,"",IF(INDEX('Raw Flow Data'!$A:$ZZ,$K$5+ROW()-26+$D$11,MATCH($B$11,'Raw Flow Data'!$1:$1,0))=-999,"",INDEX('Raw Flow Data'!$A:$ZZ,$K$5+ROW()-26+$D$11,MATCH($B$11,'Raw Flow Data'!$1:$1,0))*$C$11))),"")</f>
        <v/>
      </c>
      <c r="K49" s="26">
        <f>IFERROR(IF($B$12="","",IF($K$5+ROW()-26&gt;$K$6,"",IF(INDEX('Raw Flow Data'!$A:$ZZ,$K$5+ROW()-26+$D$12,MATCH($B$12,'Raw Flow Data'!$1:$1,0))=-999,"",INDEX('Raw Flow Data'!$A:$ZZ,$K$5+ROW()-26+$D$12,MATCH($B$12,'Raw Flow Data'!$1:$1,0))*$C$12))),"")</f>
        <v/>
      </c>
      <c r="L49" s="26">
        <f>IFERROR(IF($F$3="","",IF($K$5+ROW()-26&gt;$K$6,"",IF(INDEX('Raw Pressure Data'!$A:$ZZ,$K$5+ROW()-26+$H$3,MATCH($F$3,'Raw Pressure Data'!$1:$1,0))=-999,"",INDEX('Raw Pressure Data'!$A:$ZZ,$K$5+ROW()-26+$H$3,MATCH($F$3,'Raw Pressure Data'!$1:$1,0))+$G$3))),"")</f>
        <v/>
      </c>
      <c r="M49" s="26">
        <f>IFERROR(IF($F$4="","",IF($K$5+ROW()-26&gt;$K$6,"",IF(INDEX('Raw Pressure Data'!$A:$ZZ,$K$5+ROW()-26+$H$4,MATCH($F$4,'Raw Pressure Data'!$1:$1,0))=-999,"",INDEX('Raw Pressure Data'!$A:$ZZ,$K$5+ROW()-26+$H$4,MATCH($F$4,'Raw Pressure Data'!$1:$1,0))+$G$4))),"")</f>
        <v/>
      </c>
      <c r="N49" s="26">
        <f>IFERROR(IF($F$5="","",IF($K$5+ROW()-26&gt;$K$6,"",IF(INDEX('Raw Pressure Data'!$A:$ZZ,$K$5+ROW()-26+$H$5,MATCH($F$5,'Raw Pressure Data'!$1:$1,0))=-999,"",INDEX('Raw Pressure Data'!$A:$ZZ,$K$5+ROW()-26+$H$5,MATCH($F$5,'Raw Pressure Data'!$1:$1,0))+$G$5))),"")</f>
        <v/>
      </c>
      <c r="O49" s="26">
        <f>IFERROR(IF($F$6="","",IF($K$5+ROW()-26&gt;$K$6,"",IF(INDEX('Raw Pressure Data'!$A:$ZZ,$K$5+ROW()-26+$H$6,MATCH($F$6,'Raw Pressure Data'!$1:$1,0))=-999,"",INDEX('Raw Pressure Data'!$A:$ZZ,$K$5+ROW()-26+$H$6,MATCH($F$6,'Raw Pressure Data'!$1:$1,0))+$G$6))),"")</f>
        <v/>
      </c>
      <c r="P49" s="26">
        <f>IFERROR(IF($F$7="","",IF($K$5+ROW()-26&gt;$K$6,"",IF(INDEX('Raw Pressure Data'!$A:$ZZ,$K$5+ROW()-26+$H$7,MATCH($F$7,'Raw Pressure Data'!$1:$1,0))=-999,"",INDEX('Raw Pressure Data'!$A:$ZZ,$K$5+ROW()-26+$H$7,MATCH($F$7,'Raw Pressure Data'!$1:$1,0))+$G$7))),"")</f>
        <v/>
      </c>
      <c r="Q49" s="26">
        <f>IFERROR(IF($F$8="","",IF($K$5+ROW()-26&gt;$K$6,"",IF(INDEX('Raw Pressure Data'!$A:$ZZ,$K$5+ROW()-26+$H$8,MATCH($F$8,'Raw Pressure Data'!$1:$1,0))=-999,"",INDEX('Raw Pressure Data'!$A:$ZZ,$K$5+ROW()-26+$H$8,MATCH($F$8,'Raw Pressure Data'!$1:$1,0))+$G$8))),"")</f>
        <v/>
      </c>
      <c r="R49" s="26">
        <f>IFERROR(IF($F$9="","",IF($K$5+ROW()-26&gt;$K$6,"",IF(INDEX('Raw Pressure Data'!$A:$ZZ,$K$5+ROW()-26+$H$9,MATCH($F$9,'Raw Pressure Data'!$1:$1,0))=-999,"",INDEX('Raw Pressure Data'!$A:$ZZ,$K$5+ROW()-26+$H$9,MATCH($F$9,'Raw Pressure Data'!$1:$1,0))+$G$9))),"")</f>
        <v/>
      </c>
      <c r="S49" s="26">
        <f>IFERROR(IF($F$10="","",IF($K$5+ROW()-26&gt;$K$6,"",IF(INDEX('Raw Pressure Data'!$A:$ZZ,$K$5+ROW()-26+$H$10,MATCH($F$10,'Raw Pressure Data'!$1:$1,0))=-999,"",INDEX('Raw Pressure Data'!$A:$ZZ,$K$5+ROW()-26+$H$10,MATCH($F$10,'Raw Pressure Data'!$1:$1,0))+$G$10))),"")</f>
        <v/>
      </c>
      <c r="T49" s="26">
        <f>IFERROR(IF($F$11="","",IF($K$5+ROW()-26&gt;$K$6,"",IF(INDEX('Raw Pressure Data'!$A:$ZZ,$K$5+ROW()-26+$H$11,MATCH($F$11,'Raw Pressure Data'!$1:$1,0))=-999,"",INDEX('Raw Pressure Data'!$A:$ZZ,$K$5+ROW()-26+$H$11,MATCH($F$11,'Raw Pressure Data'!$1:$1,0))+$G$11))),"")</f>
        <v/>
      </c>
      <c r="U49" s="26">
        <f>IFERROR(IF($F$12="","",IF($K$5+ROW()-26&gt;$K$6,"",IF(INDEX('Raw Pressure Data'!$A:$ZZ,$K$5+ROW()-26+$H$12,MATCH($F$12,'Raw Pressure Data'!$1:$1,0))=-999,"",INDEX('Raw Pressure Data'!$A:$ZZ,$K$5+ROW()-26+$H$12,MATCH($F$12,'Raw Pressure Data'!$1:$1,0))+$G$12))),"")</f>
        <v/>
      </c>
      <c r="V49" s="26">
        <f>IFERROR(IF($F$13="","",IF($K$5+ROW()-26&gt;$K$6,"",IF(INDEX('Raw Pressure Data'!$A:$ZZ,$K$5+ROW()-26+$H$13,MATCH($F$13,'Raw Pressure Data'!$1:$1,0))=-999,"",INDEX('Raw Pressure Data'!$A:$ZZ,$K$5+ROW()-26+$H$13,MATCH($F$13,'Raw Pressure Data'!$1:$1,0))+$G$13))),"")</f>
        <v/>
      </c>
      <c r="W49" s="26">
        <f>IFERROR(IF($F$14="","",IF($K$5+ROW()-26&gt;$K$6,"",IF(INDEX('Raw Pressure Data'!$A:$ZZ,$K$5+ROW()-26+$H$14,MATCH($F$14,'Raw Pressure Data'!$1:$1,0))=-999,"",INDEX('Raw Pressure Data'!$A:$ZZ,$K$5+ROW()-26+$H$14,MATCH($F$14,'Raw Pressure Data'!$1:$1,0))+$G$14))),"")</f>
        <v/>
      </c>
      <c r="X49" s="26">
        <f>IFERROR(IF($F$15="","",IF($K$5+ROW()-26&gt;$K$6,"",IF(INDEX('Raw Pressure Data'!$A:$ZZ,$K$5+ROW()-26+$H$15,MATCH($F$15,'Raw Pressure Data'!$1:$1,0))=-999,"",INDEX('Raw Pressure Data'!$A:$ZZ,$K$5+ROW()-26+$H$15,MATCH($F$15,'Raw Pressure Data'!$1:$1,0))+$G$15))),"")</f>
        <v/>
      </c>
      <c r="Y49" s="26">
        <f>IFERROR(IF($F$16="","",IF($K$5+ROW()-26&gt;$K$6,"",IF(INDEX('Raw Pressure Data'!$A:$ZZ,$K$5+ROW()-26+$H$16,MATCH($F$16,'Raw Pressure Data'!$1:$1,0))=-999,"",INDEX('Raw Pressure Data'!$A:$ZZ,$K$5+ROW()-26+$H$16,MATCH($F$16,'Raw Pressure Data'!$1:$1,0))+$G$16))),"")</f>
        <v/>
      </c>
      <c r="Z49" s="26">
        <f>IFERROR(IF($F$17="","",IF($K$5+ROW()-26&gt;$K$6,"",IF(INDEX('Raw Pressure Data'!$A:$ZZ,$K$5+ROW()-26+$H$17,MATCH($F$17,'Raw Pressure Data'!$1:$1,0))=-999,"",INDEX('Raw Pressure Data'!$A:$ZZ,$K$5+ROW()-26+$H$17,MATCH($F$17,'Raw Pressure Data'!$1:$1,0))+$G$17))),"")</f>
        <v/>
      </c>
      <c r="AA49" s="26">
        <f>IFERROR(IF($F$18="","",IF($K$5+ROW()-26&gt;$K$6,"",IF(INDEX('Raw Pressure Data'!$A:$ZZ,$K$5+ROW()-26+$H$18,MATCH($F$18,'Raw Pressure Data'!$1:$1,0))=-999,"",INDEX('Raw Pressure Data'!$A:$ZZ,$K$5+ROW()-26+$H$18,MATCH($F$18,'Raw Pressure Data'!$1:$1,0))+$G$18))),"")</f>
        <v/>
      </c>
      <c r="AB49" s="26">
        <f>IFERROR(IF($F$19="","",IF($K$5+ROW()-26&gt;$K$6,"",IF(INDEX('Raw Pressure Data'!$A:$ZZ,$K$5+ROW()-26+$H$19,MATCH($F$19,'Raw Pressure Data'!$1:$1,0))=-999,"",INDEX('Raw Pressure Data'!$A:$ZZ,$K$5+ROW()-26+$H$19,MATCH($F$19,'Raw Pressure Data'!$1:$1,0))+$G$19))),"")</f>
        <v/>
      </c>
      <c r="AC49" s="26">
        <f>IFERROR(IF($F$20="","",IF($K$5+ROW()-26&gt;$K$6,"",IF(INDEX('Raw Pressure Data'!$A:$ZZ,$K$5+ROW()-26+$H$20,MATCH($F$20,'Raw Pressure Data'!$1:$1,0))=-999,"",INDEX('Raw Pressure Data'!$A:$ZZ,$K$5+ROW()-26+$H$20,MATCH($F$20,'Raw Pressure Data'!$1:$1,0))+$G$20))),"")</f>
        <v/>
      </c>
      <c r="AD49" s="26">
        <f>IFERROR(IF($F$21="","",IF($K$5+ROW()-26&gt;$K$6,"",IF(INDEX('Raw Pressure Data'!$A:$ZZ,$K$5+ROW()-26+$H$21,MATCH($F$21,'Raw Pressure Data'!$1:$1,0))=-999,"",INDEX('Raw Pressure Data'!$A:$ZZ,$K$5+ROW()-26+$H$21,MATCH($F$21,'Raw Pressure Data'!$1:$1,0))+$G$21))),"")</f>
        <v/>
      </c>
      <c r="AE49" s="26">
        <f>IFERROR(IF($F$22="","",IF($K$5+ROW()-26&gt;$K$6,"",IF(INDEX('Raw Pressure Data'!$A:$ZZ,$K$5+ROW()-26+$H$22,MATCH($F$22,'Raw Pressure Data'!$1:$1,0))=-999,"",INDEX('Raw Pressure Data'!$A:$ZZ,$K$5+ROW()-26+$H$22,MATCH($F$22,'Raw Pressure Data'!$1:$1,0))+$G$22))),"")</f>
        <v/>
      </c>
    </row>
    <row r="50" ht="15" customHeight="1">
      <c r="A50" s="23">
        <f>IFERROR(IF($K$5+ROW()-26&gt;$K$6,"",IF(INDEX('Raw Flow Data'!$A:$A,$K$5+ROW()-26)="","",INDEX('Raw Flow Data'!$A:$A,$K$5+ROW()-26))),"")</f>
        <v/>
      </c>
      <c r="B50" s="24">
        <f>IFERROR(IF($B$3="","",IF($K$5+ROW()-26&gt;$K$6,"",IF(INDEX('Raw Flow Data'!$A:$ZZ,$K$5+ROW()-26+$D$3,MATCH($B$3,'Raw Flow Data'!$1:$1,0))=-999,"",INDEX('Raw Flow Data'!$A:$ZZ,$K$5+ROW()-26+$D$3,MATCH($B$3,'Raw Flow Data'!$1:$1,0))*$C$3))),"")</f>
        <v/>
      </c>
      <c r="C50" s="24">
        <f>IFERROR(IF($B$4="","",IF($K$5+ROW()-26&gt;$K$6,"",IF(INDEX('Raw Flow Data'!$A:$ZZ,$K$5+ROW()-26+$D$4,MATCH($B$4,'Raw Flow Data'!$1:$1,0))=-999,"",INDEX('Raw Flow Data'!$A:$ZZ,$K$5+ROW()-26+$D$4,MATCH($B$4,'Raw Flow Data'!$1:$1,0))*$C$4))),"")</f>
        <v/>
      </c>
      <c r="D50" s="24">
        <f>IFERROR(IF($B$5="","",IF($K$5+ROW()-26&gt;$K$6,"",IF(INDEX('Raw Flow Data'!$A:$ZZ,$K$5+ROW()-26+$D$5,MATCH($B$5,'Raw Flow Data'!$1:$1,0))=-999,"",INDEX('Raw Flow Data'!$A:$ZZ,$K$5+ROW()-26+$D$5,MATCH($B$5,'Raw Flow Data'!$1:$1,0))*$C$5))),"")</f>
        <v/>
      </c>
      <c r="E50" s="24">
        <f>IFERROR(IF($B$6="","",IF($K$5+ROW()-26&gt;$K$6,"",IF(INDEX('Raw Flow Data'!$A:$ZZ,$K$5+ROW()-26+$D$6,MATCH($B$6,'Raw Flow Data'!$1:$1,0))=-999,"",INDEX('Raw Flow Data'!$A:$ZZ,$K$5+ROW()-26+$D$6,MATCH($B$6,'Raw Flow Data'!$1:$1,0))*$C$6))),"")</f>
        <v/>
      </c>
      <c r="F50" s="24">
        <f>IFERROR(IF($B$7="","",IF($K$5+ROW()-26&gt;$K$6,"",IF(INDEX('Raw Flow Data'!$A:$ZZ,$K$5+ROW()-26+$D$7,MATCH($B$7,'Raw Flow Data'!$1:$1,0))=-999,"",INDEX('Raw Flow Data'!$A:$ZZ,$K$5+ROW()-26+$D$7,MATCH($B$7,'Raw Flow Data'!$1:$1,0))*$C$7))),"")</f>
        <v/>
      </c>
      <c r="G50" s="24">
        <f>IFERROR(IF($B$8="","",IF($K$5+ROW()-26&gt;$K$6,"",IF(INDEX('Raw Flow Data'!$A:$ZZ,$K$5+ROW()-26+$D$8,MATCH($B$8,'Raw Flow Data'!$1:$1,0))=-999,"",INDEX('Raw Flow Data'!$A:$ZZ,$K$5+ROW()-26+$D$8,MATCH($B$8,'Raw Flow Data'!$1:$1,0))*$C$8))),"")</f>
        <v/>
      </c>
      <c r="H50" s="24">
        <f>IFERROR(IF($B$9="","",IF($K$5+ROW()-26&gt;$K$6,"",IF(INDEX('Raw Flow Data'!$A:$ZZ,$K$5+ROW()-26+$D$9,MATCH($B$9,'Raw Flow Data'!$1:$1,0))=-999,"",INDEX('Raw Flow Data'!$A:$ZZ,$K$5+ROW()-26+$D$9,MATCH($B$9,'Raw Flow Data'!$1:$1,0))*$C$9))),"")</f>
        <v/>
      </c>
      <c r="I50" s="24">
        <f>IFERROR(IF($B$10="","",IF($K$5+ROW()-26&gt;$K$6,"",IF(INDEX('Raw Flow Data'!$A:$ZZ,$K$5+ROW()-26+$D$10,MATCH($B$10,'Raw Flow Data'!$1:$1,0))=-999,"",INDEX('Raw Flow Data'!$A:$ZZ,$K$5+ROW()-26+$D$10,MATCH($B$10,'Raw Flow Data'!$1:$1,0))*$C$10))),"")</f>
        <v/>
      </c>
      <c r="J50" s="24">
        <f>IFERROR(IF($B$11="","",IF($K$5+ROW()-26&gt;$K$6,"",IF(INDEX('Raw Flow Data'!$A:$ZZ,$K$5+ROW()-26+$D$11,MATCH($B$11,'Raw Flow Data'!$1:$1,0))=-999,"",INDEX('Raw Flow Data'!$A:$ZZ,$K$5+ROW()-26+$D$11,MATCH($B$11,'Raw Flow Data'!$1:$1,0))*$C$11))),"")</f>
        <v/>
      </c>
      <c r="K50" s="24">
        <f>IFERROR(IF($B$12="","",IF($K$5+ROW()-26&gt;$K$6,"",IF(INDEX('Raw Flow Data'!$A:$ZZ,$K$5+ROW()-26+$D$12,MATCH($B$12,'Raw Flow Data'!$1:$1,0))=-999,"",INDEX('Raw Flow Data'!$A:$ZZ,$K$5+ROW()-26+$D$12,MATCH($B$12,'Raw Flow Data'!$1:$1,0))*$C$12))),"")</f>
        <v/>
      </c>
      <c r="L50" s="24">
        <f>IFERROR(IF($F$3="","",IF($K$5+ROW()-26&gt;$K$6,"",IF(INDEX('Raw Pressure Data'!$A:$ZZ,$K$5+ROW()-26+$H$3,MATCH($F$3,'Raw Pressure Data'!$1:$1,0))=-999,"",INDEX('Raw Pressure Data'!$A:$ZZ,$K$5+ROW()-26+$H$3,MATCH($F$3,'Raw Pressure Data'!$1:$1,0))+$G$3))),"")</f>
        <v/>
      </c>
      <c r="M50" s="24">
        <f>IFERROR(IF($F$4="","",IF($K$5+ROW()-26&gt;$K$6,"",IF(INDEX('Raw Pressure Data'!$A:$ZZ,$K$5+ROW()-26+$H$4,MATCH($F$4,'Raw Pressure Data'!$1:$1,0))=-999,"",INDEX('Raw Pressure Data'!$A:$ZZ,$K$5+ROW()-26+$H$4,MATCH($F$4,'Raw Pressure Data'!$1:$1,0))+$G$4))),"")</f>
        <v/>
      </c>
      <c r="N50" s="24">
        <f>IFERROR(IF($F$5="","",IF($K$5+ROW()-26&gt;$K$6,"",IF(INDEX('Raw Pressure Data'!$A:$ZZ,$K$5+ROW()-26+$H$5,MATCH($F$5,'Raw Pressure Data'!$1:$1,0))=-999,"",INDEX('Raw Pressure Data'!$A:$ZZ,$K$5+ROW()-26+$H$5,MATCH($F$5,'Raw Pressure Data'!$1:$1,0))+$G$5))),"")</f>
        <v/>
      </c>
      <c r="O50" s="24">
        <f>IFERROR(IF($F$6="","",IF($K$5+ROW()-26&gt;$K$6,"",IF(INDEX('Raw Pressure Data'!$A:$ZZ,$K$5+ROW()-26+$H$6,MATCH($F$6,'Raw Pressure Data'!$1:$1,0))=-999,"",INDEX('Raw Pressure Data'!$A:$ZZ,$K$5+ROW()-26+$H$6,MATCH($F$6,'Raw Pressure Data'!$1:$1,0))+$G$6))),"")</f>
        <v/>
      </c>
      <c r="P50" s="24">
        <f>IFERROR(IF($F$7="","",IF($K$5+ROW()-26&gt;$K$6,"",IF(INDEX('Raw Pressure Data'!$A:$ZZ,$K$5+ROW()-26+$H$7,MATCH($F$7,'Raw Pressure Data'!$1:$1,0))=-999,"",INDEX('Raw Pressure Data'!$A:$ZZ,$K$5+ROW()-26+$H$7,MATCH($F$7,'Raw Pressure Data'!$1:$1,0))+$G$7))),"")</f>
        <v/>
      </c>
      <c r="Q50" s="24">
        <f>IFERROR(IF($F$8="","",IF($K$5+ROW()-26&gt;$K$6,"",IF(INDEX('Raw Pressure Data'!$A:$ZZ,$K$5+ROW()-26+$H$8,MATCH($F$8,'Raw Pressure Data'!$1:$1,0))=-999,"",INDEX('Raw Pressure Data'!$A:$ZZ,$K$5+ROW()-26+$H$8,MATCH($F$8,'Raw Pressure Data'!$1:$1,0))+$G$8))),"")</f>
        <v/>
      </c>
      <c r="R50" s="24">
        <f>IFERROR(IF($F$9="","",IF($K$5+ROW()-26&gt;$K$6,"",IF(INDEX('Raw Pressure Data'!$A:$ZZ,$K$5+ROW()-26+$H$9,MATCH($F$9,'Raw Pressure Data'!$1:$1,0))=-999,"",INDEX('Raw Pressure Data'!$A:$ZZ,$K$5+ROW()-26+$H$9,MATCH($F$9,'Raw Pressure Data'!$1:$1,0))+$G$9))),"")</f>
        <v/>
      </c>
      <c r="S50" s="24">
        <f>IFERROR(IF($F$10="","",IF($K$5+ROW()-26&gt;$K$6,"",IF(INDEX('Raw Pressure Data'!$A:$ZZ,$K$5+ROW()-26+$H$10,MATCH($F$10,'Raw Pressure Data'!$1:$1,0))=-999,"",INDEX('Raw Pressure Data'!$A:$ZZ,$K$5+ROW()-26+$H$10,MATCH($F$10,'Raw Pressure Data'!$1:$1,0))+$G$10))),"")</f>
        <v/>
      </c>
      <c r="T50" s="24">
        <f>IFERROR(IF($F$11="","",IF($K$5+ROW()-26&gt;$K$6,"",IF(INDEX('Raw Pressure Data'!$A:$ZZ,$K$5+ROW()-26+$H$11,MATCH($F$11,'Raw Pressure Data'!$1:$1,0))=-999,"",INDEX('Raw Pressure Data'!$A:$ZZ,$K$5+ROW()-26+$H$11,MATCH($F$11,'Raw Pressure Data'!$1:$1,0))+$G$11))),"")</f>
        <v/>
      </c>
      <c r="U50" s="24">
        <f>IFERROR(IF($F$12="","",IF($K$5+ROW()-26&gt;$K$6,"",IF(INDEX('Raw Pressure Data'!$A:$ZZ,$K$5+ROW()-26+$H$12,MATCH($F$12,'Raw Pressure Data'!$1:$1,0))=-999,"",INDEX('Raw Pressure Data'!$A:$ZZ,$K$5+ROW()-26+$H$12,MATCH($F$12,'Raw Pressure Data'!$1:$1,0))+$G$12))),"")</f>
        <v/>
      </c>
      <c r="V50" s="24">
        <f>IFERROR(IF($F$13="","",IF($K$5+ROW()-26&gt;$K$6,"",IF(INDEX('Raw Pressure Data'!$A:$ZZ,$K$5+ROW()-26+$H$13,MATCH($F$13,'Raw Pressure Data'!$1:$1,0))=-999,"",INDEX('Raw Pressure Data'!$A:$ZZ,$K$5+ROW()-26+$H$13,MATCH($F$13,'Raw Pressure Data'!$1:$1,0))+$G$13))),"")</f>
        <v/>
      </c>
      <c r="W50" s="24">
        <f>IFERROR(IF($F$14="","",IF($K$5+ROW()-26&gt;$K$6,"",IF(INDEX('Raw Pressure Data'!$A:$ZZ,$K$5+ROW()-26+$H$14,MATCH($F$14,'Raw Pressure Data'!$1:$1,0))=-999,"",INDEX('Raw Pressure Data'!$A:$ZZ,$K$5+ROW()-26+$H$14,MATCH($F$14,'Raw Pressure Data'!$1:$1,0))+$G$14))),"")</f>
        <v/>
      </c>
      <c r="X50" s="24">
        <f>IFERROR(IF($F$15="","",IF($K$5+ROW()-26&gt;$K$6,"",IF(INDEX('Raw Pressure Data'!$A:$ZZ,$K$5+ROW()-26+$H$15,MATCH($F$15,'Raw Pressure Data'!$1:$1,0))=-999,"",INDEX('Raw Pressure Data'!$A:$ZZ,$K$5+ROW()-26+$H$15,MATCH($F$15,'Raw Pressure Data'!$1:$1,0))+$G$15))),"")</f>
        <v/>
      </c>
      <c r="Y50" s="24">
        <f>IFERROR(IF($F$16="","",IF($K$5+ROW()-26&gt;$K$6,"",IF(INDEX('Raw Pressure Data'!$A:$ZZ,$K$5+ROW()-26+$H$16,MATCH($F$16,'Raw Pressure Data'!$1:$1,0))=-999,"",INDEX('Raw Pressure Data'!$A:$ZZ,$K$5+ROW()-26+$H$16,MATCH($F$16,'Raw Pressure Data'!$1:$1,0))+$G$16))),"")</f>
        <v/>
      </c>
      <c r="Z50" s="24">
        <f>IFERROR(IF($F$17="","",IF($K$5+ROW()-26&gt;$K$6,"",IF(INDEX('Raw Pressure Data'!$A:$ZZ,$K$5+ROW()-26+$H$17,MATCH($F$17,'Raw Pressure Data'!$1:$1,0))=-999,"",INDEX('Raw Pressure Data'!$A:$ZZ,$K$5+ROW()-26+$H$17,MATCH($F$17,'Raw Pressure Data'!$1:$1,0))+$G$17))),"")</f>
        <v/>
      </c>
      <c r="AA50" s="24">
        <f>IFERROR(IF($F$18="","",IF($K$5+ROW()-26&gt;$K$6,"",IF(INDEX('Raw Pressure Data'!$A:$ZZ,$K$5+ROW()-26+$H$18,MATCH($F$18,'Raw Pressure Data'!$1:$1,0))=-999,"",INDEX('Raw Pressure Data'!$A:$ZZ,$K$5+ROW()-26+$H$18,MATCH($F$18,'Raw Pressure Data'!$1:$1,0))+$G$18))),"")</f>
        <v/>
      </c>
      <c r="AB50" s="24">
        <f>IFERROR(IF($F$19="","",IF($K$5+ROW()-26&gt;$K$6,"",IF(INDEX('Raw Pressure Data'!$A:$ZZ,$K$5+ROW()-26+$H$19,MATCH($F$19,'Raw Pressure Data'!$1:$1,0))=-999,"",INDEX('Raw Pressure Data'!$A:$ZZ,$K$5+ROW()-26+$H$19,MATCH($F$19,'Raw Pressure Data'!$1:$1,0))+$G$19))),"")</f>
        <v/>
      </c>
      <c r="AC50" s="24">
        <f>IFERROR(IF($F$20="","",IF($K$5+ROW()-26&gt;$K$6,"",IF(INDEX('Raw Pressure Data'!$A:$ZZ,$K$5+ROW()-26+$H$20,MATCH($F$20,'Raw Pressure Data'!$1:$1,0))=-999,"",INDEX('Raw Pressure Data'!$A:$ZZ,$K$5+ROW()-26+$H$20,MATCH($F$20,'Raw Pressure Data'!$1:$1,0))+$G$20))),"")</f>
        <v/>
      </c>
      <c r="AD50" s="24">
        <f>IFERROR(IF($F$21="","",IF($K$5+ROW()-26&gt;$K$6,"",IF(INDEX('Raw Pressure Data'!$A:$ZZ,$K$5+ROW()-26+$H$21,MATCH($F$21,'Raw Pressure Data'!$1:$1,0))=-999,"",INDEX('Raw Pressure Data'!$A:$ZZ,$K$5+ROW()-26+$H$21,MATCH($F$21,'Raw Pressure Data'!$1:$1,0))+$G$21))),"")</f>
        <v/>
      </c>
      <c r="AE50" s="24">
        <f>IFERROR(IF($F$22="","",IF($K$5+ROW()-26&gt;$K$6,"",IF(INDEX('Raw Pressure Data'!$A:$ZZ,$K$5+ROW()-26+$H$22,MATCH($F$22,'Raw Pressure Data'!$1:$1,0))=-999,"",INDEX('Raw Pressure Data'!$A:$ZZ,$K$5+ROW()-26+$H$22,MATCH($F$22,'Raw Pressure Data'!$1:$1,0))+$G$22))),"")</f>
        <v/>
      </c>
    </row>
    <row r="51" ht="15" customHeight="1">
      <c r="A51" s="25">
        <f>IFERROR(IF($K$5+ROW()-26&gt;$K$6,"",IF(INDEX('Raw Flow Data'!$A:$A,$K$5+ROW()-26)="","",INDEX('Raw Flow Data'!$A:$A,$K$5+ROW()-26))),"")</f>
        <v/>
      </c>
      <c r="B51" s="26">
        <f>IFERROR(IF($B$3="","",IF($K$5+ROW()-26&gt;$K$6,"",IF(INDEX('Raw Flow Data'!$A:$ZZ,$K$5+ROW()-26+$D$3,MATCH($B$3,'Raw Flow Data'!$1:$1,0))=-999,"",INDEX('Raw Flow Data'!$A:$ZZ,$K$5+ROW()-26+$D$3,MATCH($B$3,'Raw Flow Data'!$1:$1,0))*$C$3))),"")</f>
        <v/>
      </c>
      <c r="C51" s="26">
        <f>IFERROR(IF($B$4="","",IF($K$5+ROW()-26&gt;$K$6,"",IF(INDEX('Raw Flow Data'!$A:$ZZ,$K$5+ROW()-26+$D$4,MATCH($B$4,'Raw Flow Data'!$1:$1,0))=-999,"",INDEX('Raw Flow Data'!$A:$ZZ,$K$5+ROW()-26+$D$4,MATCH($B$4,'Raw Flow Data'!$1:$1,0))*$C$4))),"")</f>
        <v/>
      </c>
      <c r="D51" s="26">
        <f>IFERROR(IF($B$5="","",IF($K$5+ROW()-26&gt;$K$6,"",IF(INDEX('Raw Flow Data'!$A:$ZZ,$K$5+ROW()-26+$D$5,MATCH($B$5,'Raw Flow Data'!$1:$1,0))=-999,"",INDEX('Raw Flow Data'!$A:$ZZ,$K$5+ROW()-26+$D$5,MATCH($B$5,'Raw Flow Data'!$1:$1,0))*$C$5))),"")</f>
        <v/>
      </c>
      <c r="E51" s="26">
        <f>IFERROR(IF($B$6="","",IF($K$5+ROW()-26&gt;$K$6,"",IF(INDEX('Raw Flow Data'!$A:$ZZ,$K$5+ROW()-26+$D$6,MATCH($B$6,'Raw Flow Data'!$1:$1,0))=-999,"",INDEX('Raw Flow Data'!$A:$ZZ,$K$5+ROW()-26+$D$6,MATCH($B$6,'Raw Flow Data'!$1:$1,0))*$C$6))),"")</f>
        <v/>
      </c>
      <c r="F51" s="26">
        <f>IFERROR(IF($B$7="","",IF($K$5+ROW()-26&gt;$K$6,"",IF(INDEX('Raw Flow Data'!$A:$ZZ,$K$5+ROW()-26+$D$7,MATCH($B$7,'Raw Flow Data'!$1:$1,0))=-999,"",INDEX('Raw Flow Data'!$A:$ZZ,$K$5+ROW()-26+$D$7,MATCH($B$7,'Raw Flow Data'!$1:$1,0))*$C$7))),"")</f>
        <v/>
      </c>
      <c r="G51" s="26">
        <f>IFERROR(IF($B$8="","",IF($K$5+ROW()-26&gt;$K$6,"",IF(INDEX('Raw Flow Data'!$A:$ZZ,$K$5+ROW()-26+$D$8,MATCH($B$8,'Raw Flow Data'!$1:$1,0))=-999,"",INDEX('Raw Flow Data'!$A:$ZZ,$K$5+ROW()-26+$D$8,MATCH($B$8,'Raw Flow Data'!$1:$1,0))*$C$8))),"")</f>
        <v/>
      </c>
      <c r="H51" s="26">
        <f>IFERROR(IF($B$9="","",IF($K$5+ROW()-26&gt;$K$6,"",IF(INDEX('Raw Flow Data'!$A:$ZZ,$K$5+ROW()-26+$D$9,MATCH($B$9,'Raw Flow Data'!$1:$1,0))=-999,"",INDEX('Raw Flow Data'!$A:$ZZ,$K$5+ROW()-26+$D$9,MATCH($B$9,'Raw Flow Data'!$1:$1,0))*$C$9))),"")</f>
        <v/>
      </c>
      <c r="I51" s="26">
        <f>IFERROR(IF($B$10="","",IF($K$5+ROW()-26&gt;$K$6,"",IF(INDEX('Raw Flow Data'!$A:$ZZ,$K$5+ROW()-26+$D$10,MATCH($B$10,'Raw Flow Data'!$1:$1,0))=-999,"",INDEX('Raw Flow Data'!$A:$ZZ,$K$5+ROW()-26+$D$10,MATCH($B$10,'Raw Flow Data'!$1:$1,0))*$C$10))),"")</f>
        <v/>
      </c>
      <c r="J51" s="26">
        <f>IFERROR(IF($B$11="","",IF($K$5+ROW()-26&gt;$K$6,"",IF(INDEX('Raw Flow Data'!$A:$ZZ,$K$5+ROW()-26+$D$11,MATCH($B$11,'Raw Flow Data'!$1:$1,0))=-999,"",INDEX('Raw Flow Data'!$A:$ZZ,$K$5+ROW()-26+$D$11,MATCH($B$11,'Raw Flow Data'!$1:$1,0))*$C$11))),"")</f>
        <v/>
      </c>
      <c r="K51" s="26">
        <f>IFERROR(IF($B$12="","",IF($K$5+ROW()-26&gt;$K$6,"",IF(INDEX('Raw Flow Data'!$A:$ZZ,$K$5+ROW()-26+$D$12,MATCH($B$12,'Raw Flow Data'!$1:$1,0))=-999,"",INDEX('Raw Flow Data'!$A:$ZZ,$K$5+ROW()-26+$D$12,MATCH($B$12,'Raw Flow Data'!$1:$1,0))*$C$12))),"")</f>
        <v/>
      </c>
      <c r="L51" s="26">
        <f>IFERROR(IF($F$3="","",IF($K$5+ROW()-26&gt;$K$6,"",IF(INDEX('Raw Pressure Data'!$A:$ZZ,$K$5+ROW()-26+$H$3,MATCH($F$3,'Raw Pressure Data'!$1:$1,0))=-999,"",INDEX('Raw Pressure Data'!$A:$ZZ,$K$5+ROW()-26+$H$3,MATCH($F$3,'Raw Pressure Data'!$1:$1,0))+$G$3))),"")</f>
        <v/>
      </c>
      <c r="M51" s="26">
        <f>IFERROR(IF($F$4="","",IF($K$5+ROW()-26&gt;$K$6,"",IF(INDEX('Raw Pressure Data'!$A:$ZZ,$K$5+ROW()-26+$H$4,MATCH($F$4,'Raw Pressure Data'!$1:$1,0))=-999,"",INDEX('Raw Pressure Data'!$A:$ZZ,$K$5+ROW()-26+$H$4,MATCH($F$4,'Raw Pressure Data'!$1:$1,0))+$G$4))),"")</f>
        <v/>
      </c>
      <c r="N51" s="26">
        <f>IFERROR(IF($F$5="","",IF($K$5+ROW()-26&gt;$K$6,"",IF(INDEX('Raw Pressure Data'!$A:$ZZ,$K$5+ROW()-26+$H$5,MATCH($F$5,'Raw Pressure Data'!$1:$1,0))=-999,"",INDEX('Raw Pressure Data'!$A:$ZZ,$K$5+ROW()-26+$H$5,MATCH($F$5,'Raw Pressure Data'!$1:$1,0))+$G$5))),"")</f>
        <v/>
      </c>
      <c r="O51" s="26">
        <f>IFERROR(IF($F$6="","",IF($K$5+ROW()-26&gt;$K$6,"",IF(INDEX('Raw Pressure Data'!$A:$ZZ,$K$5+ROW()-26+$H$6,MATCH($F$6,'Raw Pressure Data'!$1:$1,0))=-999,"",INDEX('Raw Pressure Data'!$A:$ZZ,$K$5+ROW()-26+$H$6,MATCH($F$6,'Raw Pressure Data'!$1:$1,0))+$G$6))),"")</f>
        <v/>
      </c>
      <c r="P51" s="26">
        <f>IFERROR(IF($F$7="","",IF($K$5+ROW()-26&gt;$K$6,"",IF(INDEX('Raw Pressure Data'!$A:$ZZ,$K$5+ROW()-26+$H$7,MATCH($F$7,'Raw Pressure Data'!$1:$1,0))=-999,"",INDEX('Raw Pressure Data'!$A:$ZZ,$K$5+ROW()-26+$H$7,MATCH($F$7,'Raw Pressure Data'!$1:$1,0))+$G$7))),"")</f>
        <v/>
      </c>
      <c r="Q51" s="26">
        <f>IFERROR(IF($F$8="","",IF($K$5+ROW()-26&gt;$K$6,"",IF(INDEX('Raw Pressure Data'!$A:$ZZ,$K$5+ROW()-26+$H$8,MATCH($F$8,'Raw Pressure Data'!$1:$1,0))=-999,"",INDEX('Raw Pressure Data'!$A:$ZZ,$K$5+ROW()-26+$H$8,MATCH($F$8,'Raw Pressure Data'!$1:$1,0))+$G$8))),"")</f>
        <v/>
      </c>
      <c r="R51" s="26">
        <f>IFERROR(IF($F$9="","",IF($K$5+ROW()-26&gt;$K$6,"",IF(INDEX('Raw Pressure Data'!$A:$ZZ,$K$5+ROW()-26+$H$9,MATCH($F$9,'Raw Pressure Data'!$1:$1,0))=-999,"",INDEX('Raw Pressure Data'!$A:$ZZ,$K$5+ROW()-26+$H$9,MATCH($F$9,'Raw Pressure Data'!$1:$1,0))+$G$9))),"")</f>
        <v/>
      </c>
      <c r="S51" s="26">
        <f>IFERROR(IF($F$10="","",IF($K$5+ROW()-26&gt;$K$6,"",IF(INDEX('Raw Pressure Data'!$A:$ZZ,$K$5+ROW()-26+$H$10,MATCH($F$10,'Raw Pressure Data'!$1:$1,0))=-999,"",INDEX('Raw Pressure Data'!$A:$ZZ,$K$5+ROW()-26+$H$10,MATCH($F$10,'Raw Pressure Data'!$1:$1,0))+$G$10))),"")</f>
        <v/>
      </c>
      <c r="T51" s="26">
        <f>IFERROR(IF($F$11="","",IF($K$5+ROW()-26&gt;$K$6,"",IF(INDEX('Raw Pressure Data'!$A:$ZZ,$K$5+ROW()-26+$H$11,MATCH($F$11,'Raw Pressure Data'!$1:$1,0))=-999,"",INDEX('Raw Pressure Data'!$A:$ZZ,$K$5+ROW()-26+$H$11,MATCH($F$11,'Raw Pressure Data'!$1:$1,0))+$G$11))),"")</f>
        <v/>
      </c>
      <c r="U51" s="26">
        <f>IFERROR(IF($F$12="","",IF($K$5+ROW()-26&gt;$K$6,"",IF(INDEX('Raw Pressure Data'!$A:$ZZ,$K$5+ROW()-26+$H$12,MATCH($F$12,'Raw Pressure Data'!$1:$1,0))=-999,"",INDEX('Raw Pressure Data'!$A:$ZZ,$K$5+ROW()-26+$H$12,MATCH($F$12,'Raw Pressure Data'!$1:$1,0))+$G$12))),"")</f>
        <v/>
      </c>
      <c r="V51" s="26">
        <f>IFERROR(IF($F$13="","",IF($K$5+ROW()-26&gt;$K$6,"",IF(INDEX('Raw Pressure Data'!$A:$ZZ,$K$5+ROW()-26+$H$13,MATCH($F$13,'Raw Pressure Data'!$1:$1,0))=-999,"",INDEX('Raw Pressure Data'!$A:$ZZ,$K$5+ROW()-26+$H$13,MATCH($F$13,'Raw Pressure Data'!$1:$1,0))+$G$13))),"")</f>
        <v/>
      </c>
      <c r="W51" s="26">
        <f>IFERROR(IF($F$14="","",IF($K$5+ROW()-26&gt;$K$6,"",IF(INDEX('Raw Pressure Data'!$A:$ZZ,$K$5+ROW()-26+$H$14,MATCH($F$14,'Raw Pressure Data'!$1:$1,0))=-999,"",INDEX('Raw Pressure Data'!$A:$ZZ,$K$5+ROW()-26+$H$14,MATCH($F$14,'Raw Pressure Data'!$1:$1,0))+$G$14))),"")</f>
        <v/>
      </c>
      <c r="X51" s="26">
        <f>IFERROR(IF($F$15="","",IF($K$5+ROW()-26&gt;$K$6,"",IF(INDEX('Raw Pressure Data'!$A:$ZZ,$K$5+ROW()-26+$H$15,MATCH($F$15,'Raw Pressure Data'!$1:$1,0))=-999,"",INDEX('Raw Pressure Data'!$A:$ZZ,$K$5+ROW()-26+$H$15,MATCH($F$15,'Raw Pressure Data'!$1:$1,0))+$G$15))),"")</f>
        <v/>
      </c>
      <c r="Y51" s="26">
        <f>IFERROR(IF($F$16="","",IF($K$5+ROW()-26&gt;$K$6,"",IF(INDEX('Raw Pressure Data'!$A:$ZZ,$K$5+ROW()-26+$H$16,MATCH($F$16,'Raw Pressure Data'!$1:$1,0))=-999,"",INDEX('Raw Pressure Data'!$A:$ZZ,$K$5+ROW()-26+$H$16,MATCH($F$16,'Raw Pressure Data'!$1:$1,0))+$G$16))),"")</f>
        <v/>
      </c>
      <c r="Z51" s="26">
        <f>IFERROR(IF($F$17="","",IF($K$5+ROW()-26&gt;$K$6,"",IF(INDEX('Raw Pressure Data'!$A:$ZZ,$K$5+ROW()-26+$H$17,MATCH($F$17,'Raw Pressure Data'!$1:$1,0))=-999,"",INDEX('Raw Pressure Data'!$A:$ZZ,$K$5+ROW()-26+$H$17,MATCH($F$17,'Raw Pressure Data'!$1:$1,0))+$G$17))),"")</f>
        <v/>
      </c>
      <c r="AA51" s="26">
        <f>IFERROR(IF($F$18="","",IF($K$5+ROW()-26&gt;$K$6,"",IF(INDEX('Raw Pressure Data'!$A:$ZZ,$K$5+ROW()-26+$H$18,MATCH($F$18,'Raw Pressure Data'!$1:$1,0))=-999,"",INDEX('Raw Pressure Data'!$A:$ZZ,$K$5+ROW()-26+$H$18,MATCH($F$18,'Raw Pressure Data'!$1:$1,0))+$G$18))),"")</f>
        <v/>
      </c>
      <c r="AB51" s="26">
        <f>IFERROR(IF($F$19="","",IF($K$5+ROW()-26&gt;$K$6,"",IF(INDEX('Raw Pressure Data'!$A:$ZZ,$K$5+ROW()-26+$H$19,MATCH($F$19,'Raw Pressure Data'!$1:$1,0))=-999,"",INDEX('Raw Pressure Data'!$A:$ZZ,$K$5+ROW()-26+$H$19,MATCH($F$19,'Raw Pressure Data'!$1:$1,0))+$G$19))),"")</f>
        <v/>
      </c>
      <c r="AC51" s="26">
        <f>IFERROR(IF($F$20="","",IF($K$5+ROW()-26&gt;$K$6,"",IF(INDEX('Raw Pressure Data'!$A:$ZZ,$K$5+ROW()-26+$H$20,MATCH($F$20,'Raw Pressure Data'!$1:$1,0))=-999,"",INDEX('Raw Pressure Data'!$A:$ZZ,$K$5+ROW()-26+$H$20,MATCH($F$20,'Raw Pressure Data'!$1:$1,0))+$G$20))),"")</f>
        <v/>
      </c>
      <c r="AD51" s="26">
        <f>IFERROR(IF($F$21="","",IF($K$5+ROW()-26&gt;$K$6,"",IF(INDEX('Raw Pressure Data'!$A:$ZZ,$K$5+ROW()-26+$H$21,MATCH($F$21,'Raw Pressure Data'!$1:$1,0))=-999,"",INDEX('Raw Pressure Data'!$A:$ZZ,$K$5+ROW()-26+$H$21,MATCH($F$21,'Raw Pressure Data'!$1:$1,0))+$G$21))),"")</f>
        <v/>
      </c>
      <c r="AE51" s="26">
        <f>IFERROR(IF($F$22="","",IF($K$5+ROW()-26&gt;$K$6,"",IF(INDEX('Raw Pressure Data'!$A:$ZZ,$K$5+ROW()-26+$H$22,MATCH($F$22,'Raw Pressure Data'!$1:$1,0))=-999,"",INDEX('Raw Pressure Data'!$A:$ZZ,$K$5+ROW()-26+$H$22,MATCH($F$22,'Raw Pressure Data'!$1:$1,0))+$G$22))),"")</f>
        <v/>
      </c>
    </row>
    <row r="52" ht="15" customHeight="1">
      <c r="A52" s="23">
        <f>IFERROR(IF($K$5+ROW()-26&gt;$K$6,"",IF(INDEX('Raw Flow Data'!$A:$A,$K$5+ROW()-26)="","",INDEX('Raw Flow Data'!$A:$A,$K$5+ROW()-26))),"")</f>
        <v/>
      </c>
      <c r="B52" s="24">
        <f>IFERROR(IF($B$3="","",IF($K$5+ROW()-26&gt;$K$6,"",IF(INDEX('Raw Flow Data'!$A:$ZZ,$K$5+ROW()-26+$D$3,MATCH($B$3,'Raw Flow Data'!$1:$1,0))=-999,"",INDEX('Raw Flow Data'!$A:$ZZ,$K$5+ROW()-26+$D$3,MATCH($B$3,'Raw Flow Data'!$1:$1,0))*$C$3))),"")</f>
        <v/>
      </c>
      <c r="C52" s="24">
        <f>IFERROR(IF($B$4="","",IF($K$5+ROW()-26&gt;$K$6,"",IF(INDEX('Raw Flow Data'!$A:$ZZ,$K$5+ROW()-26+$D$4,MATCH($B$4,'Raw Flow Data'!$1:$1,0))=-999,"",INDEX('Raw Flow Data'!$A:$ZZ,$K$5+ROW()-26+$D$4,MATCH($B$4,'Raw Flow Data'!$1:$1,0))*$C$4))),"")</f>
        <v/>
      </c>
      <c r="D52" s="24">
        <f>IFERROR(IF($B$5="","",IF($K$5+ROW()-26&gt;$K$6,"",IF(INDEX('Raw Flow Data'!$A:$ZZ,$K$5+ROW()-26+$D$5,MATCH($B$5,'Raw Flow Data'!$1:$1,0))=-999,"",INDEX('Raw Flow Data'!$A:$ZZ,$K$5+ROW()-26+$D$5,MATCH($B$5,'Raw Flow Data'!$1:$1,0))*$C$5))),"")</f>
        <v/>
      </c>
      <c r="E52" s="24">
        <f>IFERROR(IF($B$6="","",IF($K$5+ROW()-26&gt;$K$6,"",IF(INDEX('Raw Flow Data'!$A:$ZZ,$K$5+ROW()-26+$D$6,MATCH($B$6,'Raw Flow Data'!$1:$1,0))=-999,"",INDEX('Raw Flow Data'!$A:$ZZ,$K$5+ROW()-26+$D$6,MATCH($B$6,'Raw Flow Data'!$1:$1,0))*$C$6))),"")</f>
        <v/>
      </c>
      <c r="F52" s="24">
        <f>IFERROR(IF($B$7="","",IF($K$5+ROW()-26&gt;$K$6,"",IF(INDEX('Raw Flow Data'!$A:$ZZ,$K$5+ROW()-26+$D$7,MATCH($B$7,'Raw Flow Data'!$1:$1,0))=-999,"",INDEX('Raw Flow Data'!$A:$ZZ,$K$5+ROW()-26+$D$7,MATCH($B$7,'Raw Flow Data'!$1:$1,0))*$C$7))),"")</f>
        <v/>
      </c>
      <c r="G52" s="24">
        <f>IFERROR(IF($B$8="","",IF($K$5+ROW()-26&gt;$K$6,"",IF(INDEX('Raw Flow Data'!$A:$ZZ,$K$5+ROW()-26+$D$8,MATCH($B$8,'Raw Flow Data'!$1:$1,0))=-999,"",INDEX('Raw Flow Data'!$A:$ZZ,$K$5+ROW()-26+$D$8,MATCH($B$8,'Raw Flow Data'!$1:$1,0))*$C$8))),"")</f>
        <v/>
      </c>
      <c r="H52" s="24">
        <f>IFERROR(IF($B$9="","",IF($K$5+ROW()-26&gt;$K$6,"",IF(INDEX('Raw Flow Data'!$A:$ZZ,$K$5+ROW()-26+$D$9,MATCH($B$9,'Raw Flow Data'!$1:$1,0))=-999,"",INDEX('Raw Flow Data'!$A:$ZZ,$K$5+ROW()-26+$D$9,MATCH($B$9,'Raw Flow Data'!$1:$1,0))*$C$9))),"")</f>
        <v/>
      </c>
      <c r="I52" s="24">
        <f>IFERROR(IF($B$10="","",IF($K$5+ROW()-26&gt;$K$6,"",IF(INDEX('Raw Flow Data'!$A:$ZZ,$K$5+ROW()-26+$D$10,MATCH($B$10,'Raw Flow Data'!$1:$1,0))=-999,"",INDEX('Raw Flow Data'!$A:$ZZ,$K$5+ROW()-26+$D$10,MATCH($B$10,'Raw Flow Data'!$1:$1,0))*$C$10))),"")</f>
        <v/>
      </c>
      <c r="J52" s="24">
        <f>IFERROR(IF($B$11="","",IF($K$5+ROW()-26&gt;$K$6,"",IF(INDEX('Raw Flow Data'!$A:$ZZ,$K$5+ROW()-26+$D$11,MATCH($B$11,'Raw Flow Data'!$1:$1,0))=-999,"",INDEX('Raw Flow Data'!$A:$ZZ,$K$5+ROW()-26+$D$11,MATCH($B$11,'Raw Flow Data'!$1:$1,0))*$C$11))),"")</f>
        <v/>
      </c>
      <c r="K52" s="24">
        <f>IFERROR(IF($B$12="","",IF($K$5+ROW()-26&gt;$K$6,"",IF(INDEX('Raw Flow Data'!$A:$ZZ,$K$5+ROW()-26+$D$12,MATCH($B$12,'Raw Flow Data'!$1:$1,0))=-999,"",INDEX('Raw Flow Data'!$A:$ZZ,$K$5+ROW()-26+$D$12,MATCH($B$12,'Raw Flow Data'!$1:$1,0))*$C$12))),"")</f>
        <v/>
      </c>
      <c r="L52" s="24">
        <f>IFERROR(IF($F$3="","",IF($K$5+ROW()-26&gt;$K$6,"",IF(INDEX('Raw Pressure Data'!$A:$ZZ,$K$5+ROW()-26+$H$3,MATCH($F$3,'Raw Pressure Data'!$1:$1,0))=-999,"",INDEX('Raw Pressure Data'!$A:$ZZ,$K$5+ROW()-26+$H$3,MATCH($F$3,'Raw Pressure Data'!$1:$1,0))+$G$3))),"")</f>
        <v/>
      </c>
      <c r="M52" s="24">
        <f>IFERROR(IF($F$4="","",IF($K$5+ROW()-26&gt;$K$6,"",IF(INDEX('Raw Pressure Data'!$A:$ZZ,$K$5+ROW()-26+$H$4,MATCH($F$4,'Raw Pressure Data'!$1:$1,0))=-999,"",INDEX('Raw Pressure Data'!$A:$ZZ,$K$5+ROW()-26+$H$4,MATCH($F$4,'Raw Pressure Data'!$1:$1,0))+$G$4))),"")</f>
        <v/>
      </c>
      <c r="N52" s="24">
        <f>IFERROR(IF($F$5="","",IF($K$5+ROW()-26&gt;$K$6,"",IF(INDEX('Raw Pressure Data'!$A:$ZZ,$K$5+ROW()-26+$H$5,MATCH($F$5,'Raw Pressure Data'!$1:$1,0))=-999,"",INDEX('Raw Pressure Data'!$A:$ZZ,$K$5+ROW()-26+$H$5,MATCH($F$5,'Raw Pressure Data'!$1:$1,0))+$G$5))),"")</f>
        <v/>
      </c>
      <c r="O52" s="24">
        <f>IFERROR(IF($F$6="","",IF($K$5+ROW()-26&gt;$K$6,"",IF(INDEX('Raw Pressure Data'!$A:$ZZ,$K$5+ROW()-26+$H$6,MATCH($F$6,'Raw Pressure Data'!$1:$1,0))=-999,"",INDEX('Raw Pressure Data'!$A:$ZZ,$K$5+ROW()-26+$H$6,MATCH($F$6,'Raw Pressure Data'!$1:$1,0))+$G$6))),"")</f>
        <v/>
      </c>
      <c r="P52" s="24">
        <f>IFERROR(IF($F$7="","",IF($K$5+ROW()-26&gt;$K$6,"",IF(INDEX('Raw Pressure Data'!$A:$ZZ,$K$5+ROW()-26+$H$7,MATCH($F$7,'Raw Pressure Data'!$1:$1,0))=-999,"",INDEX('Raw Pressure Data'!$A:$ZZ,$K$5+ROW()-26+$H$7,MATCH($F$7,'Raw Pressure Data'!$1:$1,0))+$G$7))),"")</f>
        <v/>
      </c>
      <c r="Q52" s="24">
        <f>IFERROR(IF($F$8="","",IF($K$5+ROW()-26&gt;$K$6,"",IF(INDEX('Raw Pressure Data'!$A:$ZZ,$K$5+ROW()-26+$H$8,MATCH($F$8,'Raw Pressure Data'!$1:$1,0))=-999,"",INDEX('Raw Pressure Data'!$A:$ZZ,$K$5+ROW()-26+$H$8,MATCH($F$8,'Raw Pressure Data'!$1:$1,0))+$G$8))),"")</f>
        <v/>
      </c>
      <c r="R52" s="24">
        <f>IFERROR(IF($F$9="","",IF($K$5+ROW()-26&gt;$K$6,"",IF(INDEX('Raw Pressure Data'!$A:$ZZ,$K$5+ROW()-26+$H$9,MATCH($F$9,'Raw Pressure Data'!$1:$1,0))=-999,"",INDEX('Raw Pressure Data'!$A:$ZZ,$K$5+ROW()-26+$H$9,MATCH($F$9,'Raw Pressure Data'!$1:$1,0))+$G$9))),"")</f>
        <v/>
      </c>
      <c r="S52" s="24">
        <f>IFERROR(IF($F$10="","",IF($K$5+ROW()-26&gt;$K$6,"",IF(INDEX('Raw Pressure Data'!$A:$ZZ,$K$5+ROW()-26+$H$10,MATCH($F$10,'Raw Pressure Data'!$1:$1,0))=-999,"",INDEX('Raw Pressure Data'!$A:$ZZ,$K$5+ROW()-26+$H$10,MATCH($F$10,'Raw Pressure Data'!$1:$1,0))+$G$10))),"")</f>
        <v/>
      </c>
      <c r="T52" s="24">
        <f>IFERROR(IF($F$11="","",IF($K$5+ROW()-26&gt;$K$6,"",IF(INDEX('Raw Pressure Data'!$A:$ZZ,$K$5+ROW()-26+$H$11,MATCH($F$11,'Raw Pressure Data'!$1:$1,0))=-999,"",INDEX('Raw Pressure Data'!$A:$ZZ,$K$5+ROW()-26+$H$11,MATCH($F$11,'Raw Pressure Data'!$1:$1,0))+$G$11))),"")</f>
        <v/>
      </c>
      <c r="U52" s="24">
        <f>IFERROR(IF($F$12="","",IF($K$5+ROW()-26&gt;$K$6,"",IF(INDEX('Raw Pressure Data'!$A:$ZZ,$K$5+ROW()-26+$H$12,MATCH($F$12,'Raw Pressure Data'!$1:$1,0))=-999,"",INDEX('Raw Pressure Data'!$A:$ZZ,$K$5+ROW()-26+$H$12,MATCH($F$12,'Raw Pressure Data'!$1:$1,0))+$G$12))),"")</f>
        <v/>
      </c>
      <c r="V52" s="24">
        <f>IFERROR(IF($F$13="","",IF($K$5+ROW()-26&gt;$K$6,"",IF(INDEX('Raw Pressure Data'!$A:$ZZ,$K$5+ROW()-26+$H$13,MATCH($F$13,'Raw Pressure Data'!$1:$1,0))=-999,"",INDEX('Raw Pressure Data'!$A:$ZZ,$K$5+ROW()-26+$H$13,MATCH($F$13,'Raw Pressure Data'!$1:$1,0))+$G$13))),"")</f>
        <v/>
      </c>
      <c r="W52" s="24">
        <f>IFERROR(IF($F$14="","",IF($K$5+ROW()-26&gt;$K$6,"",IF(INDEX('Raw Pressure Data'!$A:$ZZ,$K$5+ROW()-26+$H$14,MATCH($F$14,'Raw Pressure Data'!$1:$1,0))=-999,"",INDEX('Raw Pressure Data'!$A:$ZZ,$K$5+ROW()-26+$H$14,MATCH($F$14,'Raw Pressure Data'!$1:$1,0))+$G$14))),"")</f>
        <v/>
      </c>
      <c r="X52" s="24">
        <f>IFERROR(IF($F$15="","",IF($K$5+ROW()-26&gt;$K$6,"",IF(INDEX('Raw Pressure Data'!$A:$ZZ,$K$5+ROW()-26+$H$15,MATCH($F$15,'Raw Pressure Data'!$1:$1,0))=-999,"",INDEX('Raw Pressure Data'!$A:$ZZ,$K$5+ROW()-26+$H$15,MATCH($F$15,'Raw Pressure Data'!$1:$1,0))+$G$15))),"")</f>
        <v/>
      </c>
      <c r="Y52" s="24">
        <f>IFERROR(IF($F$16="","",IF($K$5+ROW()-26&gt;$K$6,"",IF(INDEX('Raw Pressure Data'!$A:$ZZ,$K$5+ROW()-26+$H$16,MATCH($F$16,'Raw Pressure Data'!$1:$1,0))=-999,"",INDEX('Raw Pressure Data'!$A:$ZZ,$K$5+ROW()-26+$H$16,MATCH($F$16,'Raw Pressure Data'!$1:$1,0))+$G$16))),"")</f>
        <v/>
      </c>
      <c r="Z52" s="24">
        <f>IFERROR(IF($F$17="","",IF($K$5+ROW()-26&gt;$K$6,"",IF(INDEX('Raw Pressure Data'!$A:$ZZ,$K$5+ROW()-26+$H$17,MATCH($F$17,'Raw Pressure Data'!$1:$1,0))=-999,"",INDEX('Raw Pressure Data'!$A:$ZZ,$K$5+ROW()-26+$H$17,MATCH($F$17,'Raw Pressure Data'!$1:$1,0))+$G$17))),"")</f>
        <v/>
      </c>
      <c r="AA52" s="24">
        <f>IFERROR(IF($F$18="","",IF($K$5+ROW()-26&gt;$K$6,"",IF(INDEX('Raw Pressure Data'!$A:$ZZ,$K$5+ROW()-26+$H$18,MATCH($F$18,'Raw Pressure Data'!$1:$1,0))=-999,"",INDEX('Raw Pressure Data'!$A:$ZZ,$K$5+ROW()-26+$H$18,MATCH($F$18,'Raw Pressure Data'!$1:$1,0))+$G$18))),"")</f>
        <v/>
      </c>
      <c r="AB52" s="24">
        <f>IFERROR(IF($F$19="","",IF($K$5+ROW()-26&gt;$K$6,"",IF(INDEX('Raw Pressure Data'!$A:$ZZ,$K$5+ROW()-26+$H$19,MATCH($F$19,'Raw Pressure Data'!$1:$1,0))=-999,"",INDEX('Raw Pressure Data'!$A:$ZZ,$K$5+ROW()-26+$H$19,MATCH($F$19,'Raw Pressure Data'!$1:$1,0))+$G$19))),"")</f>
        <v/>
      </c>
      <c r="AC52" s="24">
        <f>IFERROR(IF($F$20="","",IF($K$5+ROW()-26&gt;$K$6,"",IF(INDEX('Raw Pressure Data'!$A:$ZZ,$K$5+ROW()-26+$H$20,MATCH($F$20,'Raw Pressure Data'!$1:$1,0))=-999,"",INDEX('Raw Pressure Data'!$A:$ZZ,$K$5+ROW()-26+$H$20,MATCH($F$20,'Raw Pressure Data'!$1:$1,0))+$G$20))),"")</f>
        <v/>
      </c>
      <c r="AD52" s="24">
        <f>IFERROR(IF($F$21="","",IF($K$5+ROW()-26&gt;$K$6,"",IF(INDEX('Raw Pressure Data'!$A:$ZZ,$K$5+ROW()-26+$H$21,MATCH($F$21,'Raw Pressure Data'!$1:$1,0))=-999,"",INDEX('Raw Pressure Data'!$A:$ZZ,$K$5+ROW()-26+$H$21,MATCH($F$21,'Raw Pressure Data'!$1:$1,0))+$G$21))),"")</f>
        <v/>
      </c>
      <c r="AE52" s="24">
        <f>IFERROR(IF($F$22="","",IF($K$5+ROW()-26&gt;$K$6,"",IF(INDEX('Raw Pressure Data'!$A:$ZZ,$K$5+ROW()-26+$H$22,MATCH($F$22,'Raw Pressure Data'!$1:$1,0))=-999,"",INDEX('Raw Pressure Data'!$A:$ZZ,$K$5+ROW()-26+$H$22,MATCH($F$22,'Raw Pressure Data'!$1:$1,0))+$G$22))),"")</f>
        <v/>
      </c>
    </row>
    <row r="53" ht="15" customHeight="1">
      <c r="A53" s="25">
        <f>IFERROR(IF($K$5+ROW()-26&gt;$K$6,"",IF(INDEX('Raw Flow Data'!$A:$A,$K$5+ROW()-26)="","",INDEX('Raw Flow Data'!$A:$A,$K$5+ROW()-26))),"")</f>
        <v/>
      </c>
      <c r="B53" s="26">
        <f>IFERROR(IF($B$3="","",IF($K$5+ROW()-26&gt;$K$6,"",IF(INDEX('Raw Flow Data'!$A:$ZZ,$K$5+ROW()-26+$D$3,MATCH($B$3,'Raw Flow Data'!$1:$1,0))=-999,"",INDEX('Raw Flow Data'!$A:$ZZ,$K$5+ROW()-26+$D$3,MATCH($B$3,'Raw Flow Data'!$1:$1,0))*$C$3))),"")</f>
        <v/>
      </c>
      <c r="C53" s="26">
        <f>IFERROR(IF($B$4="","",IF($K$5+ROW()-26&gt;$K$6,"",IF(INDEX('Raw Flow Data'!$A:$ZZ,$K$5+ROW()-26+$D$4,MATCH($B$4,'Raw Flow Data'!$1:$1,0))=-999,"",INDEX('Raw Flow Data'!$A:$ZZ,$K$5+ROW()-26+$D$4,MATCH($B$4,'Raw Flow Data'!$1:$1,0))*$C$4))),"")</f>
        <v/>
      </c>
      <c r="D53" s="26">
        <f>IFERROR(IF($B$5="","",IF($K$5+ROW()-26&gt;$K$6,"",IF(INDEX('Raw Flow Data'!$A:$ZZ,$K$5+ROW()-26+$D$5,MATCH($B$5,'Raw Flow Data'!$1:$1,0))=-999,"",INDEX('Raw Flow Data'!$A:$ZZ,$K$5+ROW()-26+$D$5,MATCH($B$5,'Raw Flow Data'!$1:$1,0))*$C$5))),"")</f>
        <v/>
      </c>
      <c r="E53" s="26">
        <f>IFERROR(IF($B$6="","",IF($K$5+ROW()-26&gt;$K$6,"",IF(INDEX('Raw Flow Data'!$A:$ZZ,$K$5+ROW()-26+$D$6,MATCH($B$6,'Raw Flow Data'!$1:$1,0))=-999,"",INDEX('Raw Flow Data'!$A:$ZZ,$K$5+ROW()-26+$D$6,MATCH($B$6,'Raw Flow Data'!$1:$1,0))*$C$6))),"")</f>
        <v/>
      </c>
      <c r="F53" s="26">
        <f>IFERROR(IF($B$7="","",IF($K$5+ROW()-26&gt;$K$6,"",IF(INDEX('Raw Flow Data'!$A:$ZZ,$K$5+ROW()-26+$D$7,MATCH($B$7,'Raw Flow Data'!$1:$1,0))=-999,"",INDEX('Raw Flow Data'!$A:$ZZ,$K$5+ROW()-26+$D$7,MATCH($B$7,'Raw Flow Data'!$1:$1,0))*$C$7))),"")</f>
        <v/>
      </c>
      <c r="G53" s="26">
        <f>IFERROR(IF($B$8="","",IF($K$5+ROW()-26&gt;$K$6,"",IF(INDEX('Raw Flow Data'!$A:$ZZ,$K$5+ROW()-26+$D$8,MATCH($B$8,'Raw Flow Data'!$1:$1,0))=-999,"",INDEX('Raw Flow Data'!$A:$ZZ,$K$5+ROW()-26+$D$8,MATCH($B$8,'Raw Flow Data'!$1:$1,0))*$C$8))),"")</f>
        <v/>
      </c>
      <c r="H53" s="26">
        <f>IFERROR(IF($B$9="","",IF($K$5+ROW()-26&gt;$K$6,"",IF(INDEX('Raw Flow Data'!$A:$ZZ,$K$5+ROW()-26+$D$9,MATCH($B$9,'Raw Flow Data'!$1:$1,0))=-999,"",INDEX('Raw Flow Data'!$A:$ZZ,$K$5+ROW()-26+$D$9,MATCH($B$9,'Raw Flow Data'!$1:$1,0))*$C$9))),"")</f>
        <v/>
      </c>
      <c r="I53" s="26">
        <f>IFERROR(IF($B$10="","",IF($K$5+ROW()-26&gt;$K$6,"",IF(INDEX('Raw Flow Data'!$A:$ZZ,$K$5+ROW()-26+$D$10,MATCH($B$10,'Raw Flow Data'!$1:$1,0))=-999,"",INDEX('Raw Flow Data'!$A:$ZZ,$K$5+ROW()-26+$D$10,MATCH($B$10,'Raw Flow Data'!$1:$1,0))*$C$10))),"")</f>
        <v/>
      </c>
      <c r="J53" s="26">
        <f>IFERROR(IF($B$11="","",IF($K$5+ROW()-26&gt;$K$6,"",IF(INDEX('Raw Flow Data'!$A:$ZZ,$K$5+ROW()-26+$D$11,MATCH($B$11,'Raw Flow Data'!$1:$1,0))=-999,"",INDEX('Raw Flow Data'!$A:$ZZ,$K$5+ROW()-26+$D$11,MATCH($B$11,'Raw Flow Data'!$1:$1,0))*$C$11))),"")</f>
        <v/>
      </c>
      <c r="K53" s="26">
        <f>IFERROR(IF($B$12="","",IF($K$5+ROW()-26&gt;$K$6,"",IF(INDEX('Raw Flow Data'!$A:$ZZ,$K$5+ROW()-26+$D$12,MATCH($B$12,'Raw Flow Data'!$1:$1,0))=-999,"",INDEX('Raw Flow Data'!$A:$ZZ,$K$5+ROW()-26+$D$12,MATCH($B$12,'Raw Flow Data'!$1:$1,0))*$C$12))),"")</f>
        <v/>
      </c>
      <c r="L53" s="26">
        <f>IFERROR(IF($F$3="","",IF($K$5+ROW()-26&gt;$K$6,"",IF(INDEX('Raw Pressure Data'!$A:$ZZ,$K$5+ROW()-26+$H$3,MATCH($F$3,'Raw Pressure Data'!$1:$1,0))=-999,"",INDEX('Raw Pressure Data'!$A:$ZZ,$K$5+ROW()-26+$H$3,MATCH($F$3,'Raw Pressure Data'!$1:$1,0))+$G$3))),"")</f>
        <v/>
      </c>
      <c r="M53" s="26">
        <f>IFERROR(IF($F$4="","",IF($K$5+ROW()-26&gt;$K$6,"",IF(INDEX('Raw Pressure Data'!$A:$ZZ,$K$5+ROW()-26+$H$4,MATCH($F$4,'Raw Pressure Data'!$1:$1,0))=-999,"",INDEX('Raw Pressure Data'!$A:$ZZ,$K$5+ROW()-26+$H$4,MATCH($F$4,'Raw Pressure Data'!$1:$1,0))+$G$4))),"")</f>
        <v/>
      </c>
      <c r="N53" s="26">
        <f>IFERROR(IF($F$5="","",IF($K$5+ROW()-26&gt;$K$6,"",IF(INDEX('Raw Pressure Data'!$A:$ZZ,$K$5+ROW()-26+$H$5,MATCH($F$5,'Raw Pressure Data'!$1:$1,0))=-999,"",INDEX('Raw Pressure Data'!$A:$ZZ,$K$5+ROW()-26+$H$5,MATCH($F$5,'Raw Pressure Data'!$1:$1,0))+$G$5))),"")</f>
        <v/>
      </c>
      <c r="O53" s="26">
        <f>IFERROR(IF($F$6="","",IF($K$5+ROW()-26&gt;$K$6,"",IF(INDEX('Raw Pressure Data'!$A:$ZZ,$K$5+ROW()-26+$H$6,MATCH($F$6,'Raw Pressure Data'!$1:$1,0))=-999,"",INDEX('Raw Pressure Data'!$A:$ZZ,$K$5+ROW()-26+$H$6,MATCH($F$6,'Raw Pressure Data'!$1:$1,0))+$G$6))),"")</f>
        <v/>
      </c>
      <c r="P53" s="26">
        <f>IFERROR(IF($F$7="","",IF($K$5+ROW()-26&gt;$K$6,"",IF(INDEX('Raw Pressure Data'!$A:$ZZ,$K$5+ROW()-26+$H$7,MATCH($F$7,'Raw Pressure Data'!$1:$1,0))=-999,"",INDEX('Raw Pressure Data'!$A:$ZZ,$K$5+ROW()-26+$H$7,MATCH($F$7,'Raw Pressure Data'!$1:$1,0))+$G$7))),"")</f>
        <v/>
      </c>
      <c r="Q53" s="26">
        <f>IFERROR(IF($F$8="","",IF($K$5+ROW()-26&gt;$K$6,"",IF(INDEX('Raw Pressure Data'!$A:$ZZ,$K$5+ROW()-26+$H$8,MATCH($F$8,'Raw Pressure Data'!$1:$1,0))=-999,"",INDEX('Raw Pressure Data'!$A:$ZZ,$K$5+ROW()-26+$H$8,MATCH($F$8,'Raw Pressure Data'!$1:$1,0))+$G$8))),"")</f>
        <v/>
      </c>
      <c r="R53" s="26">
        <f>IFERROR(IF($F$9="","",IF($K$5+ROW()-26&gt;$K$6,"",IF(INDEX('Raw Pressure Data'!$A:$ZZ,$K$5+ROW()-26+$H$9,MATCH($F$9,'Raw Pressure Data'!$1:$1,0))=-999,"",INDEX('Raw Pressure Data'!$A:$ZZ,$K$5+ROW()-26+$H$9,MATCH($F$9,'Raw Pressure Data'!$1:$1,0))+$G$9))),"")</f>
        <v/>
      </c>
      <c r="S53" s="26">
        <f>IFERROR(IF($F$10="","",IF($K$5+ROW()-26&gt;$K$6,"",IF(INDEX('Raw Pressure Data'!$A:$ZZ,$K$5+ROW()-26+$H$10,MATCH($F$10,'Raw Pressure Data'!$1:$1,0))=-999,"",INDEX('Raw Pressure Data'!$A:$ZZ,$K$5+ROW()-26+$H$10,MATCH($F$10,'Raw Pressure Data'!$1:$1,0))+$G$10))),"")</f>
        <v/>
      </c>
      <c r="T53" s="26">
        <f>IFERROR(IF($F$11="","",IF($K$5+ROW()-26&gt;$K$6,"",IF(INDEX('Raw Pressure Data'!$A:$ZZ,$K$5+ROW()-26+$H$11,MATCH($F$11,'Raw Pressure Data'!$1:$1,0))=-999,"",INDEX('Raw Pressure Data'!$A:$ZZ,$K$5+ROW()-26+$H$11,MATCH($F$11,'Raw Pressure Data'!$1:$1,0))+$G$11))),"")</f>
        <v/>
      </c>
      <c r="U53" s="26">
        <f>IFERROR(IF($F$12="","",IF($K$5+ROW()-26&gt;$K$6,"",IF(INDEX('Raw Pressure Data'!$A:$ZZ,$K$5+ROW()-26+$H$12,MATCH($F$12,'Raw Pressure Data'!$1:$1,0))=-999,"",INDEX('Raw Pressure Data'!$A:$ZZ,$K$5+ROW()-26+$H$12,MATCH($F$12,'Raw Pressure Data'!$1:$1,0))+$G$12))),"")</f>
        <v/>
      </c>
      <c r="V53" s="26">
        <f>IFERROR(IF($F$13="","",IF($K$5+ROW()-26&gt;$K$6,"",IF(INDEX('Raw Pressure Data'!$A:$ZZ,$K$5+ROW()-26+$H$13,MATCH($F$13,'Raw Pressure Data'!$1:$1,0))=-999,"",INDEX('Raw Pressure Data'!$A:$ZZ,$K$5+ROW()-26+$H$13,MATCH($F$13,'Raw Pressure Data'!$1:$1,0))+$G$13))),"")</f>
        <v/>
      </c>
      <c r="W53" s="26">
        <f>IFERROR(IF($F$14="","",IF($K$5+ROW()-26&gt;$K$6,"",IF(INDEX('Raw Pressure Data'!$A:$ZZ,$K$5+ROW()-26+$H$14,MATCH($F$14,'Raw Pressure Data'!$1:$1,0))=-999,"",INDEX('Raw Pressure Data'!$A:$ZZ,$K$5+ROW()-26+$H$14,MATCH($F$14,'Raw Pressure Data'!$1:$1,0))+$G$14))),"")</f>
        <v/>
      </c>
      <c r="X53" s="26">
        <f>IFERROR(IF($F$15="","",IF($K$5+ROW()-26&gt;$K$6,"",IF(INDEX('Raw Pressure Data'!$A:$ZZ,$K$5+ROW()-26+$H$15,MATCH($F$15,'Raw Pressure Data'!$1:$1,0))=-999,"",INDEX('Raw Pressure Data'!$A:$ZZ,$K$5+ROW()-26+$H$15,MATCH($F$15,'Raw Pressure Data'!$1:$1,0))+$G$15))),"")</f>
        <v/>
      </c>
      <c r="Y53" s="26">
        <f>IFERROR(IF($F$16="","",IF($K$5+ROW()-26&gt;$K$6,"",IF(INDEX('Raw Pressure Data'!$A:$ZZ,$K$5+ROW()-26+$H$16,MATCH($F$16,'Raw Pressure Data'!$1:$1,0))=-999,"",INDEX('Raw Pressure Data'!$A:$ZZ,$K$5+ROW()-26+$H$16,MATCH($F$16,'Raw Pressure Data'!$1:$1,0))+$G$16))),"")</f>
        <v/>
      </c>
      <c r="Z53" s="26">
        <f>IFERROR(IF($F$17="","",IF($K$5+ROW()-26&gt;$K$6,"",IF(INDEX('Raw Pressure Data'!$A:$ZZ,$K$5+ROW()-26+$H$17,MATCH($F$17,'Raw Pressure Data'!$1:$1,0))=-999,"",INDEX('Raw Pressure Data'!$A:$ZZ,$K$5+ROW()-26+$H$17,MATCH($F$17,'Raw Pressure Data'!$1:$1,0))+$G$17))),"")</f>
        <v/>
      </c>
      <c r="AA53" s="26">
        <f>IFERROR(IF($F$18="","",IF($K$5+ROW()-26&gt;$K$6,"",IF(INDEX('Raw Pressure Data'!$A:$ZZ,$K$5+ROW()-26+$H$18,MATCH($F$18,'Raw Pressure Data'!$1:$1,0))=-999,"",INDEX('Raw Pressure Data'!$A:$ZZ,$K$5+ROW()-26+$H$18,MATCH($F$18,'Raw Pressure Data'!$1:$1,0))+$G$18))),"")</f>
        <v/>
      </c>
      <c r="AB53" s="26">
        <f>IFERROR(IF($F$19="","",IF($K$5+ROW()-26&gt;$K$6,"",IF(INDEX('Raw Pressure Data'!$A:$ZZ,$K$5+ROW()-26+$H$19,MATCH($F$19,'Raw Pressure Data'!$1:$1,0))=-999,"",INDEX('Raw Pressure Data'!$A:$ZZ,$K$5+ROW()-26+$H$19,MATCH($F$19,'Raw Pressure Data'!$1:$1,0))+$G$19))),"")</f>
        <v/>
      </c>
      <c r="AC53" s="26">
        <f>IFERROR(IF($F$20="","",IF($K$5+ROW()-26&gt;$K$6,"",IF(INDEX('Raw Pressure Data'!$A:$ZZ,$K$5+ROW()-26+$H$20,MATCH($F$20,'Raw Pressure Data'!$1:$1,0))=-999,"",INDEX('Raw Pressure Data'!$A:$ZZ,$K$5+ROW()-26+$H$20,MATCH($F$20,'Raw Pressure Data'!$1:$1,0))+$G$20))),"")</f>
        <v/>
      </c>
      <c r="AD53" s="26">
        <f>IFERROR(IF($F$21="","",IF($K$5+ROW()-26&gt;$K$6,"",IF(INDEX('Raw Pressure Data'!$A:$ZZ,$K$5+ROW()-26+$H$21,MATCH($F$21,'Raw Pressure Data'!$1:$1,0))=-999,"",INDEX('Raw Pressure Data'!$A:$ZZ,$K$5+ROW()-26+$H$21,MATCH($F$21,'Raw Pressure Data'!$1:$1,0))+$G$21))),"")</f>
        <v/>
      </c>
      <c r="AE53" s="26">
        <f>IFERROR(IF($F$22="","",IF($K$5+ROW()-26&gt;$K$6,"",IF(INDEX('Raw Pressure Data'!$A:$ZZ,$K$5+ROW()-26+$H$22,MATCH($F$22,'Raw Pressure Data'!$1:$1,0))=-999,"",INDEX('Raw Pressure Data'!$A:$ZZ,$K$5+ROW()-26+$H$22,MATCH($F$22,'Raw Pressure Data'!$1:$1,0))+$G$22))),"")</f>
        <v/>
      </c>
    </row>
    <row r="54" ht="15" customHeight="1">
      <c r="A54" s="23">
        <f>IFERROR(IF($K$5+ROW()-26&gt;$K$6,"",IF(INDEX('Raw Flow Data'!$A:$A,$K$5+ROW()-26)="","",INDEX('Raw Flow Data'!$A:$A,$K$5+ROW()-26))),"")</f>
        <v/>
      </c>
      <c r="B54" s="24">
        <f>IFERROR(IF($B$3="","",IF($K$5+ROW()-26&gt;$K$6,"",IF(INDEX('Raw Flow Data'!$A:$ZZ,$K$5+ROW()-26+$D$3,MATCH($B$3,'Raw Flow Data'!$1:$1,0))=-999,"",INDEX('Raw Flow Data'!$A:$ZZ,$K$5+ROW()-26+$D$3,MATCH($B$3,'Raw Flow Data'!$1:$1,0))*$C$3))),"")</f>
        <v/>
      </c>
      <c r="C54" s="24">
        <f>IFERROR(IF($B$4="","",IF($K$5+ROW()-26&gt;$K$6,"",IF(INDEX('Raw Flow Data'!$A:$ZZ,$K$5+ROW()-26+$D$4,MATCH($B$4,'Raw Flow Data'!$1:$1,0))=-999,"",INDEX('Raw Flow Data'!$A:$ZZ,$K$5+ROW()-26+$D$4,MATCH($B$4,'Raw Flow Data'!$1:$1,0))*$C$4))),"")</f>
        <v/>
      </c>
      <c r="D54" s="24">
        <f>IFERROR(IF($B$5="","",IF($K$5+ROW()-26&gt;$K$6,"",IF(INDEX('Raw Flow Data'!$A:$ZZ,$K$5+ROW()-26+$D$5,MATCH($B$5,'Raw Flow Data'!$1:$1,0))=-999,"",INDEX('Raw Flow Data'!$A:$ZZ,$K$5+ROW()-26+$D$5,MATCH($B$5,'Raw Flow Data'!$1:$1,0))*$C$5))),"")</f>
        <v/>
      </c>
      <c r="E54" s="24">
        <f>IFERROR(IF($B$6="","",IF($K$5+ROW()-26&gt;$K$6,"",IF(INDEX('Raw Flow Data'!$A:$ZZ,$K$5+ROW()-26+$D$6,MATCH($B$6,'Raw Flow Data'!$1:$1,0))=-999,"",INDEX('Raw Flow Data'!$A:$ZZ,$K$5+ROW()-26+$D$6,MATCH($B$6,'Raw Flow Data'!$1:$1,0))*$C$6))),"")</f>
        <v/>
      </c>
      <c r="F54" s="24">
        <f>IFERROR(IF($B$7="","",IF($K$5+ROW()-26&gt;$K$6,"",IF(INDEX('Raw Flow Data'!$A:$ZZ,$K$5+ROW()-26+$D$7,MATCH($B$7,'Raw Flow Data'!$1:$1,0))=-999,"",INDEX('Raw Flow Data'!$A:$ZZ,$K$5+ROW()-26+$D$7,MATCH($B$7,'Raw Flow Data'!$1:$1,0))*$C$7))),"")</f>
        <v/>
      </c>
      <c r="G54" s="24">
        <f>IFERROR(IF($B$8="","",IF($K$5+ROW()-26&gt;$K$6,"",IF(INDEX('Raw Flow Data'!$A:$ZZ,$K$5+ROW()-26+$D$8,MATCH($B$8,'Raw Flow Data'!$1:$1,0))=-999,"",INDEX('Raw Flow Data'!$A:$ZZ,$K$5+ROW()-26+$D$8,MATCH($B$8,'Raw Flow Data'!$1:$1,0))*$C$8))),"")</f>
        <v/>
      </c>
      <c r="H54" s="24">
        <f>IFERROR(IF($B$9="","",IF($K$5+ROW()-26&gt;$K$6,"",IF(INDEX('Raw Flow Data'!$A:$ZZ,$K$5+ROW()-26+$D$9,MATCH($B$9,'Raw Flow Data'!$1:$1,0))=-999,"",INDEX('Raw Flow Data'!$A:$ZZ,$K$5+ROW()-26+$D$9,MATCH($B$9,'Raw Flow Data'!$1:$1,0))*$C$9))),"")</f>
        <v/>
      </c>
      <c r="I54" s="24">
        <f>IFERROR(IF($B$10="","",IF($K$5+ROW()-26&gt;$K$6,"",IF(INDEX('Raw Flow Data'!$A:$ZZ,$K$5+ROW()-26+$D$10,MATCH($B$10,'Raw Flow Data'!$1:$1,0))=-999,"",INDEX('Raw Flow Data'!$A:$ZZ,$K$5+ROW()-26+$D$10,MATCH($B$10,'Raw Flow Data'!$1:$1,0))*$C$10))),"")</f>
        <v/>
      </c>
      <c r="J54" s="24">
        <f>IFERROR(IF($B$11="","",IF($K$5+ROW()-26&gt;$K$6,"",IF(INDEX('Raw Flow Data'!$A:$ZZ,$K$5+ROW()-26+$D$11,MATCH($B$11,'Raw Flow Data'!$1:$1,0))=-999,"",INDEX('Raw Flow Data'!$A:$ZZ,$K$5+ROW()-26+$D$11,MATCH($B$11,'Raw Flow Data'!$1:$1,0))*$C$11))),"")</f>
        <v/>
      </c>
      <c r="K54" s="24">
        <f>IFERROR(IF($B$12="","",IF($K$5+ROW()-26&gt;$K$6,"",IF(INDEX('Raw Flow Data'!$A:$ZZ,$K$5+ROW()-26+$D$12,MATCH($B$12,'Raw Flow Data'!$1:$1,0))=-999,"",INDEX('Raw Flow Data'!$A:$ZZ,$K$5+ROW()-26+$D$12,MATCH($B$12,'Raw Flow Data'!$1:$1,0))*$C$12))),"")</f>
        <v/>
      </c>
      <c r="L54" s="24">
        <f>IFERROR(IF($F$3="","",IF($K$5+ROW()-26&gt;$K$6,"",IF(INDEX('Raw Pressure Data'!$A:$ZZ,$K$5+ROW()-26+$H$3,MATCH($F$3,'Raw Pressure Data'!$1:$1,0))=-999,"",INDEX('Raw Pressure Data'!$A:$ZZ,$K$5+ROW()-26+$H$3,MATCH($F$3,'Raw Pressure Data'!$1:$1,0))+$G$3))),"")</f>
        <v/>
      </c>
      <c r="M54" s="24">
        <f>IFERROR(IF($F$4="","",IF($K$5+ROW()-26&gt;$K$6,"",IF(INDEX('Raw Pressure Data'!$A:$ZZ,$K$5+ROW()-26+$H$4,MATCH($F$4,'Raw Pressure Data'!$1:$1,0))=-999,"",INDEX('Raw Pressure Data'!$A:$ZZ,$K$5+ROW()-26+$H$4,MATCH($F$4,'Raw Pressure Data'!$1:$1,0))+$G$4))),"")</f>
        <v/>
      </c>
      <c r="N54" s="24">
        <f>IFERROR(IF($F$5="","",IF($K$5+ROW()-26&gt;$K$6,"",IF(INDEX('Raw Pressure Data'!$A:$ZZ,$K$5+ROW()-26+$H$5,MATCH($F$5,'Raw Pressure Data'!$1:$1,0))=-999,"",INDEX('Raw Pressure Data'!$A:$ZZ,$K$5+ROW()-26+$H$5,MATCH($F$5,'Raw Pressure Data'!$1:$1,0))+$G$5))),"")</f>
        <v/>
      </c>
      <c r="O54" s="24">
        <f>IFERROR(IF($F$6="","",IF($K$5+ROW()-26&gt;$K$6,"",IF(INDEX('Raw Pressure Data'!$A:$ZZ,$K$5+ROW()-26+$H$6,MATCH($F$6,'Raw Pressure Data'!$1:$1,0))=-999,"",INDEX('Raw Pressure Data'!$A:$ZZ,$K$5+ROW()-26+$H$6,MATCH($F$6,'Raw Pressure Data'!$1:$1,0))+$G$6))),"")</f>
        <v/>
      </c>
      <c r="P54" s="24">
        <f>IFERROR(IF($F$7="","",IF($K$5+ROW()-26&gt;$K$6,"",IF(INDEX('Raw Pressure Data'!$A:$ZZ,$K$5+ROW()-26+$H$7,MATCH($F$7,'Raw Pressure Data'!$1:$1,0))=-999,"",INDEX('Raw Pressure Data'!$A:$ZZ,$K$5+ROW()-26+$H$7,MATCH($F$7,'Raw Pressure Data'!$1:$1,0))+$G$7))),"")</f>
        <v/>
      </c>
      <c r="Q54" s="24">
        <f>IFERROR(IF($F$8="","",IF($K$5+ROW()-26&gt;$K$6,"",IF(INDEX('Raw Pressure Data'!$A:$ZZ,$K$5+ROW()-26+$H$8,MATCH($F$8,'Raw Pressure Data'!$1:$1,0))=-999,"",INDEX('Raw Pressure Data'!$A:$ZZ,$K$5+ROW()-26+$H$8,MATCH($F$8,'Raw Pressure Data'!$1:$1,0))+$G$8))),"")</f>
        <v/>
      </c>
      <c r="R54" s="24">
        <f>IFERROR(IF($F$9="","",IF($K$5+ROW()-26&gt;$K$6,"",IF(INDEX('Raw Pressure Data'!$A:$ZZ,$K$5+ROW()-26+$H$9,MATCH($F$9,'Raw Pressure Data'!$1:$1,0))=-999,"",INDEX('Raw Pressure Data'!$A:$ZZ,$K$5+ROW()-26+$H$9,MATCH($F$9,'Raw Pressure Data'!$1:$1,0))+$G$9))),"")</f>
        <v/>
      </c>
      <c r="S54" s="24">
        <f>IFERROR(IF($F$10="","",IF($K$5+ROW()-26&gt;$K$6,"",IF(INDEX('Raw Pressure Data'!$A:$ZZ,$K$5+ROW()-26+$H$10,MATCH($F$10,'Raw Pressure Data'!$1:$1,0))=-999,"",INDEX('Raw Pressure Data'!$A:$ZZ,$K$5+ROW()-26+$H$10,MATCH($F$10,'Raw Pressure Data'!$1:$1,0))+$G$10))),"")</f>
        <v/>
      </c>
      <c r="T54" s="24">
        <f>IFERROR(IF($F$11="","",IF($K$5+ROW()-26&gt;$K$6,"",IF(INDEX('Raw Pressure Data'!$A:$ZZ,$K$5+ROW()-26+$H$11,MATCH($F$11,'Raw Pressure Data'!$1:$1,0))=-999,"",INDEX('Raw Pressure Data'!$A:$ZZ,$K$5+ROW()-26+$H$11,MATCH($F$11,'Raw Pressure Data'!$1:$1,0))+$G$11))),"")</f>
        <v/>
      </c>
      <c r="U54" s="24">
        <f>IFERROR(IF($F$12="","",IF($K$5+ROW()-26&gt;$K$6,"",IF(INDEX('Raw Pressure Data'!$A:$ZZ,$K$5+ROW()-26+$H$12,MATCH($F$12,'Raw Pressure Data'!$1:$1,0))=-999,"",INDEX('Raw Pressure Data'!$A:$ZZ,$K$5+ROW()-26+$H$12,MATCH($F$12,'Raw Pressure Data'!$1:$1,0))+$G$12))),"")</f>
        <v/>
      </c>
      <c r="V54" s="24">
        <f>IFERROR(IF($F$13="","",IF($K$5+ROW()-26&gt;$K$6,"",IF(INDEX('Raw Pressure Data'!$A:$ZZ,$K$5+ROW()-26+$H$13,MATCH($F$13,'Raw Pressure Data'!$1:$1,0))=-999,"",INDEX('Raw Pressure Data'!$A:$ZZ,$K$5+ROW()-26+$H$13,MATCH($F$13,'Raw Pressure Data'!$1:$1,0))+$G$13))),"")</f>
        <v/>
      </c>
      <c r="W54" s="24">
        <f>IFERROR(IF($F$14="","",IF($K$5+ROW()-26&gt;$K$6,"",IF(INDEX('Raw Pressure Data'!$A:$ZZ,$K$5+ROW()-26+$H$14,MATCH($F$14,'Raw Pressure Data'!$1:$1,0))=-999,"",INDEX('Raw Pressure Data'!$A:$ZZ,$K$5+ROW()-26+$H$14,MATCH($F$14,'Raw Pressure Data'!$1:$1,0))+$G$14))),"")</f>
        <v/>
      </c>
      <c r="X54" s="24">
        <f>IFERROR(IF($F$15="","",IF($K$5+ROW()-26&gt;$K$6,"",IF(INDEX('Raw Pressure Data'!$A:$ZZ,$K$5+ROW()-26+$H$15,MATCH($F$15,'Raw Pressure Data'!$1:$1,0))=-999,"",INDEX('Raw Pressure Data'!$A:$ZZ,$K$5+ROW()-26+$H$15,MATCH($F$15,'Raw Pressure Data'!$1:$1,0))+$G$15))),"")</f>
        <v/>
      </c>
      <c r="Y54" s="24">
        <f>IFERROR(IF($F$16="","",IF($K$5+ROW()-26&gt;$K$6,"",IF(INDEX('Raw Pressure Data'!$A:$ZZ,$K$5+ROW()-26+$H$16,MATCH($F$16,'Raw Pressure Data'!$1:$1,0))=-999,"",INDEX('Raw Pressure Data'!$A:$ZZ,$K$5+ROW()-26+$H$16,MATCH($F$16,'Raw Pressure Data'!$1:$1,0))+$G$16))),"")</f>
        <v/>
      </c>
      <c r="Z54" s="24">
        <f>IFERROR(IF($F$17="","",IF($K$5+ROW()-26&gt;$K$6,"",IF(INDEX('Raw Pressure Data'!$A:$ZZ,$K$5+ROW()-26+$H$17,MATCH($F$17,'Raw Pressure Data'!$1:$1,0))=-999,"",INDEX('Raw Pressure Data'!$A:$ZZ,$K$5+ROW()-26+$H$17,MATCH($F$17,'Raw Pressure Data'!$1:$1,0))+$G$17))),"")</f>
        <v/>
      </c>
      <c r="AA54" s="24">
        <f>IFERROR(IF($F$18="","",IF($K$5+ROW()-26&gt;$K$6,"",IF(INDEX('Raw Pressure Data'!$A:$ZZ,$K$5+ROW()-26+$H$18,MATCH($F$18,'Raw Pressure Data'!$1:$1,0))=-999,"",INDEX('Raw Pressure Data'!$A:$ZZ,$K$5+ROW()-26+$H$18,MATCH($F$18,'Raw Pressure Data'!$1:$1,0))+$G$18))),"")</f>
        <v/>
      </c>
      <c r="AB54" s="24">
        <f>IFERROR(IF($F$19="","",IF($K$5+ROW()-26&gt;$K$6,"",IF(INDEX('Raw Pressure Data'!$A:$ZZ,$K$5+ROW()-26+$H$19,MATCH($F$19,'Raw Pressure Data'!$1:$1,0))=-999,"",INDEX('Raw Pressure Data'!$A:$ZZ,$K$5+ROW()-26+$H$19,MATCH($F$19,'Raw Pressure Data'!$1:$1,0))+$G$19))),"")</f>
        <v/>
      </c>
      <c r="AC54" s="24">
        <f>IFERROR(IF($F$20="","",IF($K$5+ROW()-26&gt;$K$6,"",IF(INDEX('Raw Pressure Data'!$A:$ZZ,$K$5+ROW()-26+$H$20,MATCH($F$20,'Raw Pressure Data'!$1:$1,0))=-999,"",INDEX('Raw Pressure Data'!$A:$ZZ,$K$5+ROW()-26+$H$20,MATCH($F$20,'Raw Pressure Data'!$1:$1,0))+$G$20))),"")</f>
        <v/>
      </c>
      <c r="AD54" s="24">
        <f>IFERROR(IF($F$21="","",IF($K$5+ROW()-26&gt;$K$6,"",IF(INDEX('Raw Pressure Data'!$A:$ZZ,$K$5+ROW()-26+$H$21,MATCH($F$21,'Raw Pressure Data'!$1:$1,0))=-999,"",INDEX('Raw Pressure Data'!$A:$ZZ,$K$5+ROW()-26+$H$21,MATCH($F$21,'Raw Pressure Data'!$1:$1,0))+$G$21))),"")</f>
        <v/>
      </c>
      <c r="AE54" s="24">
        <f>IFERROR(IF($F$22="","",IF($K$5+ROW()-26&gt;$K$6,"",IF(INDEX('Raw Pressure Data'!$A:$ZZ,$K$5+ROW()-26+$H$22,MATCH($F$22,'Raw Pressure Data'!$1:$1,0))=-999,"",INDEX('Raw Pressure Data'!$A:$ZZ,$K$5+ROW()-26+$H$22,MATCH($F$22,'Raw Pressure Data'!$1:$1,0))+$G$22))),"")</f>
        <v/>
      </c>
    </row>
    <row r="55" ht="15" customHeight="1">
      <c r="A55" s="25">
        <f>IFERROR(IF($K$5+ROW()-26&gt;$K$6,"",IF(INDEX('Raw Flow Data'!$A:$A,$K$5+ROW()-26)="","",INDEX('Raw Flow Data'!$A:$A,$K$5+ROW()-26))),"")</f>
        <v/>
      </c>
      <c r="B55" s="26">
        <f>IFERROR(IF($B$3="","",IF($K$5+ROW()-26&gt;$K$6,"",IF(INDEX('Raw Flow Data'!$A:$ZZ,$K$5+ROW()-26+$D$3,MATCH($B$3,'Raw Flow Data'!$1:$1,0))=-999,"",INDEX('Raw Flow Data'!$A:$ZZ,$K$5+ROW()-26+$D$3,MATCH($B$3,'Raw Flow Data'!$1:$1,0))*$C$3))),"")</f>
        <v/>
      </c>
      <c r="C55" s="26">
        <f>IFERROR(IF($B$4="","",IF($K$5+ROW()-26&gt;$K$6,"",IF(INDEX('Raw Flow Data'!$A:$ZZ,$K$5+ROW()-26+$D$4,MATCH($B$4,'Raw Flow Data'!$1:$1,0))=-999,"",INDEX('Raw Flow Data'!$A:$ZZ,$K$5+ROW()-26+$D$4,MATCH($B$4,'Raw Flow Data'!$1:$1,0))*$C$4))),"")</f>
        <v/>
      </c>
      <c r="D55" s="26">
        <f>IFERROR(IF($B$5="","",IF($K$5+ROW()-26&gt;$K$6,"",IF(INDEX('Raw Flow Data'!$A:$ZZ,$K$5+ROW()-26+$D$5,MATCH($B$5,'Raw Flow Data'!$1:$1,0))=-999,"",INDEX('Raw Flow Data'!$A:$ZZ,$K$5+ROW()-26+$D$5,MATCH($B$5,'Raw Flow Data'!$1:$1,0))*$C$5))),"")</f>
        <v/>
      </c>
      <c r="E55" s="26">
        <f>IFERROR(IF($B$6="","",IF($K$5+ROW()-26&gt;$K$6,"",IF(INDEX('Raw Flow Data'!$A:$ZZ,$K$5+ROW()-26+$D$6,MATCH($B$6,'Raw Flow Data'!$1:$1,0))=-999,"",INDEX('Raw Flow Data'!$A:$ZZ,$K$5+ROW()-26+$D$6,MATCH($B$6,'Raw Flow Data'!$1:$1,0))*$C$6))),"")</f>
        <v/>
      </c>
      <c r="F55" s="26">
        <f>IFERROR(IF($B$7="","",IF($K$5+ROW()-26&gt;$K$6,"",IF(INDEX('Raw Flow Data'!$A:$ZZ,$K$5+ROW()-26+$D$7,MATCH($B$7,'Raw Flow Data'!$1:$1,0))=-999,"",INDEX('Raw Flow Data'!$A:$ZZ,$K$5+ROW()-26+$D$7,MATCH($B$7,'Raw Flow Data'!$1:$1,0))*$C$7))),"")</f>
        <v/>
      </c>
      <c r="G55" s="26">
        <f>IFERROR(IF($B$8="","",IF($K$5+ROW()-26&gt;$K$6,"",IF(INDEX('Raw Flow Data'!$A:$ZZ,$K$5+ROW()-26+$D$8,MATCH($B$8,'Raw Flow Data'!$1:$1,0))=-999,"",INDEX('Raw Flow Data'!$A:$ZZ,$K$5+ROW()-26+$D$8,MATCH($B$8,'Raw Flow Data'!$1:$1,0))*$C$8))),"")</f>
        <v/>
      </c>
      <c r="H55" s="26">
        <f>IFERROR(IF($B$9="","",IF($K$5+ROW()-26&gt;$K$6,"",IF(INDEX('Raw Flow Data'!$A:$ZZ,$K$5+ROW()-26+$D$9,MATCH($B$9,'Raw Flow Data'!$1:$1,0))=-999,"",INDEX('Raw Flow Data'!$A:$ZZ,$K$5+ROW()-26+$D$9,MATCH($B$9,'Raw Flow Data'!$1:$1,0))*$C$9))),"")</f>
        <v/>
      </c>
      <c r="I55" s="26">
        <f>IFERROR(IF($B$10="","",IF($K$5+ROW()-26&gt;$K$6,"",IF(INDEX('Raw Flow Data'!$A:$ZZ,$K$5+ROW()-26+$D$10,MATCH($B$10,'Raw Flow Data'!$1:$1,0))=-999,"",INDEX('Raw Flow Data'!$A:$ZZ,$K$5+ROW()-26+$D$10,MATCH($B$10,'Raw Flow Data'!$1:$1,0))*$C$10))),"")</f>
        <v/>
      </c>
      <c r="J55" s="26">
        <f>IFERROR(IF($B$11="","",IF($K$5+ROW()-26&gt;$K$6,"",IF(INDEX('Raw Flow Data'!$A:$ZZ,$K$5+ROW()-26+$D$11,MATCH($B$11,'Raw Flow Data'!$1:$1,0))=-999,"",INDEX('Raw Flow Data'!$A:$ZZ,$K$5+ROW()-26+$D$11,MATCH($B$11,'Raw Flow Data'!$1:$1,0))*$C$11))),"")</f>
        <v/>
      </c>
      <c r="K55" s="26">
        <f>IFERROR(IF($B$12="","",IF($K$5+ROW()-26&gt;$K$6,"",IF(INDEX('Raw Flow Data'!$A:$ZZ,$K$5+ROW()-26+$D$12,MATCH($B$12,'Raw Flow Data'!$1:$1,0))=-999,"",INDEX('Raw Flow Data'!$A:$ZZ,$K$5+ROW()-26+$D$12,MATCH($B$12,'Raw Flow Data'!$1:$1,0))*$C$12))),"")</f>
        <v/>
      </c>
      <c r="L55" s="26">
        <f>IFERROR(IF($F$3="","",IF($K$5+ROW()-26&gt;$K$6,"",IF(INDEX('Raw Pressure Data'!$A:$ZZ,$K$5+ROW()-26+$H$3,MATCH($F$3,'Raw Pressure Data'!$1:$1,0))=-999,"",INDEX('Raw Pressure Data'!$A:$ZZ,$K$5+ROW()-26+$H$3,MATCH($F$3,'Raw Pressure Data'!$1:$1,0))+$G$3))),"")</f>
        <v/>
      </c>
      <c r="M55" s="26">
        <f>IFERROR(IF($F$4="","",IF($K$5+ROW()-26&gt;$K$6,"",IF(INDEX('Raw Pressure Data'!$A:$ZZ,$K$5+ROW()-26+$H$4,MATCH($F$4,'Raw Pressure Data'!$1:$1,0))=-999,"",INDEX('Raw Pressure Data'!$A:$ZZ,$K$5+ROW()-26+$H$4,MATCH($F$4,'Raw Pressure Data'!$1:$1,0))+$G$4))),"")</f>
        <v/>
      </c>
      <c r="N55" s="26">
        <f>IFERROR(IF($F$5="","",IF($K$5+ROW()-26&gt;$K$6,"",IF(INDEX('Raw Pressure Data'!$A:$ZZ,$K$5+ROW()-26+$H$5,MATCH($F$5,'Raw Pressure Data'!$1:$1,0))=-999,"",INDEX('Raw Pressure Data'!$A:$ZZ,$K$5+ROW()-26+$H$5,MATCH($F$5,'Raw Pressure Data'!$1:$1,0))+$G$5))),"")</f>
        <v/>
      </c>
      <c r="O55" s="26">
        <f>IFERROR(IF($F$6="","",IF($K$5+ROW()-26&gt;$K$6,"",IF(INDEX('Raw Pressure Data'!$A:$ZZ,$K$5+ROW()-26+$H$6,MATCH($F$6,'Raw Pressure Data'!$1:$1,0))=-999,"",INDEX('Raw Pressure Data'!$A:$ZZ,$K$5+ROW()-26+$H$6,MATCH($F$6,'Raw Pressure Data'!$1:$1,0))+$G$6))),"")</f>
        <v/>
      </c>
      <c r="P55" s="26">
        <f>IFERROR(IF($F$7="","",IF($K$5+ROW()-26&gt;$K$6,"",IF(INDEX('Raw Pressure Data'!$A:$ZZ,$K$5+ROW()-26+$H$7,MATCH($F$7,'Raw Pressure Data'!$1:$1,0))=-999,"",INDEX('Raw Pressure Data'!$A:$ZZ,$K$5+ROW()-26+$H$7,MATCH($F$7,'Raw Pressure Data'!$1:$1,0))+$G$7))),"")</f>
        <v/>
      </c>
      <c r="Q55" s="26">
        <f>IFERROR(IF($F$8="","",IF($K$5+ROW()-26&gt;$K$6,"",IF(INDEX('Raw Pressure Data'!$A:$ZZ,$K$5+ROW()-26+$H$8,MATCH($F$8,'Raw Pressure Data'!$1:$1,0))=-999,"",INDEX('Raw Pressure Data'!$A:$ZZ,$K$5+ROW()-26+$H$8,MATCH($F$8,'Raw Pressure Data'!$1:$1,0))+$G$8))),"")</f>
        <v/>
      </c>
      <c r="R55" s="26">
        <f>IFERROR(IF($F$9="","",IF($K$5+ROW()-26&gt;$K$6,"",IF(INDEX('Raw Pressure Data'!$A:$ZZ,$K$5+ROW()-26+$H$9,MATCH($F$9,'Raw Pressure Data'!$1:$1,0))=-999,"",INDEX('Raw Pressure Data'!$A:$ZZ,$K$5+ROW()-26+$H$9,MATCH($F$9,'Raw Pressure Data'!$1:$1,0))+$G$9))),"")</f>
        <v/>
      </c>
      <c r="S55" s="26">
        <f>IFERROR(IF($F$10="","",IF($K$5+ROW()-26&gt;$K$6,"",IF(INDEX('Raw Pressure Data'!$A:$ZZ,$K$5+ROW()-26+$H$10,MATCH($F$10,'Raw Pressure Data'!$1:$1,0))=-999,"",INDEX('Raw Pressure Data'!$A:$ZZ,$K$5+ROW()-26+$H$10,MATCH($F$10,'Raw Pressure Data'!$1:$1,0))+$G$10))),"")</f>
        <v/>
      </c>
      <c r="T55" s="26">
        <f>IFERROR(IF($F$11="","",IF($K$5+ROW()-26&gt;$K$6,"",IF(INDEX('Raw Pressure Data'!$A:$ZZ,$K$5+ROW()-26+$H$11,MATCH($F$11,'Raw Pressure Data'!$1:$1,0))=-999,"",INDEX('Raw Pressure Data'!$A:$ZZ,$K$5+ROW()-26+$H$11,MATCH($F$11,'Raw Pressure Data'!$1:$1,0))+$G$11))),"")</f>
        <v/>
      </c>
      <c r="U55" s="26">
        <f>IFERROR(IF($F$12="","",IF($K$5+ROW()-26&gt;$K$6,"",IF(INDEX('Raw Pressure Data'!$A:$ZZ,$K$5+ROW()-26+$H$12,MATCH($F$12,'Raw Pressure Data'!$1:$1,0))=-999,"",INDEX('Raw Pressure Data'!$A:$ZZ,$K$5+ROW()-26+$H$12,MATCH($F$12,'Raw Pressure Data'!$1:$1,0))+$G$12))),"")</f>
        <v/>
      </c>
      <c r="V55" s="26">
        <f>IFERROR(IF($F$13="","",IF($K$5+ROW()-26&gt;$K$6,"",IF(INDEX('Raw Pressure Data'!$A:$ZZ,$K$5+ROW()-26+$H$13,MATCH($F$13,'Raw Pressure Data'!$1:$1,0))=-999,"",INDEX('Raw Pressure Data'!$A:$ZZ,$K$5+ROW()-26+$H$13,MATCH($F$13,'Raw Pressure Data'!$1:$1,0))+$G$13))),"")</f>
        <v/>
      </c>
      <c r="W55" s="26">
        <f>IFERROR(IF($F$14="","",IF($K$5+ROW()-26&gt;$K$6,"",IF(INDEX('Raw Pressure Data'!$A:$ZZ,$K$5+ROW()-26+$H$14,MATCH($F$14,'Raw Pressure Data'!$1:$1,0))=-999,"",INDEX('Raw Pressure Data'!$A:$ZZ,$K$5+ROW()-26+$H$14,MATCH($F$14,'Raw Pressure Data'!$1:$1,0))+$G$14))),"")</f>
        <v/>
      </c>
      <c r="X55" s="26">
        <f>IFERROR(IF($F$15="","",IF($K$5+ROW()-26&gt;$K$6,"",IF(INDEX('Raw Pressure Data'!$A:$ZZ,$K$5+ROW()-26+$H$15,MATCH($F$15,'Raw Pressure Data'!$1:$1,0))=-999,"",INDEX('Raw Pressure Data'!$A:$ZZ,$K$5+ROW()-26+$H$15,MATCH($F$15,'Raw Pressure Data'!$1:$1,0))+$G$15))),"")</f>
        <v/>
      </c>
      <c r="Y55" s="26">
        <f>IFERROR(IF($F$16="","",IF($K$5+ROW()-26&gt;$K$6,"",IF(INDEX('Raw Pressure Data'!$A:$ZZ,$K$5+ROW()-26+$H$16,MATCH($F$16,'Raw Pressure Data'!$1:$1,0))=-999,"",INDEX('Raw Pressure Data'!$A:$ZZ,$K$5+ROW()-26+$H$16,MATCH($F$16,'Raw Pressure Data'!$1:$1,0))+$G$16))),"")</f>
        <v/>
      </c>
      <c r="Z55" s="26">
        <f>IFERROR(IF($F$17="","",IF($K$5+ROW()-26&gt;$K$6,"",IF(INDEX('Raw Pressure Data'!$A:$ZZ,$K$5+ROW()-26+$H$17,MATCH($F$17,'Raw Pressure Data'!$1:$1,0))=-999,"",INDEX('Raw Pressure Data'!$A:$ZZ,$K$5+ROW()-26+$H$17,MATCH($F$17,'Raw Pressure Data'!$1:$1,0))+$G$17))),"")</f>
        <v/>
      </c>
      <c r="AA55" s="26">
        <f>IFERROR(IF($F$18="","",IF($K$5+ROW()-26&gt;$K$6,"",IF(INDEX('Raw Pressure Data'!$A:$ZZ,$K$5+ROW()-26+$H$18,MATCH($F$18,'Raw Pressure Data'!$1:$1,0))=-999,"",INDEX('Raw Pressure Data'!$A:$ZZ,$K$5+ROW()-26+$H$18,MATCH($F$18,'Raw Pressure Data'!$1:$1,0))+$G$18))),"")</f>
        <v/>
      </c>
      <c r="AB55" s="26">
        <f>IFERROR(IF($F$19="","",IF($K$5+ROW()-26&gt;$K$6,"",IF(INDEX('Raw Pressure Data'!$A:$ZZ,$K$5+ROW()-26+$H$19,MATCH($F$19,'Raw Pressure Data'!$1:$1,0))=-999,"",INDEX('Raw Pressure Data'!$A:$ZZ,$K$5+ROW()-26+$H$19,MATCH($F$19,'Raw Pressure Data'!$1:$1,0))+$G$19))),"")</f>
        <v/>
      </c>
      <c r="AC55" s="26">
        <f>IFERROR(IF($F$20="","",IF($K$5+ROW()-26&gt;$K$6,"",IF(INDEX('Raw Pressure Data'!$A:$ZZ,$K$5+ROW()-26+$H$20,MATCH($F$20,'Raw Pressure Data'!$1:$1,0))=-999,"",INDEX('Raw Pressure Data'!$A:$ZZ,$K$5+ROW()-26+$H$20,MATCH($F$20,'Raw Pressure Data'!$1:$1,0))+$G$20))),"")</f>
        <v/>
      </c>
      <c r="AD55" s="26">
        <f>IFERROR(IF($F$21="","",IF($K$5+ROW()-26&gt;$K$6,"",IF(INDEX('Raw Pressure Data'!$A:$ZZ,$K$5+ROW()-26+$H$21,MATCH($F$21,'Raw Pressure Data'!$1:$1,0))=-999,"",INDEX('Raw Pressure Data'!$A:$ZZ,$K$5+ROW()-26+$H$21,MATCH($F$21,'Raw Pressure Data'!$1:$1,0))+$G$21))),"")</f>
        <v/>
      </c>
      <c r="AE55" s="26">
        <f>IFERROR(IF($F$22="","",IF($K$5+ROW()-26&gt;$K$6,"",IF(INDEX('Raw Pressure Data'!$A:$ZZ,$K$5+ROW()-26+$H$22,MATCH($F$22,'Raw Pressure Data'!$1:$1,0))=-999,"",INDEX('Raw Pressure Data'!$A:$ZZ,$K$5+ROW()-26+$H$22,MATCH($F$22,'Raw Pressure Data'!$1:$1,0))+$G$22))),"")</f>
        <v/>
      </c>
    </row>
    <row r="56" ht="15" customHeight="1">
      <c r="A56" s="23">
        <f>IFERROR(IF($K$5+ROW()-26&gt;$K$6,"",IF(INDEX('Raw Flow Data'!$A:$A,$K$5+ROW()-26)="","",INDEX('Raw Flow Data'!$A:$A,$K$5+ROW()-26))),"")</f>
        <v/>
      </c>
      <c r="B56" s="24">
        <f>IFERROR(IF($B$3="","",IF($K$5+ROW()-26&gt;$K$6,"",IF(INDEX('Raw Flow Data'!$A:$ZZ,$K$5+ROW()-26+$D$3,MATCH($B$3,'Raw Flow Data'!$1:$1,0))=-999,"",INDEX('Raw Flow Data'!$A:$ZZ,$K$5+ROW()-26+$D$3,MATCH($B$3,'Raw Flow Data'!$1:$1,0))*$C$3))),"")</f>
        <v/>
      </c>
      <c r="C56" s="24">
        <f>IFERROR(IF($B$4="","",IF($K$5+ROW()-26&gt;$K$6,"",IF(INDEX('Raw Flow Data'!$A:$ZZ,$K$5+ROW()-26+$D$4,MATCH($B$4,'Raw Flow Data'!$1:$1,0))=-999,"",INDEX('Raw Flow Data'!$A:$ZZ,$K$5+ROW()-26+$D$4,MATCH($B$4,'Raw Flow Data'!$1:$1,0))*$C$4))),"")</f>
        <v/>
      </c>
      <c r="D56" s="24">
        <f>IFERROR(IF($B$5="","",IF($K$5+ROW()-26&gt;$K$6,"",IF(INDEX('Raw Flow Data'!$A:$ZZ,$K$5+ROW()-26+$D$5,MATCH($B$5,'Raw Flow Data'!$1:$1,0))=-999,"",INDEX('Raw Flow Data'!$A:$ZZ,$K$5+ROW()-26+$D$5,MATCH($B$5,'Raw Flow Data'!$1:$1,0))*$C$5))),"")</f>
        <v/>
      </c>
      <c r="E56" s="24">
        <f>IFERROR(IF($B$6="","",IF($K$5+ROW()-26&gt;$K$6,"",IF(INDEX('Raw Flow Data'!$A:$ZZ,$K$5+ROW()-26+$D$6,MATCH($B$6,'Raw Flow Data'!$1:$1,0))=-999,"",INDEX('Raw Flow Data'!$A:$ZZ,$K$5+ROW()-26+$D$6,MATCH($B$6,'Raw Flow Data'!$1:$1,0))*$C$6))),"")</f>
        <v/>
      </c>
      <c r="F56" s="24">
        <f>IFERROR(IF($B$7="","",IF($K$5+ROW()-26&gt;$K$6,"",IF(INDEX('Raw Flow Data'!$A:$ZZ,$K$5+ROW()-26+$D$7,MATCH($B$7,'Raw Flow Data'!$1:$1,0))=-999,"",INDEX('Raw Flow Data'!$A:$ZZ,$K$5+ROW()-26+$D$7,MATCH($B$7,'Raw Flow Data'!$1:$1,0))*$C$7))),"")</f>
        <v/>
      </c>
      <c r="G56" s="24">
        <f>IFERROR(IF($B$8="","",IF($K$5+ROW()-26&gt;$K$6,"",IF(INDEX('Raw Flow Data'!$A:$ZZ,$K$5+ROW()-26+$D$8,MATCH($B$8,'Raw Flow Data'!$1:$1,0))=-999,"",INDEX('Raw Flow Data'!$A:$ZZ,$K$5+ROW()-26+$D$8,MATCH($B$8,'Raw Flow Data'!$1:$1,0))*$C$8))),"")</f>
        <v/>
      </c>
      <c r="H56" s="24">
        <f>IFERROR(IF($B$9="","",IF($K$5+ROW()-26&gt;$K$6,"",IF(INDEX('Raw Flow Data'!$A:$ZZ,$K$5+ROW()-26+$D$9,MATCH($B$9,'Raw Flow Data'!$1:$1,0))=-999,"",INDEX('Raw Flow Data'!$A:$ZZ,$K$5+ROW()-26+$D$9,MATCH($B$9,'Raw Flow Data'!$1:$1,0))*$C$9))),"")</f>
        <v/>
      </c>
      <c r="I56" s="24">
        <f>IFERROR(IF($B$10="","",IF($K$5+ROW()-26&gt;$K$6,"",IF(INDEX('Raw Flow Data'!$A:$ZZ,$K$5+ROW()-26+$D$10,MATCH($B$10,'Raw Flow Data'!$1:$1,0))=-999,"",INDEX('Raw Flow Data'!$A:$ZZ,$K$5+ROW()-26+$D$10,MATCH($B$10,'Raw Flow Data'!$1:$1,0))*$C$10))),"")</f>
        <v/>
      </c>
      <c r="J56" s="24">
        <f>IFERROR(IF($B$11="","",IF($K$5+ROW()-26&gt;$K$6,"",IF(INDEX('Raw Flow Data'!$A:$ZZ,$K$5+ROW()-26+$D$11,MATCH($B$11,'Raw Flow Data'!$1:$1,0))=-999,"",INDEX('Raw Flow Data'!$A:$ZZ,$K$5+ROW()-26+$D$11,MATCH($B$11,'Raw Flow Data'!$1:$1,0))*$C$11))),"")</f>
        <v/>
      </c>
      <c r="K56" s="24">
        <f>IFERROR(IF($B$12="","",IF($K$5+ROW()-26&gt;$K$6,"",IF(INDEX('Raw Flow Data'!$A:$ZZ,$K$5+ROW()-26+$D$12,MATCH($B$12,'Raw Flow Data'!$1:$1,0))=-999,"",INDEX('Raw Flow Data'!$A:$ZZ,$K$5+ROW()-26+$D$12,MATCH($B$12,'Raw Flow Data'!$1:$1,0))*$C$12))),"")</f>
        <v/>
      </c>
      <c r="L56" s="24">
        <f>IFERROR(IF($F$3="","",IF($K$5+ROW()-26&gt;$K$6,"",IF(INDEX('Raw Pressure Data'!$A:$ZZ,$K$5+ROW()-26+$H$3,MATCH($F$3,'Raw Pressure Data'!$1:$1,0))=-999,"",INDEX('Raw Pressure Data'!$A:$ZZ,$K$5+ROW()-26+$H$3,MATCH($F$3,'Raw Pressure Data'!$1:$1,0))+$G$3))),"")</f>
        <v/>
      </c>
      <c r="M56" s="24">
        <f>IFERROR(IF($F$4="","",IF($K$5+ROW()-26&gt;$K$6,"",IF(INDEX('Raw Pressure Data'!$A:$ZZ,$K$5+ROW()-26+$H$4,MATCH($F$4,'Raw Pressure Data'!$1:$1,0))=-999,"",INDEX('Raw Pressure Data'!$A:$ZZ,$K$5+ROW()-26+$H$4,MATCH($F$4,'Raw Pressure Data'!$1:$1,0))+$G$4))),"")</f>
        <v/>
      </c>
      <c r="N56" s="24">
        <f>IFERROR(IF($F$5="","",IF($K$5+ROW()-26&gt;$K$6,"",IF(INDEX('Raw Pressure Data'!$A:$ZZ,$K$5+ROW()-26+$H$5,MATCH($F$5,'Raw Pressure Data'!$1:$1,0))=-999,"",INDEX('Raw Pressure Data'!$A:$ZZ,$K$5+ROW()-26+$H$5,MATCH($F$5,'Raw Pressure Data'!$1:$1,0))+$G$5))),"")</f>
        <v/>
      </c>
      <c r="O56" s="24">
        <f>IFERROR(IF($F$6="","",IF($K$5+ROW()-26&gt;$K$6,"",IF(INDEX('Raw Pressure Data'!$A:$ZZ,$K$5+ROW()-26+$H$6,MATCH($F$6,'Raw Pressure Data'!$1:$1,0))=-999,"",INDEX('Raw Pressure Data'!$A:$ZZ,$K$5+ROW()-26+$H$6,MATCH($F$6,'Raw Pressure Data'!$1:$1,0))+$G$6))),"")</f>
        <v/>
      </c>
      <c r="P56" s="24">
        <f>IFERROR(IF($F$7="","",IF($K$5+ROW()-26&gt;$K$6,"",IF(INDEX('Raw Pressure Data'!$A:$ZZ,$K$5+ROW()-26+$H$7,MATCH($F$7,'Raw Pressure Data'!$1:$1,0))=-999,"",INDEX('Raw Pressure Data'!$A:$ZZ,$K$5+ROW()-26+$H$7,MATCH($F$7,'Raw Pressure Data'!$1:$1,0))+$G$7))),"")</f>
        <v/>
      </c>
      <c r="Q56" s="24">
        <f>IFERROR(IF($F$8="","",IF($K$5+ROW()-26&gt;$K$6,"",IF(INDEX('Raw Pressure Data'!$A:$ZZ,$K$5+ROW()-26+$H$8,MATCH($F$8,'Raw Pressure Data'!$1:$1,0))=-999,"",INDEX('Raw Pressure Data'!$A:$ZZ,$K$5+ROW()-26+$H$8,MATCH($F$8,'Raw Pressure Data'!$1:$1,0))+$G$8))),"")</f>
        <v/>
      </c>
      <c r="R56" s="24">
        <f>IFERROR(IF($F$9="","",IF($K$5+ROW()-26&gt;$K$6,"",IF(INDEX('Raw Pressure Data'!$A:$ZZ,$K$5+ROW()-26+$H$9,MATCH($F$9,'Raw Pressure Data'!$1:$1,0))=-999,"",INDEX('Raw Pressure Data'!$A:$ZZ,$K$5+ROW()-26+$H$9,MATCH($F$9,'Raw Pressure Data'!$1:$1,0))+$G$9))),"")</f>
        <v/>
      </c>
      <c r="S56" s="24">
        <f>IFERROR(IF($F$10="","",IF($K$5+ROW()-26&gt;$K$6,"",IF(INDEX('Raw Pressure Data'!$A:$ZZ,$K$5+ROW()-26+$H$10,MATCH($F$10,'Raw Pressure Data'!$1:$1,0))=-999,"",INDEX('Raw Pressure Data'!$A:$ZZ,$K$5+ROW()-26+$H$10,MATCH($F$10,'Raw Pressure Data'!$1:$1,0))+$G$10))),"")</f>
        <v/>
      </c>
      <c r="T56" s="24">
        <f>IFERROR(IF($F$11="","",IF($K$5+ROW()-26&gt;$K$6,"",IF(INDEX('Raw Pressure Data'!$A:$ZZ,$K$5+ROW()-26+$H$11,MATCH($F$11,'Raw Pressure Data'!$1:$1,0))=-999,"",INDEX('Raw Pressure Data'!$A:$ZZ,$K$5+ROW()-26+$H$11,MATCH($F$11,'Raw Pressure Data'!$1:$1,0))+$G$11))),"")</f>
        <v/>
      </c>
      <c r="U56" s="24">
        <f>IFERROR(IF($F$12="","",IF($K$5+ROW()-26&gt;$K$6,"",IF(INDEX('Raw Pressure Data'!$A:$ZZ,$K$5+ROW()-26+$H$12,MATCH($F$12,'Raw Pressure Data'!$1:$1,0))=-999,"",INDEX('Raw Pressure Data'!$A:$ZZ,$K$5+ROW()-26+$H$12,MATCH($F$12,'Raw Pressure Data'!$1:$1,0))+$G$12))),"")</f>
        <v/>
      </c>
      <c r="V56" s="24">
        <f>IFERROR(IF($F$13="","",IF($K$5+ROW()-26&gt;$K$6,"",IF(INDEX('Raw Pressure Data'!$A:$ZZ,$K$5+ROW()-26+$H$13,MATCH($F$13,'Raw Pressure Data'!$1:$1,0))=-999,"",INDEX('Raw Pressure Data'!$A:$ZZ,$K$5+ROW()-26+$H$13,MATCH($F$13,'Raw Pressure Data'!$1:$1,0))+$G$13))),"")</f>
        <v/>
      </c>
      <c r="W56" s="24">
        <f>IFERROR(IF($F$14="","",IF($K$5+ROW()-26&gt;$K$6,"",IF(INDEX('Raw Pressure Data'!$A:$ZZ,$K$5+ROW()-26+$H$14,MATCH($F$14,'Raw Pressure Data'!$1:$1,0))=-999,"",INDEX('Raw Pressure Data'!$A:$ZZ,$K$5+ROW()-26+$H$14,MATCH($F$14,'Raw Pressure Data'!$1:$1,0))+$G$14))),"")</f>
        <v/>
      </c>
      <c r="X56" s="24">
        <f>IFERROR(IF($F$15="","",IF($K$5+ROW()-26&gt;$K$6,"",IF(INDEX('Raw Pressure Data'!$A:$ZZ,$K$5+ROW()-26+$H$15,MATCH($F$15,'Raw Pressure Data'!$1:$1,0))=-999,"",INDEX('Raw Pressure Data'!$A:$ZZ,$K$5+ROW()-26+$H$15,MATCH($F$15,'Raw Pressure Data'!$1:$1,0))+$G$15))),"")</f>
        <v/>
      </c>
      <c r="Y56" s="24">
        <f>IFERROR(IF($F$16="","",IF($K$5+ROW()-26&gt;$K$6,"",IF(INDEX('Raw Pressure Data'!$A:$ZZ,$K$5+ROW()-26+$H$16,MATCH($F$16,'Raw Pressure Data'!$1:$1,0))=-999,"",INDEX('Raw Pressure Data'!$A:$ZZ,$K$5+ROW()-26+$H$16,MATCH($F$16,'Raw Pressure Data'!$1:$1,0))+$G$16))),"")</f>
        <v/>
      </c>
      <c r="Z56" s="24">
        <f>IFERROR(IF($F$17="","",IF($K$5+ROW()-26&gt;$K$6,"",IF(INDEX('Raw Pressure Data'!$A:$ZZ,$K$5+ROW()-26+$H$17,MATCH($F$17,'Raw Pressure Data'!$1:$1,0))=-999,"",INDEX('Raw Pressure Data'!$A:$ZZ,$K$5+ROW()-26+$H$17,MATCH($F$17,'Raw Pressure Data'!$1:$1,0))+$G$17))),"")</f>
        <v/>
      </c>
      <c r="AA56" s="24">
        <f>IFERROR(IF($F$18="","",IF($K$5+ROW()-26&gt;$K$6,"",IF(INDEX('Raw Pressure Data'!$A:$ZZ,$K$5+ROW()-26+$H$18,MATCH($F$18,'Raw Pressure Data'!$1:$1,0))=-999,"",INDEX('Raw Pressure Data'!$A:$ZZ,$K$5+ROW()-26+$H$18,MATCH($F$18,'Raw Pressure Data'!$1:$1,0))+$G$18))),"")</f>
        <v/>
      </c>
      <c r="AB56" s="24">
        <f>IFERROR(IF($F$19="","",IF($K$5+ROW()-26&gt;$K$6,"",IF(INDEX('Raw Pressure Data'!$A:$ZZ,$K$5+ROW()-26+$H$19,MATCH($F$19,'Raw Pressure Data'!$1:$1,0))=-999,"",INDEX('Raw Pressure Data'!$A:$ZZ,$K$5+ROW()-26+$H$19,MATCH($F$19,'Raw Pressure Data'!$1:$1,0))+$G$19))),"")</f>
        <v/>
      </c>
      <c r="AC56" s="24">
        <f>IFERROR(IF($F$20="","",IF($K$5+ROW()-26&gt;$K$6,"",IF(INDEX('Raw Pressure Data'!$A:$ZZ,$K$5+ROW()-26+$H$20,MATCH($F$20,'Raw Pressure Data'!$1:$1,0))=-999,"",INDEX('Raw Pressure Data'!$A:$ZZ,$K$5+ROW()-26+$H$20,MATCH($F$20,'Raw Pressure Data'!$1:$1,0))+$G$20))),"")</f>
        <v/>
      </c>
      <c r="AD56" s="24">
        <f>IFERROR(IF($F$21="","",IF($K$5+ROW()-26&gt;$K$6,"",IF(INDEX('Raw Pressure Data'!$A:$ZZ,$K$5+ROW()-26+$H$21,MATCH($F$21,'Raw Pressure Data'!$1:$1,0))=-999,"",INDEX('Raw Pressure Data'!$A:$ZZ,$K$5+ROW()-26+$H$21,MATCH($F$21,'Raw Pressure Data'!$1:$1,0))+$G$21))),"")</f>
        <v/>
      </c>
      <c r="AE56" s="24">
        <f>IFERROR(IF($F$22="","",IF($K$5+ROW()-26&gt;$K$6,"",IF(INDEX('Raw Pressure Data'!$A:$ZZ,$K$5+ROW()-26+$H$22,MATCH($F$22,'Raw Pressure Data'!$1:$1,0))=-999,"",INDEX('Raw Pressure Data'!$A:$ZZ,$K$5+ROW()-26+$H$22,MATCH($F$22,'Raw Pressure Data'!$1:$1,0))+$G$22))),"")</f>
        <v/>
      </c>
    </row>
    <row r="57" ht="15" customHeight="1">
      <c r="A57" s="25">
        <f>IFERROR(IF($K$5+ROW()-26&gt;$K$6,"",IF(INDEX('Raw Flow Data'!$A:$A,$K$5+ROW()-26)="","",INDEX('Raw Flow Data'!$A:$A,$K$5+ROW()-26))),"")</f>
        <v/>
      </c>
      <c r="B57" s="26">
        <f>IFERROR(IF($B$3="","",IF($K$5+ROW()-26&gt;$K$6,"",IF(INDEX('Raw Flow Data'!$A:$ZZ,$K$5+ROW()-26+$D$3,MATCH($B$3,'Raw Flow Data'!$1:$1,0))=-999,"",INDEX('Raw Flow Data'!$A:$ZZ,$K$5+ROW()-26+$D$3,MATCH($B$3,'Raw Flow Data'!$1:$1,0))*$C$3))),"")</f>
        <v/>
      </c>
      <c r="C57" s="26">
        <f>IFERROR(IF($B$4="","",IF($K$5+ROW()-26&gt;$K$6,"",IF(INDEX('Raw Flow Data'!$A:$ZZ,$K$5+ROW()-26+$D$4,MATCH($B$4,'Raw Flow Data'!$1:$1,0))=-999,"",INDEX('Raw Flow Data'!$A:$ZZ,$K$5+ROW()-26+$D$4,MATCH($B$4,'Raw Flow Data'!$1:$1,0))*$C$4))),"")</f>
        <v/>
      </c>
      <c r="D57" s="26">
        <f>IFERROR(IF($B$5="","",IF($K$5+ROW()-26&gt;$K$6,"",IF(INDEX('Raw Flow Data'!$A:$ZZ,$K$5+ROW()-26+$D$5,MATCH($B$5,'Raw Flow Data'!$1:$1,0))=-999,"",INDEX('Raw Flow Data'!$A:$ZZ,$K$5+ROW()-26+$D$5,MATCH($B$5,'Raw Flow Data'!$1:$1,0))*$C$5))),"")</f>
        <v/>
      </c>
      <c r="E57" s="26">
        <f>IFERROR(IF($B$6="","",IF($K$5+ROW()-26&gt;$K$6,"",IF(INDEX('Raw Flow Data'!$A:$ZZ,$K$5+ROW()-26+$D$6,MATCH($B$6,'Raw Flow Data'!$1:$1,0))=-999,"",INDEX('Raw Flow Data'!$A:$ZZ,$K$5+ROW()-26+$D$6,MATCH($B$6,'Raw Flow Data'!$1:$1,0))*$C$6))),"")</f>
        <v/>
      </c>
      <c r="F57" s="26">
        <f>IFERROR(IF($B$7="","",IF($K$5+ROW()-26&gt;$K$6,"",IF(INDEX('Raw Flow Data'!$A:$ZZ,$K$5+ROW()-26+$D$7,MATCH($B$7,'Raw Flow Data'!$1:$1,0))=-999,"",INDEX('Raw Flow Data'!$A:$ZZ,$K$5+ROW()-26+$D$7,MATCH($B$7,'Raw Flow Data'!$1:$1,0))*$C$7))),"")</f>
        <v/>
      </c>
      <c r="G57" s="26">
        <f>IFERROR(IF($B$8="","",IF($K$5+ROW()-26&gt;$K$6,"",IF(INDEX('Raw Flow Data'!$A:$ZZ,$K$5+ROW()-26+$D$8,MATCH($B$8,'Raw Flow Data'!$1:$1,0))=-999,"",INDEX('Raw Flow Data'!$A:$ZZ,$K$5+ROW()-26+$D$8,MATCH($B$8,'Raw Flow Data'!$1:$1,0))*$C$8))),"")</f>
        <v/>
      </c>
      <c r="H57" s="26">
        <f>IFERROR(IF($B$9="","",IF($K$5+ROW()-26&gt;$K$6,"",IF(INDEX('Raw Flow Data'!$A:$ZZ,$K$5+ROW()-26+$D$9,MATCH($B$9,'Raw Flow Data'!$1:$1,0))=-999,"",INDEX('Raw Flow Data'!$A:$ZZ,$K$5+ROW()-26+$D$9,MATCH($B$9,'Raw Flow Data'!$1:$1,0))*$C$9))),"")</f>
        <v/>
      </c>
      <c r="I57" s="26">
        <f>IFERROR(IF($B$10="","",IF($K$5+ROW()-26&gt;$K$6,"",IF(INDEX('Raw Flow Data'!$A:$ZZ,$K$5+ROW()-26+$D$10,MATCH($B$10,'Raw Flow Data'!$1:$1,0))=-999,"",INDEX('Raw Flow Data'!$A:$ZZ,$K$5+ROW()-26+$D$10,MATCH($B$10,'Raw Flow Data'!$1:$1,0))*$C$10))),"")</f>
        <v/>
      </c>
      <c r="J57" s="26">
        <f>IFERROR(IF($B$11="","",IF($K$5+ROW()-26&gt;$K$6,"",IF(INDEX('Raw Flow Data'!$A:$ZZ,$K$5+ROW()-26+$D$11,MATCH($B$11,'Raw Flow Data'!$1:$1,0))=-999,"",INDEX('Raw Flow Data'!$A:$ZZ,$K$5+ROW()-26+$D$11,MATCH($B$11,'Raw Flow Data'!$1:$1,0))*$C$11))),"")</f>
        <v/>
      </c>
      <c r="K57" s="26">
        <f>IFERROR(IF($B$12="","",IF($K$5+ROW()-26&gt;$K$6,"",IF(INDEX('Raw Flow Data'!$A:$ZZ,$K$5+ROW()-26+$D$12,MATCH($B$12,'Raw Flow Data'!$1:$1,0))=-999,"",INDEX('Raw Flow Data'!$A:$ZZ,$K$5+ROW()-26+$D$12,MATCH($B$12,'Raw Flow Data'!$1:$1,0))*$C$12))),"")</f>
        <v/>
      </c>
      <c r="L57" s="26">
        <f>IFERROR(IF($F$3="","",IF($K$5+ROW()-26&gt;$K$6,"",IF(INDEX('Raw Pressure Data'!$A:$ZZ,$K$5+ROW()-26+$H$3,MATCH($F$3,'Raw Pressure Data'!$1:$1,0))=-999,"",INDEX('Raw Pressure Data'!$A:$ZZ,$K$5+ROW()-26+$H$3,MATCH($F$3,'Raw Pressure Data'!$1:$1,0))+$G$3))),"")</f>
        <v/>
      </c>
      <c r="M57" s="26">
        <f>IFERROR(IF($F$4="","",IF($K$5+ROW()-26&gt;$K$6,"",IF(INDEX('Raw Pressure Data'!$A:$ZZ,$K$5+ROW()-26+$H$4,MATCH($F$4,'Raw Pressure Data'!$1:$1,0))=-999,"",INDEX('Raw Pressure Data'!$A:$ZZ,$K$5+ROW()-26+$H$4,MATCH($F$4,'Raw Pressure Data'!$1:$1,0))+$G$4))),"")</f>
        <v/>
      </c>
      <c r="N57" s="26">
        <f>IFERROR(IF($F$5="","",IF($K$5+ROW()-26&gt;$K$6,"",IF(INDEX('Raw Pressure Data'!$A:$ZZ,$K$5+ROW()-26+$H$5,MATCH($F$5,'Raw Pressure Data'!$1:$1,0))=-999,"",INDEX('Raw Pressure Data'!$A:$ZZ,$K$5+ROW()-26+$H$5,MATCH($F$5,'Raw Pressure Data'!$1:$1,0))+$G$5))),"")</f>
        <v/>
      </c>
      <c r="O57" s="26">
        <f>IFERROR(IF($F$6="","",IF($K$5+ROW()-26&gt;$K$6,"",IF(INDEX('Raw Pressure Data'!$A:$ZZ,$K$5+ROW()-26+$H$6,MATCH($F$6,'Raw Pressure Data'!$1:$1,0))=-999,"",INDEX('Raw Pressure Data'!$A:$ZZ,$K$5+ROW()-26+$H$6,MATCH($F$6,'Raw Pressure Data'!$1:$1,0))+$G$6))),"")</f>
        <v/>
      </c>
      <c r="P57" s="26">
        <f>IFERROR(IF($F$7="","",IF($K$5+ROW()-26&gt;$K$6,"",IF(INDEX('Raw Pressure Data'!$A:$ZZ,$K$5+ROW()-26+$H$7,MATCH($F$7,'Raw Pressure Data'!$1:$1,0))=-999,"",INDEX('Raw Pressure Data'!$A:$ZZ,$K$5+ROW()-26+$H$7,MATCH($F$7,'Raw Pressure Data'!$1:$1,0))+$G$7))),"")</f>
        <v/>
      </c>
      <c r="Q57" s="26">
        <f>IFERROR(IF($F$8="","",IF($K$5+ROW()-26&gt;$K$6,"",IF(INDEX('Raw Pressure Data'!$A:$ZZ,$K$5+ROW()-26+$H$8,MATCH($F$8,'Raw Pressure Data'!$1:$1,0))=-999,"",INDEX('Raw Pressure Data'!$A:$ZZ,$K$5+ROW()-26+$H$8,MATCH($F$8,'Raw Pressure Data'!$1:$1,0))+$G$8))),"")</f>
        <v/>
      </c>
      <c r="R57" s="26">
        <f>IFERROR(IF($F$9="","",IF($K$5+ROW()-26&gt;$K$6,"",IF(INDEX('Raw Pressure Data'!$A:$ZZ,$K$5+ROW()-26+$H$9,MATCH($F$9,'Raw Pressure Data'!$1:$1,0))=-999,"",INDEX('Raw Pressure Data'!$A:$ZZ,$K$5+ROW()-26+$H$9,MATCH($F$9,'Raw Pressure Data'!$1:$1,0))+$G$9))),"")</f>
        <v/>
      </c>
      <c r="S57" s="26">
        <f>IFERROR(IF($F$10="","",IF($K$5+ROW()-26&gt;$K$6,"",IF(INDEX('Raw Pressure Data'!$A:$ZZ,$K$5+ROW()-26+$H$10,MATCH($F$10,'Raw Pressure Data'!$1:$1,0))=-999,"",INDEX('Raw Pressure Data'!$A:$ZZ,$K$5+ROW()-26+$H$10,MATCH($F$10,'Raw Pressure Data'!$1:$1,0))+$G$10))),"")</f>
        <v/>
      </c>
      <c r="T57" s="26">
        <f>IFERROR(IF($F$11="","",IF($K$5+ROW()-26&gt;$K$6,"",IF(INDEX('Raw Pressure Data'!$A:$ZZ,$K$5+ROW()-26+$H$11,MATCH($F$11,'Raw Pressure Data'!$1:$1,0))=-999,"",INDEX('Raw Pressure Data'!$A:$ZZ,$K$5+ROW()-26+$H$11,MATCH($F$11,'Raw Pressure Data'!$1:$1,0))+$G$11))),"")</f>
        <v/>
      </c>
      <c r="U57" s="26">
        <f>IFERROR(IF($F$12="","",IF($K$5+ROW()-26&gt;$K$6,"",IF(INDEX('Raw Pressure Data'!$A:$ZZ,$K$5+ROW()-26+$H$12,MATCH($F$12,'Raw Pressure Data'!$1:$1,0))=-999,"",INDEX('Raw Pressure Data'!$A:$ZZ,$K$5+ROW()-26+$H$12,MATCH($F$12,'Raw Pressure Data'!$1:$1,0))+$G$12))),"")</f>
        <v/>
      </c>
      <c r="V57" s="26">
        <f>IFERROR(IF($F$13="","",IF($K$5+ROW()-26&gt;$K$6,"",IF(INDEX('Raw Pressure Data'!$A:$ZZ,$K$5+ROW()-26+$H$13,MATCH($F$13,'Raw Pressure Data'!$1:$1,0))=-999,"",INDEX('Raw Pressure Data'!$A:$ZZ,$K$5+ROW()-26+$H$13,MATCH($F$13,'Raw Pressure Data'!$1:$1,0))+$G$13))),"")</f>
        <v/>
      </c>
      <c r="W57" s="26">
        <f>IFERROR(IF($F$14="","",IF($K$5+ROW()-26&gt;$K$6,"",IF(INDEX('Raw Pressure Data'!$A:$ZZ,$K$5+ROW()-26+$H$14,MATCH($F$14,'Raw Pressure Data'!$1:$1,0))=-999,"",INDEX('Raw Pressure Data'!$A:$ZZ,$K$5+ROW()-26+$H$14,MATCH($F$14,'Raw Pressure Data'!$1:$1,0))+$G$14))),"")</f>
        <v/>
      </c>
      <c r="X57" s="26">
        <f>IFERROR(IF($F$15="","",IF($K$5+ROW()-26&gt;$K$6,"",IF(INDEX('Raw Pressure Data'!$A:$ZZ,$K$5+ROW()-26+$H$15,MATCH($F$15,'Raw Pressure Data'!$1:$1,0))=-999,"",INDEX('Raw Pressure Data'!$A:$ZZ,$K$5+ROW()-26+$H$15,MATCH($F$15,'Raw Pressure Data'!$1:$1,0))+$G$15))),"")</f>
        <v/>
      </c>
      <c r="Y57" s="26">
        <f>IFERROR(IF($F$16="","",IF($K$5+ROW()-26&gt;$K$6,"",IF(INDEX('Raw Pressure Data'!$A:$ZZ,$K$5+ROW()-26+$H$16,MATCH($F$16,'Raw Pressure Data'!$1:$1,0))=-999,"",INDEX('Raw Pressure Data'!$A:$ZZ,$K$5+ROW()-26+$H$16,MATCH($F$16,'Raw Pressure Data'!$1:$1,0))+$G$16))),"")</f>
        <v/>
      </c>
      <c r="Z57" s="26">
        <f>IFERROR(IF($F$17="","",IF($K$5+ROW()-26&gt;$K$6,"",IF(INDEX('Raw Pressure Data'!$A:$ZZ,$K$5+ROW()-26+$H$17,MATCH($F$17,'Raw Pressure Data'!$1:$1,0))=-999,"",INDEX('Raw Pressure Data'!$A:$ZZ,$K$5+ROW()-26+$H$17,MATCH($F$17,'Raw Pressure Data'!$1:$1,0))+$G$17))),"")</f>
        <v/>
      </c>
      <c r="AA57" s="26">
        <f>IFERROR(IF($F$18="","",IF($K$5+ROW()-26&gt;$K$6,"",IF(INDEX('Raw Pressure Data'!$A:$ZZ,$K$5+ROW()-26+$H$18,MATCH($F$18,'Raw Pressure Data'!$1:$1,0))=-999,"",INDEX('Raw Pressure Data'!$A:$ZZ,$K$5+ROW()-26+$H$18,MATCH($F$18,'Raw Pressure Data'!$1:$1,0))+$G$18))),"")</f>
        <v/>
      </c>
      <c r="AB57" s="26">
        <f>IFERROR(IF($F$19="","",IF($K$5+ROW()-26&gt;$K$6,"",IF(INDEX('Raw Pressure Data'!$A:$ZZ,$K$5+ROW()-26+$H$19,MATCH($F$19,'Raw Pressure Data'!$1:$1,0))=-999,"",INDEX('Raw Pressure Data'!$A:$ZZ,$K$5+ROW()-26+$H$19,MATCH($F$19,'Raw Pressure Data'!$1:$1,0))+$G$19))),"")</f>
        <v/>
      </c>
      <c r="AC57" s="26">
        <f>IFERROR(IF($F$20="","",IF($K$5+ROW()-26&gt;$K$6,"",IF(INDEX('Raw Pressure Data'!$A:$ZZ,$K$5+ROW()-26+$H$20,MATCH($F$20,'Raw Pressure Data'!$1:$1,0))=-999,"",INDEX('Raw Pressure Data'!$A:$ZZ,$K$5+ROW()-26+$H$20,MATCH($F$20,'Raw Pressure Data'!$1:$1,0))+$G$20))),"")</f>
        <v/>
      </c>
      <c r="AD57" s="26">
        <f>IFERROR(IF($F$21="","",IF($K$5+ROW()-26&gt;$K$6,"",IF(INDEX('Raw Pressure Data'!$A:$ZZ,$K$5+ROW()-26+$H$21,MATCH($F$21,'Raw Pressure Data'!$1:$1,0))=-999,"",INDEX('Raw Pressure Data'!$A:$ZZ,$K$5+ROW()-26+$H$21,MATCH($F$21,'Raw Pressure Data'!$1:$1,0))+$G$21))),"")</f>
        <v/>
      </c>
      <c r="AE57" s="26">
        <f>IFERROR(IF($F$22="","",IF($K$5+ROW()-26&gt;$K$6,"",IF(INDEX('Raw Pressure Data'!$A:$ZZ,$K$5+ROW()-26+$H$22,MATCH($F$22,'Raw Pressure Data'!$1:$1,0))=-999,"",INDEX('Raw Pressure Data'!$A:$ZZ,$K$5+ROW()-26+$H$22,MATCH($F$22,'Raw Pressure Data'!$1:$1,0))+$G$22))),"")</f>
        <v/>
      </c>
    </row>
    <row r="58" ht="15" customHeight="1">
      <c r="A58" s="23">
        <f>IFERROR(IF($K$5+ROW()-26&gt;$K$6,"",IF(INDEX('Raw Flow Data'!$A:$A,$K$5+ROW()-26)="","",INDEX('Raw Flow Data'!$A:$A,$K$5+ROW()-26))),"")</f>
        <v/>
      </c>
      <c r="B58" s="24">
        <f>IFERROR(IF($B$3="","",IF($K$5+ROW()-26&gt;$K$6,"",IF(INDEX('Raw Flow Data'!$A:$ZZ,$K$5+ROW()-26+$D$3,MATCH($B$3,'Raw Flow Data'!$1:$1,0))=-999,"",INDEX('Raw Flow Data'!$A:$ZZ,$K$5+ROW()-26+$D$3,MATCH($B$3,'Raw Flow Data'!$1:$1,0))*$C$3))),"")</f>
        <v/>
      </c>
      <c r="C58" s="24">
        <f>IFERROR(IF($B$4="","",IF($K$5+ROW()-26&gt;$K$6,"",IF(INDEX('Raw Flow Data'!$A:$ZZ,$K$5+ROW()-26+$D$4,MATCH($B$4,'Raw Flow Data'!$1:$1,0))=-999,"",INDEX('Raw Flow Data'!$A:$ZZ,$K$5+ROW()-26+$D$4,MATCH($B$4,'Raw Flow Data'!$1:$1,0))*$C$4))),"")</f>
        <v/>
      </c>
      <c r="D58" s="24">
        <f>IFERROR(IF($B$5="","",IF($K$5+ROW()-26&gt;$K$6,"",IF(INDEX('Raw Flow Data'!$A:$ZZ,$K$5+ROW()-26+$D$5,MATCH($B$5,'Raw Flow Data'!$1:$1,0))=-999,"",INDEX('Raw Flow Data'!$A:$ZZ,$K$5+ROW()-26+$D$5,MATCH($B$5,'Raw Flow Data'!$1:$1,0))*$C$5))),"")</f>
        <v/>
      </c>
      <c r="E58" s="24">
        <f>IFERROR(IF($B$6="","",IF($K$5+ROW()-26&gt;$K$6,"",IF(INDEX('Raw Flow Data'!$A:$ZZ,$K$5+ROW()-26+$D$6,MATCH($B$6,'Raw Flow Data'!$1:$1,0))=-999,"",INDEX('Raw Flow Data'!$A:$ZZ,$K$5+ROW()-26+$D$6,MATCH($B$6,'Raw Flow Data'!$1:$1,0))*$C$6))),"")</f>
        <v/>
      </c>
      <c r="F58" s="24">
        <f>IFERROR(IF($B$7="","",IF($K$5+ROW()-26&gt;$K$6,"",IF(INDEX('Raw Flow Data'!$A:$ZZ,$K$5+ROW()-26+$D$7,MATCH($B$7,'Raw Flow Data'!$1:$1,0))=-999,"",INDEX('Raw Flow Data'!$A:$ZZ,$K$5+ROW()-26+$D$7,MATCH($B$7,'Raw Flow Data'!$1:$1,0))*$C$7))),"")</f>
        <v/>
      </c>
      <c r="G58" s="24">
        <f>IFERROR(IF($B$8="","",IF($K$5+ROW()-26&gt;$K$6,"",IF(INDEX('Raw Flow Data'!$A:$ZZ,$K$5+ROW()-26+$D$8,MATCH($B$8,'Raw Flow Data'!$1:$1,0))=-999,"",INDEX('Raw Flow Data'!$A:$ZZ,$K$5+ROW()-26+$D$8,MATCH($B$8,'Raw Flow Data'!$1:$1,0))*$C$8))),"")</f>
        <v/>
      </c>
      <c r="H58" s="24">
        <f>IFERROR(IF($B$9="","",IF($K$5+ROW()-26&gt;$K$6,"",IF(INDEX('Raw Flow Data'!$A:$ZZ,$K$5+ROW()-26+$D$9,MATCH($B$9,'Raw Flow Data'!$1:$1,0))=-999,"",INDEX('Raw Flow Data'!$A:$ZZ,$K$5+ROW()-26+$D$9,MATCH($B$9,'Raw Flow Data'!$1:$1,0))*$C$9))),"")</f>
        <v/>
      </c>
      <c r="I58" s="24">
        <f>IFERROR(IF($B$10="","",IF($K$5+ROW()-26&gt;$K$6,"",IF(INDEX('Raw Flow Data'!$A:$ZZ,$K$5+ROW()-26+$D$10,MATCH($B$10,'Raw Flow Data'!$1:$1,0))=-999,"",INDEX('Raw Flow Data'!$A:$ZZ,$K$5+ROW()-26+$D$10,MATCH($B$10,'Raw Flow Data'!$1:$1,0))*$C$10))),"")</f>
        <v/>
      </c>
      <c r="J58" s="24">
        <f>IFERROR(IF($B$11="","",IF($K$5+ROW()-26&gt;$K$6,"",IF(INDEX('Raw Flow Data'!$A:$ZZ,$K$5+ROW()-26+$D$11,MATCH($B$11,'Raw Flow Data'!$1:$1,0))=-999,"",INDEX('Raw Flow Data'!$A:$ZZ,$K$5+ROW()-26+$D$11,MATCH($B$11,'Raw Flow Data'!$1:$1,0))*$C$11))),"")</f>
        <v/>
      </c>
      <c r="K58" s="24">
        <f>IFERROR(IF($B$12="","",IF($K$5+ROW()-26&gt;$K$6,"",IF(INDEX('Raw Flow Data'!$A:$ZZ,$K$5+ROW()-26+$D$12,MATCH($B$12,'Raw Flow Data'!$1:$1,0))=-999,"",INDEX('Raw Flow Data'!$A:$ZZ,$K$5+ROW()-26+$D$12,MATCH($B$12,'Raw Flow Data'!$1:$1,0))*$C$12))),"")</f>
        <v/>
      </c>
      <c r="L58" s="24">
        <f>IFERROR(IF($F$3="","",IF($K$5+ROW()-26&gt;$K$6,"",IF(INDEX('Raw Pressure Data'!$A:$ZZ,$K$5+ROW()-26+$H$3,MATCH($F$3,'Raw Pressure Data'!$1:$1,0))=-999,"",INDEX('Raw Pressure Data'!$A:$ZZ,$K$5+ROW()-26+$H$3,MATCH($F$3,'Raw Pressure Data'!$1:$1,0))+$G$3))),"")</f>
        <v/>
      </c>
      <c r="M58" s="24">
        <f>IFERROR(IF($F$4="","",IF($K$5+ROW()-26&gt;$K$6,"",IF(INDEX('Raw Pressure Data'!$A:$ZZ,$K$5+ROW()-26+$H$4,MATCH($F$4,'Raw Pressure Data'!$1:$1,0))=-999,"",INDEX('Raw Pressure Data'!$A:$ZZ,$K$5+ROW()-26+$H$4,MATCH($F$4,'Raw Pressure Data'!$1:$1,0))+$G$4))),"")</f>
        <v/>
      </c>
      <c r="N58" s="24">
        <f>IFERROR(IF($F$5="","",IF($K$5+ROW()-26&gt;$K$6,"",IF(INDEX('Raw Pressure Data'!$A:$ZZ,$K$5+ROW()-26+$H$5,MATCH($F$5,'Raw Pressure Data'!$1:$1,0))=-999,"",INDEX('Raw Pressure Data'!$A:$ZZ,$K$5+ROW()-26+$H$5,MATCH($F$5,'Raw Pressure Data'!$1:$1,0))+$G$5))),"")</f>
        <v/>
      </c>
      <c r="O58" s="24">
        <f>IFERROR(IF($F$6="","",IF($K$5+ROW()-26&gt;$K$6,"",IF(INDEX('Raw Pressure Data'!$A:$ZZ,$K$5+ROW()-26+$H$6,MATCH($F$6,'Raw Pressure Data'!$1:$1,0))=-999,"",INDEX('Raw Pressure Data'!$A:$ZZ,$K$5+ROW()-26+$H$6,MATCH($F$6,'Raw Pressure Data'!$1:$1,0))+$G$6))),"")</f>
        <v/>
      </c>
      <c r="P58" s="24">
        <f>IFERROR(IF($F$7="","",IF($K$5+ROW()-26&gt;$K$6,"",IF(INDEX('Raw Pressure Data'!$A:$ZZ,$K$5+ROW()-26+$H$7,MATCH($F$7,'Raw Pressure Data'!$1:$1,0))=-999,"",INDEX('Raw Pressure Data'!$A:$ZZ,$K$5+ROW()-26+$H$7,MATCH($F$7,'Raw Pressure Data'!$1:$1,0))+$G$7))),"")</f>
        <v/>
      </c>
      <c r="Q58" s="24">
        <f>IFERROR(IF($F$8="","",IF($K$5+ROW()-26&gt;$K$6,"",IF(INDEX('Raw Pressure Data'!$A:$ZZ,$K$5+ROW()-26+$H$8,MATCH($F$8,'Raw Pressure Data'!$1:$1,0))=-999,"",INDEX('Raw Pressure Data'!$A:$ZZ,$K$5+ROW()-26+$H$8,MATCH($F$8,'Raw Pressure Data'!$1:$1,0))+$G$8))),"")</f>
        <v/>
      </c>
      <c r="R58" s="24">
        <f>IFERROR(IF($F$9="","",IF($K$5+ROW()-26&gt;$K$6,"",IF(INDEX('Raw Pressure Data'!$A:$ZZ,$K$5+ROW()-26+$H$9,MATCH($F$9,'Raw Pressure Data'!$1:$1,0))=-999,"",INDEX('Raw Pressure Data'!$A:$ZZ,$K$5+ROW()-26+$H$9,MATCH($F$9,'Raw Pressure Data'!$1:$1,0))+$G$9))),"")</f>
        <v/>
      </c>
      <c r="S58" s="24">
        <f>IFERROR(IF($F$10="","",IF($K$5+ROW()-26&gt;$K$6,"",IF(INDEX('Raw Pressure Data'!$A:$ZZ,$K$5+ROW()-26+$H$10,MATCH($F$10,'Raw Pressure Data'!$1:$1,0))=-999,"",INDEX('Raw Pressure Data'!$A:$ZZ,$K$5+ROW()-26+$H$10,MATCH($F$10,'Raw Pressure Data'!$1:$1,0))+$G$10))),"")</f>
        <v/>
      </c>
      <c r="T58" s="24">
        <f>IFERROR(IF($F$11="","",IF($K$5+ROW()-26&gt;$K$6,"",IF(INDEX('Raw Pressure Data'!$A:$ZZ,$K$5+ROW()-26+$H$11,MATCH($F$11,'Raw Pressure Data'!$1:$1,0))=-999,"",INDEX('Raw Pressure Data'!$A:$ZZ,$K$5+ROW()-26+$H$11,MATCH($F$11,'Raw Pressure Data'!$1:$1,0))+$G$11))),"")</f>
        <v/>
      </c>
      <c r="U58" s="24">
        <f>IFERROR(IF($F$12="","",IF($K$5+ROW()-26&gt;$K$6,"",IF(INDEX('Raw Pressure Data'!$A:$ZZ,$K$5+ROW()-26+$H$12,MATCH($F$12,'Raw Pressure Data'!$1:$1,0))=-999,"",INDEX('Raw Pressure Data'!$A:$ZZ,$K$5+ROW()-26+$H$12,MATCH($F$12,'Raw Pressure Data'!$1:$1,0))+$G$12))),"")</f>
        <v/>
      </c>
      <c r="V58" s="24">
        <f>IFERROR(IF($F$13="","",IF($K$5+ROW()-26&gt;$K$6,"",IF(INDEX('Raw Pressure Data'!$A:$ZZ,$K$5+ROW()-26+$H$13,MATCH($F$13,'Raw Pressure Data'!$1:$1,0))=-999,"",INDEX('Raw Pressure Data'!$A:$ZZ,$K$5+ROW()-26+$H$13,MATCH($F$13,'Raw Pressure Data'!$1:$1,0))+$G$13))),"")</f>
        <v/>
      </c>
      <c r="W58" s="24">
        <f>IFERROR(IF($F$14="","",IF($K$5+ROW()-26&gt;$K$6,"",IF(INDEX('Raw Pressure Data'!$A:$ZZ,$K$5+ROW()-26+$H$14,MATCH($F$14,'Raw Pressure Data'!$1:$1,0))=-999,"",INDEX('Raw Pressure Data'!$A:$ZZ,$K$5+ROW()-26+$H$14,MATCH($F$14,'Raw Pressure Data'!$1:$1,0))+$G$14))),"")</f>
        <v/>
      </c>
      <c r="X58" s="24">
        <f>IFERROR(IF($F$15="","",IF($K$5+ROW()-26&gt;$K$6,"",IF(INDEX('Raw Pressure Data'!$A:$ZZ,$K$5+ROW()-26+$H$15,MATCH($F$15,'Raw Pressure Data'!$1:$1,0))=-999,"",INDEX('Raw Pressure Data'!$A:$ZZ,$K$5+ROW()-26+$H$15,MATCH($F$15,'Raw Pressure Data'!$1:$1,0))+$G$15))),"")</f>
        <v/>
      </c>
      <c r="Y58" s="24">
        <f>IFERROR(IF($F$16="","",IF($K$5+ROW()-26&gt;$K$6,"",IF(INDEX('Raw Pressure Data'!$A:$ZZ,$K$5+ROW()-26+$H$16,MATCH($F$16,'Raw Pressure Data'!$1:$1,0))=-999,"",INDEX('Raw Pressure Data'!$A:$ZZ,$K$5+ROW()-26+$H$16,MATCH($F$16,'Raw Pressure Data'!$1:$1,0))+$G$16))),"")</f>
        <v/>
      </c>
      <c r="Z58" s="24">
        <f>IFERROR(IF($F$17="","",IF($K$5+ROW()-26&gt;$K$6,"",IF(INDEX('Raw Pressure Data'!$A:$ZZ,$K$5+ROW()-26+$H$17,MATCH($F$17,'Raw Pressure Data'!$1:$1,0))=-999,"",INDEX('Raw Pressure Data'!$A:$ZZ,$K$5+ROW()-26+$H$17,MATCH($F$17,'Raw Pressure Data'!$1:$1,0))+$G$17))),"")</f>
        <v/>
      </c>
      <c r="AA58" s="24">
        <f>IFERROR(IF($F$18="","",IF($K$5+ROW()-26&gt;$K$6,"",IF(INDEX('Raw Pressure Data'!$A:$ZZ,$K$5+ROW()-26+$H$18,MATCH($F$18,'Raw Pressure Data'!$1:$1,0))=-999,"",INDEX('Raw Pressure Data'!$A:$ZZ,$K$5+ROW()-26+$H$18,MATCH($F$18,'Raw Pressure Data'!$1:$1,0))+$G$18))),"")</f>
        <v/>
      </c>
      <c r="AB58" s="24">
        <f>IFERROR(IF($F$19="","",IF($K$5+ROW()-26&gt;$K$6,"",IF(INDEX('Raw Pressure Data'!$A:$ZZ,$K$5+ROW()-26+$H$19,MATCH($F$19,'Raw Pressure Data'!$1:$1,0))=-999,"",INDEX('Raw Pressure Data'!$A:$ZZ,$K$5+ROW()-26+$H$19,MATCH($F$19,'Raw Pressure Data'!$1:$1,0))+$G$19))),"")</f>
        <v/>
      </c>
      <c r="AC58" s="24">
        <f>IFERROR(IF($F$20="","",IF($K$5+ROW()-26&gt;$K$6,"",IF(INDEX('Raw Pressure Data'!$A:$ZZ,$K$5+ROW()-26+$H$20,MATCH($F$20,'Raw Pressure Data'!$1:$1,0))=-999,"",INDEX('Raw Pressure Data'!$A:$ZZ,$K$5+ROW()-26+$H$20,MATCH($F$20,'Raw Pressure Data'!$1:$1,0))+$G$20))),"")</f>
        <v/>
      </c>
      <c r="AD58" s="24">
        <f>IFERROR(IF($F$21="","",IF($K$5+ROW()-26&gt;$K$6,"",IF(INDEX('Raw Pressure Data'!$A:$ZZ,$K$5+ROW()-26+$H$21,MATCH($F$21,'Raw Pressure Data'!$1:$1,0))=-999,"",INDEX('Raw Pressure Data'!$A:$ZZ,$K$5+ROW()-26+$H$21,MATCH($F$21,'Raw Pressure Data'!$1:$1,0))+$G$21))),"")</f>
        <v/>
      </c>
      <c r="AE58" s="24">
        <f>IFERROR(IF($F$22="","",IF($K$5+ROW()-26&gt;$K$6,"",IF(INDEX('Raw Pressure Data'!$A:$ZZ,$K$5+ROW()-26+$H$22,MATCH($F$22,'Raw Pressure Data'!$1:$1,0))=-999,"",INDEX('Raw Pressure Data'!$A:$ZZ,$K$5+ROW()-26+$H$22,MATCH($F$22,'Raw Pressure Data'!$1:$1,0))+$G$22))),"")</f>
        <v/>
      </c>
    </row>
    <row r="59" ht="15" customHeight="1">
      <c r="A59" s="25">
        <f>IFERROR(IF($K$5+ROW()-26&gt;$K$6,"",IF(INDEX('Raw Flow Data'!$A:$A,$K$5+ROW()-26)="","",INDEX('Raw Flow Data'!$A:$A,$K$5+ROW()-26))),"")</f>
        <v/>
      </c>
      <c r="B59" s="26">
        <f>IFERROR(IF($B$3="","",IF($K$5+ROW()-26&gt;$K$6,"",IF(INDEX('Raw Flow Data'!$A:$ZZ,$K$5+ROW()-26+$D$3,MATCH($B$3,'Raw Flow Data'!$1:$1,0))=-999,"",INDEX('Raw Flow Data'!$A:$ZZ,$K$5+ROW()-26+$D$3,MATCH($B$3,'Raw Flow Data'!$1:$1,0))*$C$3))),"")</f>
        <v/>
      </c>
      <c r="C59" s="26">
        <f>IFERROR(IF($B$4="","",IF($K$5+ROW()-26&gt;$K$6,"",IF(INDEX('Raw Flow Data'!$A:$ZZ,$K$5+ROW()-26+$D$4,MATCH($B$4,'Raw Flow Data'!$1:$1,0))=-999,"",INDEX('Raw Flow Data'!$A:$ZZ,$K$5+ROW()-26+$D$4,MATCH($B$4,'Raw Flow Data'!$1:$1,0))*$C$4))),"")</f>
        <v/>
      </c>
      <c r="D59" s="26">
        <f>IFERROR(IF($B$5="","",IF($K$5+ROW()-26&gt;$K$6,"",IF(INDEX('Raw Flow Data'!$A:$ZZ,$K$5+ROW()-26+$D$5,MATCH($B$5,'Raw Flow Data'!$1:$1,0))=-999,"",INDEX('Raw Flow Data'!$A:$ZZ,$K$5+ROW()-26+$D$5,MATCH($B$5,'Raw Flow Data'!$1:$1,0))*$C$5))),"")</f>
        <v/>
      </c>
      <c r="E59" s="26">
        <f>IFERROR(IF($B$6="","",IF($K$5+ROW()-26&gt;$K$6,"",IF(INDEX('Raw Flow Data'!$A:$ZZ,$K$5+ROW()-26+$D$6,MATCH($B$6,'Raw Flow Data'!$1:$1,0))=-999,"",INDEX('Raw Flow Data'!$A:$ZZ,$K$5+ROW()-26+$D$6,MATCH($B$6,'Raw Flow Data'!$1:$1,0))*$C$6))),"")</f>
        <v/>
      </c>
      <c r="F59" s="26">
        <f>IFERROR(IF($B$7="","",IF($K$5+ROW()-26&gt;$K$6,"",IF(INDEX('Raw Flow Data'!$A:$ZZ,$K$5+ROW()-26+$D$7,MATCH($B$7,'Raw Flow Data'!$1:$1,0))=-999,"",INDEX('Raw Flow Data'!$A:$ZZ,$K$5+ROW()-26+$D$7,MATCH($B$7,'Raw Flow Data'!$1:$1,0))*$C$7))),"")</f>
        <v/>
      </c>
      <c r="G59" s="26">
        <f>IFERROR(IF($B$8="","",IF($K$5+ROW()-26&gt;$K$6,"",IF(INDEX('Raw Flow Data'!$A:$ZZ,$K$5+ROW()-26+$D$8,MATCH($B$8,'Raw Flow Data'!$1:$1,0))=-999,"",INDEX('Raw Flow Data'!$A:$ZZ,$K$5+ROW()-26+$D$8,MATCH($B$8,'Raw Flow Data'!$1:$1,0))*$C$8))),"")</f>
        <v/>
      </c>
      <c r="H59" s="26">
        <f>IFERROR(IF($B$9="","",IF($K$5+ROW()-26&gt;$K$6,"",IF(INDEX('Raw Flow Data'!$A:$ZZ,$K$5+ROW()-26+$D$9,MATCH($B$9,'Raw Flow Data'!$1:$1,0))=-999,"",INDEX('Raw Flow Data'!$A:$ZZ,$K$5+ROW()-26+$D$9,MATCH($B$9,'Raw Flow Data'!$1:$1,0))*$C$9))),"")</f>
        <v/>
      </c>
      <c r="I59" s="26">
        <f>IFERROR(IF($B$10="","",IF($K$5+ROW()-26&gt;$K$6,"",IF(INDEX('Raw Flow Data'!$A:$ZZ,$K$5+ROW()-26+$D$10,MATCH($B$10,'Raw Flow Data'!$1:$1,0))=-999,"",INDEX('Raw Flow Data'!$A:$ZZ,$K$5+ROW()-26+$D$10,MATCH($B$10,'Raw Flow Data'!$1:$1,0))*$C$10))),"")</f>
        <v/>
      </c>
      <c r="J59" s="26">
        <f>IFERROR(IF($B$11="","",IF($K$5+ROW()-26&gt;$K$6,"",IF(INDEX('Raw Flow Data'!$A:$ZZ,$K$5+ROW()-26+$D$11,MATCH($B$11,'Raw Flow Data'!$1:$1,0))=-999,"",INDEX('Raw Flow Data'!$A:$ZZ,$K$5+ROW()-26+$D$11,MATCH($B$11,'Raw Flow Data'!$1:$1,0))*$C$11))),"")</f>
        <v/>
      </c>
      <c r="K59" s="26">
        <f>IFERROR(IF($B$12="","",IF($K$5+ROW()-26&gt;$K$6,"",IF(INDEX('Raw Flow Data'!$A:$ZZ,$K$5+ROW()-26+$D$12,MATCH($B$12,'Raw Flow Data'!$1:$1,0))=-999,"",INDEX('Raw Flow Data'!$A:$ZZ,$K$5+ROW()-26+$D$12,MATCH($B$12,'Raw Flow Data'!$1:$1,0))*$C$12))),"")</f>
        <v/>
      </c>
      <c r="L59" s="26">
        <f>IFERROR(IF($F$3="","",IF($K$5+ROW()-26&gt;$K$6,"",IF(INDEX('Raw Pressure Data'!$A:$ZZ,$K$5+ROW()-26+$H$3,MATCH($F$3,'Raw Pressure Data'!$1:$1,0))=-999,"",INDEX('Raw Pressure Data'!$A:$ZZ,$K$5+ROW()-26+$H$3,MATCH($F$3,'Raw Pressure Data'!$1:$1,0))+$G$3))),"")</f>
        <v/>
      </c>
      <c r="M59" s="26">
        <f>IFERROR(IF($F$4="","",IF($K$5+ROW()-26&gt;$K$6,"",IF(INDEX('Raw Pressure Data'!$A:$ZZ,$K$5+ROW()-26+$H$4,MATCH($F$4,'Raw Pressure Data'!$1:$1,0))=-999,"",INDEX('Raw Pressure Data'!$A:$ZZ,$K$5+ROW()-26+$H$4,MATCH($F$4,'Raw Pressure Data'!$1:$1,0))+$G$4))),"")</f>
        <v/>
      </c>
      <c r="N59" s="26">
        <f>IFERROR(IF($F$5="","",IF($K$5+ROW()-26&gt;$K$6,"",IF(INDEX('Raw Pressure Data'!$A:$ZZ,$K$5+ROW()-26+$H$5,MATCH($F$5,'Raw Pressure Data'!$1:$1,0))=-999,"",INDEX('Raw Pressure Data'!$A:$ZZ,$K$5+ROW()-26+$H$5,MATCH($F$5,'Raw Pressure Data'!$1:$1,0))+$G$5))),"")</f>
        <v/>
      </c>
      <c r="O59" s="26">
        <f>IFERROR(IF($F$6="","",IF($K$5+ROW()-26&gt;$K$6,"",IF(INDEX('Raw Pressure Data'!$A:$ZZ,$K$5+ROW()-26+$H$6,MATCH($F$6,'Raw Pressure Data'!$1:$1,0))=-999,"",INDEX('Raw Pressure Data'!$A:$ZZ,$K$5+ROW()-26+$H$6,MATCH($F$6,'Raw Pressure Data'!$1:$1,0))+$G$6))),"")</f>
        <v/>
      </c>
      <c r="P59" s="26">
        <f>IFERROR(IF($F$7="","",IF($K$5+ROW()-26&gt;$K$6,"",IF(INDEX('Raw Pressure Data'!$A:$ZZ,$K$5+ROW()-26+$H$7,MATCH($F$7,'Raw Pressure Data'!$1:$1,0))=-999,"",INDEX('Raw Pressure Data'!$A:$ZZ,$K$5+ROW()-26+$H$7,MATCH($F$7,'Raw Pressure Data'!$1:$1,0))+$G$7))),"")</f>
        <v/>
      </c>
      <c r="Q59" s="26">
        <f>IFERROR(IF($F$8="","",IF($K$5+ROW()-26&gt;$K$6,"",IF(INDEX('Raw Pressure Data'!$A:$ZZ,$K$5+ROW()-26+$H$8,MATCH($F$8,'Raw Pressure Data'!$1:$1,0))=-999,"",INDEX('Raw Pressure Data'!$A:$ZZ,$K$5+ROW()-26+$H$8,MATCH($F$8,'Raw Pressure Data'!$1:$1,0))+$G$8))),"")</f>
        <v/>
      </c>
      <c r="R59" s="26">
        <f>IFERROR(IF($F$9="","",IF($K$5+ROW()-26&gt;$K$6,"",IF(INDEX('Raw Pressure Data'!$A:$ZZ,$K$5+ROW()-26+$H$9,MATCH($F$9,'Raw Pressure Data'!$1:$1,0))=-999,"",INDEX('Raw Pressure Data'!$A:$ZZ,$K$5+ROW()-26+$H$9,MATCH($F$9,'Raw Pressure Data'!$1:$1,0))+$G$9))),"")</f>
        <v/>
      </c>
      <c r="S59" s="26">
        <f>IFERROR(IF($F$10="","",IF($K$5+ROW()-26&gt;$K$6,"",IF(INDEX('Raw Pressure Data'!$A:$ZZ,$K$5+ROW()-26+$H$10,MATCH($F$10,'Raw Pressure Data'!$1:$1,0))=-999,"",INDEX('Raw Pressure Data'!$A:$ZZ,$K$5+ROW()-26+$H$10,MATCH($F$10,'Raw Pressure Data'!$1:$1,0))+$G$10))),"")</f>
        <v/>
      </c>
      <c r="T59" s="26">
        <f>IFERROR(IF($F$11="","",IF($K$5+ROW()-26&gt;$K$6,"",IF(INDEX('Raw Pressure Data'!$A:$ZZ,$K$5+ROW()-26+$H$11,MATCH($F$11,'Raw Pressure Data'!$1:$1,0))=-999,"",INDEX('Raw Pressure Data'!$A:$ZZ,$K$5+ROW()-26+$H$11,MATCH($F$11,'Raw Pressure Data'!$1:$1,0))+$G$11))),"")</f>
        <v/>
      </c>
      <c r="U59" s="26">
        <f>IFERROR(IF($F$12="","",IF($K$5+ROW()-26&gt;$K$6,"",IF(INDEX('Raw Pressure Data'!$A:$ZZ,$K$5+ROW()-26+$H$12,MATCH($F$12,'Raw Pressure Data'!$1:$1,0))=-999,"",INDEX('Raw Pressure Data'!$A:$ZZ,$K$5+ROW()-26+$H$12,MATCH($F$12,'Raw Pressure Data'!$1:$1,0))+$G$12))),"")</f>
        <v/>
      </c>
      <c r="V59" s="26">
        <f>IFERROR(IF($F$13="","",IF($K$5+ROW()-26&gt;$K$6,"",IF(INDEX('Raw Pressure Data'!$A:$ZZ,$K$5+ROW()-26+$H$13,MATCH($F$13,'Raw Pressure Data'!$1:$1,0))=-999,"",INDEX('Raw Pressure Data'!$A:$ZZ,$K$5+ROW()-26+$H$13,MATCH($F$13,'Raw Pressure Data'!$1:$1,0))+$G$13))),"")</f>
        <v/>
      </c>
      <c r="W59" s="26">
        <f>IFERROR(IF($F$14="","",IF($K$5+ROW()-26&gt;$K$6,"",IF(INDEX('Raw Pressure Data'!$A:$ZZ,$K$5+ROW()-26+$H$14,MATCH($F$14,'Raw Pressure Data'!$1:$1,0))=-999,"",INDEX('Raw Pressure Data'!$A:$ZZ,$K$5+ROW()-26+$H$14,MATCH($F$14,'Raw Pressure Data'!$1:$1,0))+$G$14))),"")</f>
        <v/>
      </c>
      <c r="X59" s="26">
        <f>IFERROR(IF($F$15="","",IF($K$5+ROW()-26&gt;$K$6,"",IF(INDEX('Raw Pressure Data'!$A:$ZZ,$K$5+ROW()-26+$H$15,MATCH($F$15,'Raw Pressure Data'!$1:$1,0))=-999,"",INDEX('Raw Pressure Data'!$A:$ZZ,$K$5+ROW()-26+$H$15,MATCH($F$15,'Raw Pressure Data'!$1:$1,0))+$G$15))),"")</f>
        <v/>
      </c>
      <c r="Y59" s="26">
        <f>IFERROR(IF($F$16="","",IF($K$5+ROW()-26&gt;$K$6,"",IF(INDEX('Raw Pressure Data'!$A:$ZZ,$K$5+ROW()-26+$H$16,MATCH($F$16,'Raw Pressure Data'!$1:$1,0))=-999,"",INDEX('Raw Pressure Data'!$A:$ZZ,$K$5+ROW()-26+$H$16,MATCH($F$16,'Raw Pressure Data'!$1:$1,0))+$G$16))),"")</f>
        <v/>
      </c>
      <c r="Z59" s="26">
        <f>IFERROR(IF($F$17="","",IF($K$5+ROW()-26&gt;$K$6,"",IF(INDEX('Raw Pressure Data'!$A:$ZZ,$K$5+ROW()-26+$H$17,MATCH($F$17,'Raw Pressure Data'!$1:$1,0))=-999,"",INDEX('Raw Pressure Data'!$A:$ZZ,$K$5+ROW()-26+$H$17,MATCH($F$17,'Raw Pressure Data'!$1:$1,0))+$G$17))),"")</f>
        <v/>
      </c>
      <c r="AA59" s="26">
        <f>IFERROR(IF($F$18="","",IF($K$5+ROW()-26&gt;$K$6,"",IF(INDEX('Raw Pressure Data'!$A:$ZZ,$K$5+ROW()-26+$H$18,MATCH($F$18,'Raw Pressure Data'!$1:$1,0))=-999,"",INDEX('Raw Pressure Data'!$A:$ZZ,$K$5+ROW()-26+$H$18,MATCH($F$18,'Raw Pressure Data'!$1:$1,0))+$G$18))),"")</f>
        <v/>
      </c>
      <c r="AB59" s="26">
        <f>IFERROR(IF($F$19="","",IF($K$5+ROW()-26&gt;$K$6,"",IF(INDEX('Raw Pressure Data'!$A:$ZZ,$K$5+ROW()-26+$H$19,MATCH($F$19,'Raw Pressure Data'!$1:$1,0))=-999,"",INDEX('Raw Pressure Data'!$A:$ZZ,$K$5+ROW()-26+$H$19,MATCH($F$19,'Raw Pressure Data'!$1:$1,0))+$G$19))),"")</f>
        <v/>
      </c>
      <c r="AC59" s="26">
        <f>IFERROR(IF($F$20="","",IF($K$5+ROW()-26&gt;$K$6,"",IF(INDEX('Raw Pressure Data'!$A:$ZZ,$K$5+ROW()-26+$H$20,MATCH($F$20,'Raw Pressure Data'!$1:$1,0))=-999,"",INDEX('Raw Pressure Data'!$A:$ZZ,$K$5+ROW()-26+$H$20,MATCH($F$20,'Raw Pressure Data'!$1:$1,0))+$G$20))),"")</f>
        <v/>
      </c>
      <c r="AD59" s="26">
        <f>IFERROR(IF($F$21="","",IF($K$5+ROW()-26&gt;$K$6,"",IF(INDEX('Raw Pressure Data'!$A:$ZZ,$K$5+ROW()-26+$H$21,MATCH($F$21,'Raw Pressure Data'!$1:$1,0))=-999,"",INDEX('Raw Pressure Data'!$A:$ZZ,$K$5+ROW()-26+$H$21,MATCH($F$21,'Raw Pressure Data'!$1:$1,0))+$G$21))),"")</f>
        <v/>
      </c>
      <c r="AE59" s="26">
        <f>IFERROR(IF($F$22="","",IF($K$5+ROW()-26&gt;$K$6,"",IF(INDEX('Raw Pressure Data'!$A:$ZZ,$K$5+ROW()-26+$H$22,MATCH($F$22,'Raw Pressure Data'!$1:$1,0))=-999,"",INDEX('Raw Pressure Data'!$A:$ZZ,$K$5+ROW()-26+$H$22,MATCH($F$22,'Raw Pressure Data'!$1:$1,0))+$G$22))),"")</f>
        <v/>
      </c>
    </row>
    <row r="60" ht="15" customHeight="1">
      <c r="A60" s="23">
        <f>IFERROR(IF($K$5+ROW()-26&gt;$K$6,"",IF(INDEX('Raw Flow Data'!$A:$A,$K$5+ROW()-26)="","",INDEX('Raw Flow Data'!$A:$A,$K$5+ROW()-26))),"")</f>
        <v/>
      </c>
      <c r="B60" s="24">
        <f>IFERROR(IF($B$3="","",IF($K$5+ROW()-26&gt;$K$6,"",IF(INDEX('Raw Flow Data'!$A:$ZZ,$K$5+ROW()-26+$D$3,MATCH($B$3,'Raw Flow Data'!$1:$1,0))=-999,"",INDEX('Raw Flow Data'!$A:$ZZ,$K$5+ROW()-26+$D$3,MATCH($B$3,'Raw Flow Data'!$1:$1,0))*$C$3))),"")</f>
        <v/>
      </c>
      <c r="C60" s="24">
        <f>IFERROR(IF($B$4="","",IF($K$5+ROW()-26&gt;$K$6,"",IF(INDEX('Raw Flow Data'!$A:$ZZ,$K$5+ROW()-26+$D$4,MATCH($B$4,'Raw Flow Data'!$1:$1,0))=-999,"",INDEX('Raw Flow Data'!$A:$ZZ,$K$5+ROW()-26+$D$4,MATCH($B$4,'Raw Flow Data'!$1:$1,0))*$C$4))),"")</f>
        <v/>
      </c>
      <c r="D60" s="24">
        <f>IFERROR(IF($B$5="","",IF($K$5+ROW()-26&gt;$K$6,"",IF(INDEX('Raw Flow Data'!$A:$ZZ,$K$5+ROW()-26+$D$5,MATCH($B$5,'Raw Flow Data'!$1:$1,0))=-999,"",INDEX('Raw Flow Data'!$A:$ZZ,$K$5+ROW()-26+$D$5,MATCH($B$5,'Raw Flow Data'!$1:$1,0))*$C$5))),"")</f>
        <v/>
      </c>
      <c r="E60" s="24">
        <f>IFERROR(IF($B$6="","",IF($K$5+ROW()-26&gt;$K$6,"",IF(INDEX('Raw Flow Data'!$A:$ZZ,$K$5+ROW()-26+$D$6,MATCH($B$6,'Raw Flow Data'!$1:$1,0))=-999,"",INDEX('Raw Flow Data'!$A:$ZZ,$K$5+ROW()-26+$D$6,MATCH($B$6,'Raw Flow Data'!$1:$1,0))*$C$6))),"")</f>
        <v/>
      </c>
      <c r="F60" s="24">
        <f>IFERROR(IF($B$7="","",IF($K$5+ROW()-26&gt;$K$6,"",IF(INDEX('Raw Flow Data'!$A:$ZZ,$K$5+ROW()-26+$D$7,MATCH($B$7,'Raw Flow Data'!$1:$1,0))=-999,"",INDEX('Raw Flow Data'!$A:$ZZ,$K$5+ROW()-26+$D$7,MATCH($B$7,'Raw Flow Data'!$1:$1,0))*$C$7))),"")</f>
        <v/>
      </c>
      <c r="G60" s="24">
        <f>IFERROR(IF($B$8="","",IF($K$5+ROW()-26&gt;$K$6,"",IF(INDEX('Raw Flow Data'!$A:$ZZ,$K$5+ROW()-26+$D$8,MATCH($B$8,'Raw Flow Data'!$1:$1,0))=-999,"",INDEX('Raw Flow Data'!$A:$ZZ,$K$5+ROW()-26+$D$8,MATCH($B$8,'Raw Flow Data'!$1:$1,0))*$C$8))),"")</f>
        <v/>
      </c>
      <c r="H60" s="24">
        <f>IFERROR(IF($B$9="","",IF($K$5+ROW()-26&gt;$K$6,"",IF(INDEX('Raw Flow Data'!$A:$ZZ,$K$5+ROW()-26+$D$9,MATCH($B$9,'Raw Flow Data'!$1:$1,0))=-999,"",INDEX('Raw Flow Data'!$A:$ZZ,$K$5+ROW()-26+$D$9,MATCH($B$9,'Raw Flow Data'!$1:$1,0))*$C$9))),"")</f>
        <v/>
      </c>
      <c r="I60" s="24">
        <f>IFERROR(IF($B$10="","",IF($K$5+ROW()-26&gt;$K$6,"",IF(INDEX('Raw Flow Data'!$A:$ZZ,$K$5+ROW()-26+$D$10,MATCH($B$10,'Raw Flow Data'!$1:$1,0))=-999,"",INDEX('Raw Flow Data'!$A:$ZZ,$K$5+ROW()-26+$D$10,MATCH($B$10,'Raw Flow Data'!$1:$1,0))*$C$10))),"")</f>
        <v/>
      </c>
      <c r="J60" s="24">
        <f>IFERROR(IF($B$11="","",IF($K$5+ROW()-26&gt;$K$6,"",IF(INDEX('Raw Flow Data'!$A:$ZZ,$K$5+ROW()-26+$D$11,MATCH($B$11,'Raw Flow Data'!$1:$1,0))=-999,"",INDEX('Raw Flow Data'!$A:$ZZ,$K$5+ROW()-26+$D$11,MATCH($B$11,'Raw Flow Data'!$1:$1,0))*$C$11))),"")</f>
        <v/>
      </c>
      <c r="K60" s="24">
        <f>IFERROR(IF($B$12="","",IF($K$5+ROW()-26&gt;$K$6,"",IF(INDEX('Raw Flow Data'!$A:$ZZ,$K$5+ROW()-26+$D$12,MATCH($B$12,'Raw Flow Data'!$1:$1,0))=-999,"",INDEX('Raw Flow Data'!$A:$ZZ,$K$5+ROW()-26+$D$12,MATCH($B$12,'Raw Flow Data'!$1:$1,0))*$C$12))),"")</f>
        <v/>
      </c>
      <c r="L60" s="24">
        <f>IFERROR(IF($F$3="","",IF($K$5+ROW()-26&gt;$K$6,"",IF(INDEX('Raw Pressure Data'!$A:$ZZ,$K$5+ROW()-26+$H$3,MATCH($F$3,'Raw Pressure Data'!$1:$1,0))=-999,"",INDEX('Raw Pressure Data'!$A:$ZZ,$K$5+ROW()-26+$H$3,MATCH($F$3,'Raw Pressure Data'!$1:$1,0))+$G$3))),"")</f>
        <v/>
      </c>
      <c r="M60" s="24">
        <f>IFERROR(IF($F$4="","",IF($K$5+ROW()-26&gt;$K$6,"",IF(INDEX('Raw Pressure Data'!$A:$ZZ,$K$5+ROW()-26+$H$4,MATCH($F$4,'Raw Pressure Data'!$1:$1,0))=-999,"",INDEX('Raw Pressure Data'!$A:$ZZ,$K$5+ROW()-26+$H$4,MATCH($F$4,'Raw Pressure Data'!$1:$1,0))+$G$4))),"")</f>
        <v/>
      </c>
      <c r="N60" s="24">
        <f>IFERROR(IF($F$5="","",IF($K$5+ROW()-26&gt;$K$6,"",IF(INDEX('Raw Pressure Data'!$A:$ZZ,$K$5+ROW()-26+$H$5,MATCH($F$5,'Raw Pressure Data'!$1:$1,0))=-999,"",INDEX('Raw Pressure Data'!$A:$ZZ,$K$5+ROW()-26+$H$5,MATCH($F$5,'Raw Pressure Data'!$1:$1,0))+$G$5))),"")</f>
        <v/>
      </c>
      <c r="O60" s="24">
        <f>IFERROR(IF($F$6="","",IF($K$5+ROW()-26&gt;$K$6,"",IF(INDEX('Raw Pressure Data'!$A:$ZZ,$K$5+ROW()-26+$H$6,MATCH($F$6,'Raw Pressure Data'!$1:$1,0))=-999,"",INDEX('Raw Pressure Data'!$A:$ZZ,$K$5+ROW()-26+$H$6,MATCH($F$6,'Raw Pressure Data'!$1:$1,0))+$G$6))),"")</f>
        <v/>
      </c>
      <c r="P60" s="24">
        <f>IFERROR(IF($F$7="","",IF($K$5+ROW()-26&gt;$K$6,"",IF(INDEX('Raw Pressure Data'!$A:$ZZ,$K$5+ROW()-26+$H$7,MATCH($F$7,'Raw Pressure Data'!$1:$1,0))=-999,"",INDEX('Raw Pressure Data'!$A:$ZZ,$K$5+ROW()-26+$H$7,MATCH($F$7,'Raw Pressure Data'!$1:$1,0))+$G$7))),"")</f>
        <v/>
      </c>
      <c r="Q60" s="24">
        <f>IFERROR(IF($F$8="","",IF($K$5+ROW()-26&gt;$K$6,"",IF(INDEX('Raw Pressure Data'!$A:$ZZ,$K$5+ROW()-26+$H$8,MATCH($F$8,'Raw Pressure Data'!$1:$1,0))=-999,"",INDEX('Raw Pressure Data'!$A:$ZZ,$K$5+ROW()-26+$H$8,MATCH($F$8,'Raw Pressure Data'!$1:$1,0))+$G$8))),"")</f>
        <v/>
      </c>
      <c r="R60" s="24">
        <f>IFERROR(IF($F$9="","",IF($K$5+ROW()-26&gt;$K$6,"",IF(INDEX('Raw Pressure Data'!$A:$ZZ,$K$5+ROW()-26+$H$9,MATCH($F$9,'Raw Pressure Data'!$1:$1,0))=-999,"",INDEX('Raw Pressure Data'!$A:$ZZ,$K$5+ROW()-26+$H$9,MATCH($F$9,'Raw Pressure Data'!$1:$1,0))+$G$9))),"")</f>
        <v/>
      </c>
      <c r="S60" s="24">
        <f>IFERROR(IF($F$10="","",IF($K$5+ROW()-26&gt;$K$6,"",IF(INDEX('Raw Pressure Data'!$A:$ZZ,$K$5+ROW()-26+$H$10,MATCH($F$10,'Raw Pressure Data'!$1:$1,0))=-999,"",INDEX('Raw Pressure Data'!$A:$ZZ,$K$5+ROW()-26+$H$10,MATCH($F$10,'Raw Pressure Data'!$1:$1,0))+$G$10))),"")</f>
        <v/>
      </c>
      <c r="T60" s="24">
        <f>IFERROR(IF($F$11="","",IF($K$5+ROW()-26&gt;$K$6,"",IF(INDEX('Raw Pressure Data'!$A:$ZZ,$K$5+ROW()-26+$H$11,MATCH($F$11,'Raw Pressure Data'!$1:$1,0))=-999,"",INDEX('Raw Pressure Data'!$A:$ZZ,$K$5+ROW()-26+$H$11,MATCH($F$11,'Raw Pressure Data'!$1:$1,0))+$G$11))),"")</f>
        <v/>
      </c>
      <c r="U60" s="24">
        <f>IFERROR(IF($F$12="","",IF($K$5+ROW()-26&gt;$K$6,"",IF(INDEX('Raw Pressure Data'!$A:$ZZ,$K$5+ROW()-26+$H$12,MATCH($F$12,'Raw Pressure Data'!$1:$1,0))=-999,"",INDEX('Raw Pressure Data'!$A:$ZZ,$K$5+ROW()-26+$H$12,MATCH($F$12,'Raw Pressure Data'!$1:$1,0))+$G$12))),"")</f>
        <v/>
      </c>
      <c r="V60" s="24">
        <f>IFERROR(IF($F$13="","",IF($K$5+ROW()-26&gt;$K$6,"",IF(INDEX('Raw Pressure Data'!$A:$ZZ,$K$5+ROW()-26+$H$13,MATCH($F$13,'Raw Pressure Data'!$1:$1,0))=-999,"",INDEX('Raw Pressure Data'!$A:$ZZ,$K$5+ROW()-26+$H$13,MATCH($F$13,'Raw Pressure Data'!$1:$1,0))+$G$13))),"")</f>
        <v/>
      </c>
      <c r="W60" s="24">
        <f>IFERROR(IF($F$14="","",IF($K$5+ROW()-26&gt;$K$6,"",IF(INDEX('Raw Pressure Data'!$A:$ZZ,$K$5+ROW()-26+$H$14,MATCH($F$14,'Raw Pressure Data'!$1:$1,0))=-999,"",INDEX('Raw Pressure Data'!$A:$ZZ,$K$5+ROW()-26+$H$14,MATCH($F$14,'Raw Pressure Data'!$1:$1,0))+$G$14))),"")</f>
        <v/>
      </c>
      <c r="X60" s="24">
        <f>IFERROR(IF($F$15="","",IF($K$5+ROW()-26&gt;$K$6,"",IF(INDEX('Raw Pressure Data'!$A:$ZZ,$K$5+ROW()-26+$H$15,MATCH($F$15,'Raw Pressure Data'!$1:$1,0))=-999,"",INDEX('Raw Pressure Data'!$A:$ZZ,$K$5+ROW()-26+$H$15,MATCH($F$15,'Raw Pressure Data'!$1:$1,0))+$G$15))),"")</f>
        <v/>
      </c>
      <c r="Y60" s="24">
        <f>IFERROR(IF($F$16="","",IF($K$5+ROW()-26&gt;$K$6,"",IF(INDEX('Raw Pressure Data'!$A:$ZZ,$K$5+ROW()-26+$H$16,MATCH($F$16,'Raw Pressure Data'!$1:$1,0))=-999,"",INDEX('Raw Pressure Data'!$A:$ZZ,$K$5+ROW()-26+$H$16,MATCH($F$16,'Raw Pressure Data'!$1:$1,0))+$G$16))),"")</f>
        <v/>
      </c>
      <c r="Z60" s="24">
        <f>IFERROR(IF($F$17="","",IF($K$5+ROW()-26&gt;$K$6,"",IF(INDEX('Raw Pressure Data'!$A:$ZZ,$K$5+ROW()-26+$H$17,MATCH($F$17,'Raw Pressure Data'!$1:$1,0))=-999,"",INDEX('Raw Pressure Data'!$A:$ZZ,$K$5+ROW()-26+$H$17,MATCH($F$17,'Raw Pressure Data'!$1:$1,0))+$G$17))),"")</f>
        <v/>
      </c>
      <c r="AA60" s="24">
        <f>IFERROR(IF($F$18="","",IF($K$5+ROW()-26&gt;$K$6,"",IF(INDEX('Raw Pressure Data'!$A:$ZZ,$K$5+ROW()-26+$H$18,MATCH($F$18,'Raw Pressure Data'!$1:$1,0))=-999,"",INDEX('Raw Pressure Data'!$A:$ZZ,$K$5+ROW()-26+$H$18,MATCH($F$18,'Raw Pressure Data'!$1:$1,0))+$G$18))),"")</f>
        <v/>
      </c>
      <c r="AB60" s="24">
        <f>IFERROR(IF($F$19="","",IF($K$5+ROW()-26&gt;$K$6,"",IF(INDEX('Raw Pressure Data'!$A:$ZZ,$K$5+ROW()-26+$H$19,MATCH($F$19,'Raw Pressure Data'!$1:$1,0))=-999,"",INDEX('Raw Pressure Data'!$A:$ZZ,$K$5+ROW()-26+$H$19,MATCH($F$19,'Raw Pressure Data'!$1:$1,0))+$G$19))),"")</f>
        <v/>
      </c>
      <c r="AC60" s="24">
        <f>IFERROR(IF($F$20="","",IF($K$5+ROW()-26&gt;$K$6,"",IF(INDEX('Raw Pressure Data'!$A:$ZZ,$K$5+ROW()-26+$H$20,MATCH($F$20,'Raw Pressure Data'!$1:$1,0))=-999,"",INDEX('Raw Pressure Data'!$A:$ZZ,$K$5+ROW()-26+$H$20,MATCH($F$20,'Raw Pressure Data'!$1:$1,0))+$G$20))),"")</f>
        <v/>
      </c>
      <c r="AD60" s="24">
        <f>IFERROR(IF($F$21="","",IF($K$5+ROW()-26&gt;$K$6,"",IF(INDEX('Raw Pressure Data'!$A:$ZZ,$K$5+ROW()-26+$H$21,MATCH($F$21,'Raw Pressure Data'!$1:$1,0))=-999,"",INDEX('Raw Pressure Data'!$A:$ZZ,$K$5+ROW()-26+$H$21,MATCH($F$21,'Raw Pressure Data'!$1:$1,0))+$G$21))),"")</f>
        <v/>
      </c>
      <c r="AE60" s="24">
        <f>IFERROR(IF($F$22="","",IF($K$5+ROW()-26&gt;$K$6,"",IF(INDEX('Raw Pressure Data'!$A:$ZZ,$K$5+ROW()-26+$H$22,MATCH($F$22,'Raw Pressure Data'!$1:$1,0))=-999,"",INDEX('Raw Pressure Data'!$A:$ZZ,$K$5+ROW()-26+$H$22,MATCH($F$22,'Raw Pressure Data'!$1:$1,0))+$G$22))),"")</f>
        <v/>
      </c>
    </row>
    <row r="61" ht="15" customHeight="1">
      <c r="A61" s="25">
        <f>IFERROR(IF($K$5+ROW()-26&gt;$K$6,"",IF(INDEX('Raw Flow Data'!$A:$A,$K$5+ROW()-26)="","",INDEX('Raw Flow Data'!$A:$A,$K$5+ROW()-26))),"")</f>
        <v/>
      </c>
      <c r="B61" s="26">
        <f>IFERROR(IF($B$3="","",IF($K$5+ROW()-26&gt;$K$6,"",IF(INDEX('Raw Flow Data'!$A:$ZZ,$K$5+ROW()-26+$D$3,MATCH($B$3,'Raw Flow Data'!$1:$1,0))=-999,"",INDEX('Raw Flow Data'!$A:$ZZ,$K$5+ROW()-26+$D$3,MATCH($B$3,'Raw Flow Data'!$1:$1,0))*$C$3))),"")</f>
        <v/>
      </c>
      <c r="C61" s="26">
        <f>IFERROR(IF($B$4="","",IF($K$5+ROW()-26&gt;$K$6,"",IF(INDEX('Raw Flow Data'!$A:$ZZ,$K$5+ROW()-26+$D$4,MATCH($B$4,'Raw Flow Data'!$1:$1,0))=-999,"",INDEX('Raw Flow Data'!$A:$ZZ,$K$5+ROW()-26+$D$4,MATCH($B$4,'Raw Flow Data'!$1:$1,0))*$C$4))),"")</f>
        <v/>
      </c>
      <c r="D61" s="26">
        <f>IFERROR(IF($B$5="","",IF($K$5+ROW()-26&gt;$K$6,"",IF(INDEX('Raw Flow Data'!$A:$ZZ,$K$5+ROW()-26+$D$5,MATCH($B$5,'Raw Flow Data'!$1:$1,0))=-999,"",INDEX('Raw Flow Data'!$A:$ZZ,$K$5+ROW()-26+$D$5,MATCH($B$5,'Raw Flow Data'!$1:$1,0))*$C$5))),"")</f>
        <v/>
      </c>
      <c r="E61" s="26">
        <f>IFERROR(IF($B$6="","",IF($K$5+ROW()-26&gt;$K$6,"",IF(INDEX('Raw Flow Data'!$A:$ZZ,$K$5+ROW()-26+$D$6,MATCH($B$6,'Raw Flow Data'!$1:$1,0))=-999,"",INDEX('Raw Flow Data'!$A:$ZZ,$K$5+ROW()-26+$D$6,MATCH($B$6,'Raw Flow Data'!$1:$1,0))*$C$6))),"")</f>
        <v/>
      </c>
      <c r="F61" s="26">
        <f>IFERROR(IF($B$7="","",IF($K$5+ROW()-26&gt;$K$6,"",IF(INDEX('Raw Flow Data'!$A:$ZZ,$K$5+ROW()-26+$D$7,MATCH($B$7,'Raw Flow Data'!$1:$1,0))=-999,"",INDEX('Raw Flow Data'!$A:$ZZ,$K$5+ROW()-26+$D$7,MATCH($B$7,'Raw Flow Data'!$1:$1,0))*$C$7))),"")</f>
        <v/>
      </c>
      <c r="G61" s="26">
        <f>IFERROR(IF($B$8="","",IF($K$5+ROW()-26&gt;$K$6,"",IF(INDEX('Raw Flow Data'!$A:$ZZ,$K$5+ROW()-26+$D$8,MATCH($B$8,'Raw Flow Data'!$1:$1,0))=-999,"",INDEX('Raw Flow Data'!$A:$ZZ,$K$5+ROW()-26+$D$8,MATCH($B$8,'Raw Flow Data'!$1:$1,0))*$C$8))),"")</f>
        <v/>
      </c>
      <c r="H61" s="26">
        <f>IFERROR(IF($B$9="","",IF($K$5+ROW()-26&gt;$K$6,"",IF(INDEX('Raw Flow Data'!$A:$ZZ,$K$5+ROW()-26+$D$9,MATCH($B$9,'Raw Flow Data'!$1:$1,0))=-999,"",INDEX('Raw Flow Data'!$A:$ZZ,$K$5+ROW()-26+$D$9,MATCH($B$9,'Raw Flow Data'!$1:$1,0))*$C$9))),"")</f>
        <v/>
      </c>
      <c r="I61" s="26">
        <f>IFERROR(IF($B$10="","",IF($K$5+ROW()-26&gt;$K$6,"",IF(INDEX('Raw Flow Data'!$A:$ZZ,$K$5+ROW()-26+$D$10,MATCH($B$10,'Raw Flow Data'!$1:$1,0))=-999,"",INDEX('Raw Flow Data'!$A:$ZZ,$K$5+ROW()-26+$D$10,MATCH($B$10,'Raw Flow Data'!$1:$1,0))*$C$10))),"")</f>
        <v/>
      </c>
      <c r="J61" s="26">
        <f>IFERROR(IF($B$11="","",IF($K$5+ROW()-26&gt;$K$6,"",IF(INDEX('Raw Flow Data'!$A:$ZZ,$K$5+ROW()-26+$D$11,MATCH($B$11,'Raw Flow Data'!$1:$1,0))=-999,"",INDEX('Raw Flow Data'!$A:$ZZ,$K$5+ROW()-26+$D$11,MATCH($B$11,'Raw Flow Data'!$1:$1,0))*$C$11))),"")</f>
        <v/>
      </c>
      <c r="K61" s="26">
        <f>IFERROR(IF($B$12="","",IF($K$5+ROW()-26&gt;$K$6,"",IF(INDEX('Raw Flow Data'!$A:$ZZ,$K$5+ROW()-26+$D$12,MATCH($B$12,'Raw Flow Data'!$1:$1,0))=-999,"",INDEX('Raw Flow Data'!$A:$ZZ,$K$5+ROW()-26+$D$12,MATCH($B$12,'Raw Flow Data'!$1:$1,0))*$C$12))),"")</f>
        <v/>
      </c>
      <c r="L61" s="26">
        <f>IFERROR(IF($F$3="","",IF($K$5+ROW()-26&gt;$K$6,"",IF(INDEX('Raw Pressure Data'!$A:$ZZ,$K$5+ROW()-26+$H$3,MATCH($F$3,'Raw Pressure Data'!$1:$1,0))=-999,"",INDEX('Raw Pressure Data'!$A:$ZZ,$K$5+ROW()-26+$H$3,MATCH($F$3,'Raw Pressure Data'!$1:$1,0))+$G$3))),"")</f>
        <v/>
      </c>
      <c r="M61" s="26">
        <f>IFERROR(IF($F$4="","",IF($K$5+ROW()-26&gt;$K$6,"",IF(INDEX('Raw Pressure Data'!$A:$ZZ,$K$5+ROW()-26+$H$4,MATCH($F$4,'Raw Pressure Data'!$1:$1,0))=-999,"",INDEX('Raw Pressure Data'!$A:$ZZ,$K$5+ROW()-26+$H$4,MATCH($F$4,'Raw Pressure Data'!$1:$1,0))+$G$4))),"")</f>
        <v/>
      </c>
      <c r="N61" s="26">
        <f>IFERROR(IF($F$5="","",IF($K$5+ROW()-26&gt;$K$6,"",IF(INDEX('Raw Pressure Data'!$A:$ZZ,$K$5+ROW()-26+$H$5,MATCH($F$5,'Raw Pressure Data'!$1:$1,0))=-999,"",INDEX('Raw Pressure Data'!$A:$ZZ,$K$5+ROW()-26+$H$5,MATCH($F$5,'Raw Pressure Data'!$1:$1,0))+$G$5))),"")</f>
        <v/>
      </c>
      <c r="O61" s="26">
        <f>IFERROR(IF($F$6="","",IF($K$5+ROW()-26&gt;$K$6,"",IF(INDEX('Raw Pressure Data'!$A:$ZZ,$K$5+ROW()-26+$H$6,MATCH($F$6,'Raw Pressure Data'!$1:$1,0))=-999,"",INDEX('Raw Pressure Data'!$A:$ZZ,$K$5+ROW()-26+$H$6,MATCH($F$6,'Raw Pressure Data'!$1:$1,0))+$G$6))),"")</f>
        <v/>
      </c>
      <c r="P61" s="26">
        <f>IFERROR(IF($F$7="","",IF($K$5+ROW()-26&gt;$K$6,"",IF(INDEX('Raw Pressure Data'!$A:$ZZ,$K$5+ROW()-26+$H$7,MATCH($F$7,'Raw Pressure Data'!$1:$1,0))=-999,"",INDEX('Raw Pressure Data'!$A:$ZZ,$K$5+ROW()-26+$H$7,MATCH($F$7,'Raw Pressure Data'!$1:$1,0))+$G$7))),"")</f>
        <v/>
      </c>
      <c r="Q61" s="26">
        <f>IFERROR(IF($F$8="","",IF($K$5+ROW()-26&gt;$K$6,"",IF(INDEX('Raw Pressure Data'!$A:$ZZ,$K$5+ROW()-26+$H$8,MATCH($F$8,'Raw Pressure Data'!$1:$1,0))=-999,"",INDEX('Raw Pressure Data'!$A:$ZZ,$K$5+ROW()-26+$H$8,MATCH($F$8,'Raw Pressure Data'!$1:$1,0))+$G$8))),"")</f>
        <v/>
      </c>
      <c r="R61" s="26">
        <f>IFERROR(IF($F$9="","",IF($K$5+ROW()-26&gt;$K$6,"",IF(INDEX('Raw Pressure Data'!$A:$ZZ,$K$5+ROW()-26+$H$9,MATCH($F$9,'Raw Pressure Data'!$1:$1,0))=-999,"",INDEX('Raw Pressure Data'!$A:$ZZ,$K$5+ROW()-26+$H$9,MATCH($F$9,'Raw Pressure Data'!$1:$1,0))+$G$9))),"")</f>
        <v/>
      </c>
      <c r="S61" s="26">
        <f>IFERROR(IF($F$10="","",IF($K$5+ROW()-26&gt;$K$6,"",IF(INDEX('Raw Pressure Data'!$A:$ZZ,$K$5+ROW()-26+$H$10,MATCH($F$10,'Raw Pressure Data'!$1:$1,0))=-999,"",INDEX('Raw Pressure Data'!$A:$ZZ,$K$5+ROW()-26+$H$10,MATCH($F$10,'Raw Pressure Data'!$1:$1,0))+$G$10))),"")</f>
        <v/>
      </c>
      <c r="T61" s="26">
        <f>IFERROR(IF($F$11="","",IF($K$5+ROW()-26&gt;$K$6,"",IF(INDEX('Raw Pressure Data'!$A:$ZZ,$K$5+ROW()-26+$H$11,MATCH($F$11,'Raw Pressure Data'!$1:$1,0))=-999,"",INDEX('Raw Pressure Data'!$A:$ZZ,$K$5+ROW()-26+$H$11,MATCH($F$11,'Raw Pressure Data'!$1:$1,0))+$G$11))),"")</f>
        <v/>
      </c>
      <c r="U61" s="26">
        <f>IFERROR(IF($F$12="","",IF($K$5+ROW()-26&gt;$K$6,"",IF(INDEX('Raw Pressure Data'!$A:$ZZ,$K$5+ROW()-26+$H$12,MATCH($F$12,'Raw Pressure Data'!$1:$1,0))=-999,"",INDEX('Raw Pressure Data'!$A:$ZZ,$K$5+ROW()-26+$H$12,MATCH($F$12,'Raw Pressure Data'!$1:$1,0))+$G$12))),"")</f>
        <v/>
      </c>
      <c r="V61" s="26">
        <f>IFERROR(IF($F$13="","",IF($K$5+ROW()-26&gt;$K$6,"",IF(INDEX('Raw Pressure Data'!$A:$ZZ,$K$5+ROW()-26+$H$13,MATCH($F$13,'Raw Pressure Data'!$1:$1,0))=-999,"",INDEX('Raw Pressure Data'!$A:$ZZ,$K$5+ROW()-26+$H$13,MATCH($F$13,'Raw Pressure Data'!$1:$1,0))+$G$13))),"")</f>
        <v/>
      </c>
      <c r="W61" s="26">
        <f>IFERROR(IF($F$14="","",IF($K$5+ROW()-26&gt;$K$6,"",IF(INDEX('Raw Pressure Data'!$A:$ZZ,$K$5+ROW()-26+$H$14,MATCH($F$14,'Raw Pressure Data'!$1:$1,0))=-999,"",INDEX('Raw Pressure Data'!$A:$ZZ,$K$5+ROW()-26+$H$14,MATCH($F$14,'Raw Pressure Data'!$1:$1,0))+$G$14))),"")</f>
        <v/>
      </c>
      <c r="X61" s="26">
        <f>IFERROR(IF($F$15="","",IF($K$5+ROW()-26&gt;$K$6,"",IF(INDEX('Raw Pressure Data'!$A:$ZZ,$K$5+ROW()-26+$H$15,MATCH($F$15,'Raw Pressure Data'!$1:$1,0))=-999,"",INDEX('Raw Pressure Data'!$A:$ZZ,$K$5+ROW()-26+$H$15,MATCH($F$15,'Raw Pressure Data'!$1:$1,0))+$G$15))),"")</f>
        <v/>
      </c>
      <c r="Y61" s="26">
        <f>IFERROR(IF($F$16="","",IF($K$5+ROW()-26&gt;$K$6,"",IF(INDEX('Raw Pressure Data'!$A:$ZZ,$K$5+ROW()-26+$H$16,MATCH($F$16,'Raw Pressure Data'!$1:$1,0))=-999,"",INDEX('Raw Pressure Data'!$A:$ZZ,$K$5+ROW()-26+$H$16,MATCH($F$16,'Raw Pressure Data'!$1:$1,0))+$G$16))),"")</f>
        <v/>
      </c>
      <c r="Z61" s="26">
        <f>IFERROR(IF($F$17="","",IF($K$5+ROW()-26&gt;$K$6,"",IF(INDEX('Raw Pressure Data'!$A:$ZZ,$K$5+ROW()-26+$H$17,MATCH($F$17,'Raw Pressure Data'!$1:$1,0))=-999,"",INDEX('Raw Pressure Data'!$A:$ZZ,$K$5+ROW()-26+$H$17,MATCH($F$17,'Raw Pressure Data'!$1:$1,0))+$G$17))),"")</f>
        <v/>
      </c>
      <c r="AA61" s="26">
        <f>IFERROR(IF($F$18="","",IF($K$5+ROW()-26&gt;$K$6,"",IF(INDEX('Raw Pressure Data'!$A:$ZZ,$K$5+ROW()-26+$H$18,MATCH($F$18,'Raw Pressure Data'!$1:$1,0))=-999,"",INDEX('Raw Pressure Data'!$A:$ZZ,$K$5+ROW()-26+$H$18,MATCH($F$18,'Raw Pressure Data'!$1:$1,0))+$G$18))),"")</f>
        <v/>
      </c>
      <c r="AB61" s="26">
        <f>IFERROR(IF($F$19="","",IF($K$5+ROW()-26&gt;$K$6,"",IF(INDEX('Raw Pressure Data'!$A:$ZZ,$K$5+ROW()-26+$H$19,MATCH($F$19,'Raw Pressure Data'!$1:$1,0))=-999,"",INDEX('Raw Pressure Data'!$A:$ZZ,$K$5+ROW()-26+$H$19,MATCH($F$19,'Raw Pressure Data'!$1:$1,0))+$G$19))),"")</f>
        <v/>
      </c>
      <c r="AC61" s="26">
        <f>IFERROR(IF($F$20="","",IF($K$5+ROW()-26&gt;$K$6,"",IF(INDEX('Raw Pressure Data'!$A:$ZZ,$K$5+ROW()-26+$H$20,MATCH($F$20,'Raw Pressure Data'!$1:$1,0))=-999,"",INDEX('Raw Pressure Data'!$A:$ZZ,$K$5+ROW()-26+$H$20,MATCH($F$20,'Raw Pressure Data'!$1:$1,0))+$G$20))),"")</f>
        <v/>
      </c>
      <c r="AD61" s="26">
        <f>IFERROR(IF($F$21="","",IF($K$5+ROW()-26&gt;$K$6,"",IF(INDEX('Raw Pressure Data'!$A:$ZZ,$K$5+ROW()-26+$H$21,MATCH($F$21,'Raw Pressure Data'!$1:$1,0))=-999,"",INDEX('Raw Pressure Data'!$A:$ZZ,$K$5+ROW()-26+$H$21,MATCH($F$21,'Raw Pressure Data'!$1:$1,0))+$G$21))),"")</f>
        <v/>
      </c>
      <c r="AE61" s="26">
        <f>IFERROR(IF($F$22="","",IF($K$5+ROW()-26&gt;$K$6,"",IF(INDEX('Raw Pressure Data'!$A:$ZZ,$K$5+ROW()-26+$H$22,MATCH($F$22,'Raw Pressure Data'!$1:$1,0))=-999,"",INDEX('Raw Pressure Data'!$A:$ZZ,$K$5+ROW()-26+$H$22,MATCH($F$22,'Raw Pressure Data'!$1:$1,0))+$G$22))),"")</f>
        <v/>
      </c>
    </row>
    <row r="62" ht="15" customHeight="1">
      <c r="A62" s="23">
        <f>IFERROR(IF($K$5+ROW()-26&gt;$K$6,"",IF(INDEX('Raw Flow Data'!$A:$A,$K$5+ROW()-26)="","",INDEX('Raw Flow Data'!$A:$A,$K$5+ROW()-26))),"")</f>
        <v/>
      </c>
      <c r="B62" s="24">
        <f>IFERROR(IF($B$3="","",IF($K$5+ROW()-26&gt;$K$6,"",IF(INDEX('Raw Flow Data'!$A:$ZZ,$K$5+ROW()-26+$D$3,MATCH($B$3,'Raw Flow Data'!$1:$1,0))=-999,"",INDEX('Raw Flow Data'!$A:$ZZ,$K$5+ROW()-26+$D$3,MATCH($B$3,'Raw Flow Data'!$1:$1,0))*$C$3))),"")</f>
        <v/>
      </c>
      <c r="C62" s="24">
        <f>IFERROR(IF($B$4="","",IF($K$5+ROW()-26&gt;$K$6,"",IF(INDEX('Raw Flow Data'!$A:$ZZ,$K$5+ROW()-26+$D$4,MATCH($B$4,'Raw Flow Data'!$1:$1,0))=-999,"",INDEX('Raw Flow Data'!$A:$ZZ,$K$5+ROW()-26+$D$4,MATCH($B$4,'Raw Flow Data'!$1:$1,0))*$C$4))),"")</f>
        <v/>
      </c>
      <c r="D62" s="24">
        <f>IFERROR(IF($B$5="","",IF($K$5+ROW()-26&gt;$K$6,"",IF(INDEX('Raw Flow Data'!$A:$ZZ,$K$5+ROW()-26+$D$5,MATCH($B$5,'Raw Flow Data'!$1:$1,0))=-999,"",INDEX('Raw Flow Data'!$A:$ZZ,$K$5+ROW()-26+$D$5,MATCH($B$5,'Raw Flow Data'!$1:$1,0))*$C$5))),"")</f>
        <v/>
      </c>
      <c r="E62" s="24">
        <f>IFERROR(IF($B$6="","",IF($K$5+ROW()-26&gt;$K$6,"",IF(INDEX('Raw Flow Data'!$A:$ZZ,$K$5+ROW()-26+$D$6,MATCH($B$6,'Raw Flow Data'!$1:$1,0))=-999,"",INDEX('Raw Flow Data'!$A:$ZZ,$K$5+ROW()-26+$D$6,MATCH($B$6,'Raw Flow Data'!$1:$1,0))*$C$6))),"")</f>
        <v/>
      </c>
      <c r="F62" s="24">
        <f>IFERROR(IF($B$7="","",IF($K$5+ROW()-26&gt;$K$6,"",IF(INDEX('Raw Flow Data'!$A:$ZZ,$K$5+ROW()-26+$D$7,MATCH($B$7,'Raw Flow Data'!$1:$1,0))=-999,"",INDEX('Raw Flow Data'!$A:$ZZ,$K$5+ROW()-26+$D$7,MATCH($B$7,'Raw Flow Data'!$1:$1,0))*$C$7))),"")</f>
        <v/>
      </c>
      <c r="G62" s="24">
        <f>IFERROR(IF($B$8="","",IF($K$5+ROW()-26&gt;$K$6,"",IF(INDEX('Raw Flow Data'!$A:$ZZ,$K$5+ROW()-26+$D$8,MATCH($B$8,'Raw Flow Data'!$1:$1,0))=-999,"",INDEX('Raw Flow Data'!$A:$ZZ,$K$5+ROW()-26+$D$8,MATCH($B$8,'Raw Flow Data'!$1:$1,0))*$C$8))),"")</f>
        <v/>
      </c>
      <c r="H62" s="24">
        <f>IFERROR(IF($B$9="","",IF($K$5+ROW()-26&gt;$K$6,"",IF(INDEX('Raw Flow Data'!$A:$ZZ,$K$5+ROW()-26+$D$9,MATCH($B$9,'Raw Flow Data'!$1:$1,0))=-999,"",INDEX('Raw Flow Data'!$A:$ZZ,$K$5+ROW()-26+$D$9,MATCH($B$9,'Raw Flow Data'!$1:$1,0))*$C$9))),"")</f>
        <v/>
      </c>
      <c r="I62" s="24">
        <f>IFERROR(IF($B$10="","",IF($K$5+ROW()-26&gt;$K$6,"",IF(INDEX('Raw Flow Data'!$A:$ZZ,$K$5+ROW()-26+$D$10,MATCH($B$10,'Raw Flow Data'!$1:$1,0))=-999,"",INDEX('Raw Flow Data'!$A:$ZZ,$K$5+ROW()-26+$D$10,MATCH($B$10,'Raw Flow Data'!$1:$1,0))*$C$10))),"")</f>
        <v/>
      </c>
      <c r="J62" s="24">
        <f>IFERROR(IF($B$11="","",IF($K$5+ROW()-26&gt;$K$6,"",IF(INDEX('Raw Flow Data'!$A:$ZZ,$K$5+ROW()-26+$D$11,MATCH($B$11,'Raw Flow Data'!$1:$1,0))=-999,"",INDEX('Raw Flow Data'!$A:$ZZ,$K$5+ROW()-26+$D$11,MATCH($B$11,'Raw Flow Data'!$1:$1,0))*$C$11))),"")</f>
        <v/>
      </c>
      <c r="K62" s="24">
        <f>IFERROR(IF($B$12="","",IF($K$5+ROW()-26&gt;$K$6,"",IF(INDEX('Raw Flow Data'!$A:$ZZ,$K$5+ROW()-26+$D$12,MATCH($B$12,'Raw Flow Data'!$1:$1,0))=-999,"",INDEX('Raw Flow Data'!$A:$ZZ,$K$5+ROW()-26+$D$12,MATCH($B$12,'Raw Flow Data'!$1:$1,0))*$C$12))),"")</f>
        <v/>
      </c>
      <c r="L62" s="24">
        <f>IFERROR(IF($F$3="","",IF($K$5+ROW()-26&gt;$K$6,"",IF(INDEX('Raw Pressure Data'!$A:$ZZ,$K$5+ROW()-26+$H$3,MATCH($F$3,'Raw Pressure Data'!$1:$1,0))=-999,"",INDEX('Raw Pressure Data'!$A:$ZZ,$K$5+ROW()-26+$H$3,MATCH($F$3,'Raw Pressure Data'!$1:$1,0))+$G$3))),"")</f>
        <v/>
      </c>
      <c r="M62" s="24">
        <f>IFERROR(IF($F$4="","",IF($K$5+ROW()-26&gt;$K$6,"",IF(INDEX('Raw Pressure Data'!$A:$ZZ,$K$5+ROW()-26+$H$4,MATCH($F$4,'Raw Pressure Data'!$1:$1,0))=-999,"",INDEX('Raw Pressure Data'!$A:$ZZ,$K$5+ROW()-26+$H$4,MATCH($F$4,'Raw Pressure Data'!$1:$1,0))+$G$4))),"")</f>
        <v/>
      </c>
      <c r="N62" s="24">
        <f>IFERROR(IF($F$5="","",IF($K$5+ROW()-26&gt;$K$6,"",IF(INDEX('Raw Pressure Data'!$A:$ZZ,$K$5+ROW()-26+$H$5,MATCH($F$5,'Raw Pressure Data'!$1:$1,0))=-999,"",INDEX('Raw Pressure Data'!$A:$ZZ,$K$5+ROW()-26+$H$5,MATCH($F$5,'Raw Pressure Data'!$1:$1,0))+$G$5))),"")</f>
        <v/>
      </c>
      <c r="O62" s="24">
        <f>IFERROR(IF($F$6="","",IF($K$5+ROW()-26&gt;$K$6,"",IF(INDEX('Raw Pressure Data'!$A:$ZZ,$K$5+ROW()-26+$H$6,MATCH($F$6,'Raw Pressure Data'!$1:$1,0))=-999,"",INDEX('Raw Pressure Data'!$A:$ZZ,$K$5+ROW()-26+$H$6,MATCH($F$6,'Raw Pressure Data'!$1:$1,0))+$G$6))),"")</f>
        <v/>
      </c>
      <c r="P62" s="24">
        <f>IFERROR(IF($F$7="","",IF($K$5+ROW()-26&gt;$K$6,"",IF(INDEX('Raw Pressure Data'!$A:$ZZ,$K$5+ROW()-26+$H$7,MATCH($F$7,'Raw Pressure Data'!$1:$1,0))=-999,"",INDEX('Raw Pressure Data'!$A:$ZZ,$K$5+ROW()-26+$H$7,MATCH($F$7,'Raw Pressure Data'!$1:$1,0))+$G$7))),"")</f>
        <v/>
      </c>
      <c r="Q62" s="24">
        <f>IFERROR(IF($F$8="","",IF($K$5+ROW()-26&gt;$K$6,"",IF(INDEX('Raw Pressure Data'!$A:$ZZ,$K$5+ROW()-26+$H$8,MATCH($F$8,'Raw Pressure Data'!$1:$1,0))=-999,"",INDEX('Raw Pressure Data'!$A:$ZZ,$K$5+ROW()-26+$H$8,MATCH($F$8,'Raw Pressure Data'!$1:$1,0))+$G$8))),"")</f>
        <v/>
      </c>
      <c r="R62" s="24">
        <f>IFERROR(IF($F$9="","",IF($K$5+ROW()-26&gt;$K$6,"",IF(INDEX('Raw Pressure Data'!$A:$ZZ,$K$5+ROW()-26+$H$9,MATCH($F$9,'Raw Pressure Data'!$1:$1,0))=-999,"",INDEX('Raw Pressure Data'!$A:$ZZ,$K$5+ROW()-26+$H$9,MATCH($F$9,'Raw Pressure Data'!$1:$1,0))+$G$9))),"")</f>
        <v/>
      </c>
      <c r="S62" s="24">
        <f>IFERROR(IF($F$10="","",IF($K$5+ROW()-26&gt;$K$6,"",IF(INDEX('Raw Pressure Data'!$A:$ZZ,$K$5+ROW()-26+$H$10,MATCH($F$10,'Raw Pressure Data'!$1:$1,0))=-999,"",INDEX('Raw Pressure Data'!$A:$ZZ,$K$5+ROW()-26+$H$10,MATCH($F$10,'Raw Pressure Data'!$1:$1,0))+$G$10))),"")</f>
        <v/>
      </c>
      <c r="T62" s="24">
        <f>IFERROR(IF($F$11="","",IF($K$5+ROW()-26&gt;$K$6,"",IF(INDEX('Raw Pressure Data'!$A:$ZZ,$K$5+ROW()-26+$H$11,MATCH($F$11,'Raw Pressure Data'!$1:$1,0))=-999,"",INDEX('Raw Pressure Data'!$A:$ZZ,$K$5+ROW()-26+$H$11,MATCH($F$11,'Raw Pressure Data'!$1:$1,0))+$G$11))),"")</f>
        <v/>
      </c>
      <c r="U62" s="24">
        <f>IFERROR(IF($F$12="","",IF($K$5+ROW()-26&gt;$K$6,"",IF(INDEX('Raw Pressure Data'!$A:$ZZ,$K$5+ROW()-26+$H$12,MATCH($F$12,'Raw Pressure Data'!$1:$1,0))=-999,"",INDEX('Raw Pressure Data'!$A:$ZZ,$K$5+ROW()-26+$H$12,MATCH($F$12,'Raw Pressure Data'!$1:$1,0))+$G$12))),"")</f>
        <v/>
      </c>
      <c r="V62" s="24">
        <f>IFERROR(IF($F$13="","",IF($K$5+ROW()-26&gt;$K$6,"",IF(INDEX('Raw Pressure Data'!$A:$ZZ,$K$5+ROW()-26+$H$13,MATCH($F$13,'Raw Pressure Data'!$1:$1,0))=-999,"",INDEX('Raw Pressure Data'!$A:$ZZ,$K$5+ROW()-26+$H$13,MATCH($F$13,'Raw Pressure Data'!$1:$1,0))+$G$13))),"")</f>
        <v/>
      </c>
      <c r="W62" s="24">
        <f>IFERROR(IF($F$14="","",IF($K$5+ROW()-26&gt;$K$6,"",IF(INDEX('Raw Pressure Data'!$A:$ZZ,$K$5+ROW()-26+$H$14,MATCH($F$14,'Raw Pressure Data'!$1:$1,0))=-999,"",INDEX('Raw Pressure Data'!$A:$ZZ,$K$5+ROW()-26+$H$14,MATCH($F$14,'Raw Pressure Data'!$1:$1,0))+$G$14))),"")</f>
        <v/>
      </c>
      <c r="X62" s="24">
        <f>IFERROR(IF($F$15="","",IF($K$5+ROW()-26&gt;$K$6,"",IF(INDEX('Raw Pressure Data'!$A:$ZZ,$K$5+ROW()-26+$H$15,MATCH($F$15,'Raw Pressure Data'!$1:$1,0))=-999,"",INDEX('Raw Pressure Data'!$A:$ZZ,$K$5+ROW()-26+$H$15,MATCH($F$15,'Raw Pressure Data'!$1:$1,0))+$G$15))),"")</f>
        <v/>
      </c>
      <c r="Y62" s="24">
        <f>IFERROR(IF($F$16="","",IF($K$5+ROW()-26&gt;$K$6,"",IF(INDEX('Raw Pressure Data'!$A:$ZZ,$K$5+ROW()-26+$H$16,MATCH($F$16,'Raw Pressure Data'!$1:$1,0))=-999,"",INDEX('Raw Pressure Data'!$A:$ZZ,$K$5+ROW()-26+$H$16,MATCH($F$16,'Raw Pressure Data'!$1:$1,0))+$G$16))),"")</f>
        <v/>
      </c>
      <c r="Z62" s="24">
        <f>IFERROR(IF($F$17="","",IF($K$5+ROW()-26&gt;$K$6,"",IF(INDEX('Raw Pressure Data'!$A:$ZZ,$K$5+ROW()-26+$H$17,MATCH($F$17,'Raw Pressure Data'!$1:$1,0))=-999,"",INDEX('Raw Pressure Data'!$A:$ZZ,$K$5+ROW()-26+$H$17,MATCH($F$17,'Raw Pressure Data'!$1:$1,0))+$G$17))),"")</f>
        <v/>
      </c>
      <c r="AA62" s="24">
        <f>IFERROR(IF($F$18="","",IF($K$5+ROW()-26&gt;$K$6,"",IF(INDEX('Raw Pressure Data'!$A:$ZZ,$K$5+ROW()-26+$H$18,MATCH($F$18,'Raw Pressure Data'!$1:$1,0))=-999,"",INDEX('Raw Pressure Data'!$A:$ZZ,$K$5+ROW()-26+$H$18,MATCH($F$18,'Raw Pressure Data'!$1:$1,0))+$G$18))),"")</f>
        <v/>
      </c>
      <c r="AB62" s="24">
        <f>IFERROR(IF($F$19="","",IF($K$5+ROW()-26&gt;$K$6,"",IF(INDEX('Raw Pressure Data'!$A:$ZZ,$K$5+ROW()-26+$H$19,MATCH($F$19,'Raw Pressure Data'!$1:$1,0))=-999,"",INDEX('Raw Pressure Data'!$A:$ZZ,$K$5+ROW()-26+$H$19,MATCH($F$19,'Raw Pressure Data'!$1:$1,0))+$G$19))),"")</f>
        <v/>
      </c>
      <c r="AC62" s="24">
        <f>IFERROR(IF($F$20="","",IF($K$5+ROW()-26&gt;$K$6,"",IF(INDEX('Raw Pressure Data'!$A:$ZZ,$K$5+ROW()-26+$H$20,MATCH($F$20,'Raw Pressure Data'!$1:$1,0))=-999,"",INDEX('Raw Pressure Data'!$A:$ZZ,$K$5+ROW()-26+$H$20,MATCH($F$20,'Raw Pressure Data'!$1:$1,0))+$G$20))),"")</f>
        <v/>
      </c>
      <c r="AD62" s="24">
        <f>IFERROR(IF($F$21="","",IF($K$5+ROW()-26&gt;$K$6,"",IF(INDEX('Raw Pressure Data'!$A:$ZZ,$K$5+ROW()-26+$H$21,MATCH($F$21,'Raw Pressure Data'!$1:$1,0))=-999,"",INDEX('Raw Pressure Data'!$A:$ZZ,$K$5+ROW()-26+$H$21,MATCH($F$21,'Raw Pressure Data'!$1:$1,0))+$G$21))),"")</f>
        <v/>
      </c>
      <c r="AE62" s="24">
        <f>IFERROR(IF($F$22="","",IF($K$5+ROW()-26&gt;$K$6,"",IF(INDEX('Raw Pressure Data'!$A:$ZZ,$K$5+ROW()-26+$H$22,MATCH($F$22,'Raw Pressure Data'!$1:$1,0))=-999,"",INDEX('Raw Pressure Data'!$A:$ZZ,$K$5+ROW()-26+$H$22,MATCH($F$22,'Raw Pressure Data'!$1:$1,0))+$G$22))),"")</f>
        <v/>
      </c>
    </row>
    <row r="63" ht="15" customHeight="1">
      <c r="A63" s="25">
        <f>IFERROR(IF($K$5+ROW()-26&gt;$K$6,"",IF(INDEX('Raw Flow Data'!$A:$A,$K$5+ROW()-26)="","",INDEX('Raw Flow Data'!$A:$A,$K$5+ROW()-26))),"")</f>
        <v/>
      </c>
      <c r="B63" s="26">
        <f>IFERROR(IF($B$3="","",IF($K$5+ROW()-26&gt;$K$6,"",IF(INDEX('Raw Flow Data'!$A:$ZZ,$K$5+ROW()-26+$D$3,MATCH($B$3,'Raw Flow Data'!$1:$1,0))=-999,"",INDEX('Raw Flow Data'!$A:$ZZ,$K$5+ROW()-26+$D$3,MATCH($B$3,'Raw Flow Data'!$1:$1,0))*$C$3))),"")</f>
        <v/>
      </c>
      <c r="C63" s="26">
        <f>IFERROR(IF($B$4="","",IF($K$5+ROW()-26&gt;$K$6,"",IF(INDEX('Raw Flow Data'!$A:$ZZ,$K$5+ROW()-26+$D$4,MATCH($B$4,'Raw Flow Data'!$1:$1,0))=-999,"",INDEX('Raw Flow Data'!$A:$ZZ,$K$5+ROW()-26+$D$4,MATCH($B$4,'Raw Flow Data'!$1:$1,0))*$C$4))),"")</f>
        <v/>
      </c>
      <c r="D63" s="26">
        <f>IFERROR(IF($B$5="","",IF($K$5+ROW()-26&gt;$K$6,"",IF(INDEX('Raw Flow Data'!$A:$ZZ,$K$5+ROW()-26+$D$5,MATCH($B$5,'Raw Flow Data'!$1:$1,0))=-999,"",INDEX('Raw Flow Data'!$A:$ZZ,$K$5+ROW()-26+$D$5,MATCH($B$5,'Raw Flow Data'!$1:$1,0))*$C$5))),"")</f>
        <v/>
      </c>
      <c r="E63" s="26">
        <f>IFERROR(IF($B$6="","",IF($K$5+ROW()-26&gt;$K$6,"",IF(INDEX('Raw Flow Data'!$A:$ZZ,$K$5+ROW()-26+$D$6,MATCH($B$6,'Raw Flow Data'!$1:$1,0))=-999,"",INDEX('Raw Flow Data'!$A:$ZZ,$K$5+ROW()-26+$D$6,MATCH($B$6,'Raw Flow Data'!$1:$1,0))*$C$6))),"")</f>
        <v/>
      </c>
      <c r="F63" s="26">
        <f>IFERROR(IF($B$7="","",IF($K$5+ROW()-26&gt;$K$6,"",IF(INDEX('Raw Flow Data'!$A:$ZZ,$K$5+ROW()-26+$D$7,MATCH($B$7,'Raw Flow Data'!$1:$1,0))=-999,"",INDEX('Raw Flow Data'!$A:$ZZ,$K$5+ROW()-26+$D$7,MATCH($B$7,'Raw Flow Data'!$1:$1,0))*$C$7))),"")</f>
        <v/>
      </c>
      <c r="G63" s="26">
        <f>IFERROR(IF($B$8="","",IF($K$5+ROW()-26&gt;$K$6,"",IF(INDEX('Raw Flow Data'!$A:$ZZ,$K$5+ROW()-26+$D$8,MATCH($B$8,'Raw Flow Data'!$1:$1,0))=-999,"",INDEX('Raw Flow Data'!$A:$ZZ,$K$5+ROW()-26+$D$8,MATCH($B$8,'Raw Flow Data'!$1:$1,0))*$C$8))),"")</f>
        <v/>
      </c>
      <c r="H63" s="26">
        <f>IFERROR(IF($B$9="","",IF($K$5+ROW()-26&gt;$K$6,"",IF(INDEX('Raw Flow Data'!$A:$ZZ,$K$5+ROW()-26+$D$9,MATCH($B$9,'Raw Flow Data'!$1:$1,0))=-999,"",INDEX('Raw Flow Data'!$A:$ZZ,$K$5+ROW()-26+$D$9,MATCH($B$9,'Raw Flow Data'!$1:$1,0))*$C$9))),"")</f>
        <v/>
      </c>
      <c r="I63" s="26">
        <f>IFERROR(IF($B$10="","",IF($K$5+ROW()-26&gt;$K$6,"",IF(INDEX('Raw Flow Data'!$A:$ZZ,$K$5+ROW()-26+$D$10,MATCH($B$10,'Raw Flow Data'!$1:$1,0))=-999,"",INDEX('Raw Flow Data'!$A:$ZZ,$K$5+ROW()-26+$D$10,MATCH($B$10,'Raw Flow Data'!$1:$1,0))*$C$10))),"")</f>
        <v/>
      </c>
      <c r="J63" s="26">
        <f>IFERROR(IF($B$11="","",IF($K$5+ROW()-26&gt;$K$6,"",IF(INDEX('Raw Flow Data'!$A:$ZZ,$K$5+ROW()-26+$D$11,MATCH($B$11,'Raw Flow Data'!$1:$1,0))=-999,"",INDEX('Raw Flow Data'!$A:$ZZ,$K$5+ROW()-26+$D$11,MATCH($B$11,'Raw Flow Data'!$1:$1,0))*$C$11))),"")</f>
        <v/>
      </c>
      <c r="K63" s="26">
        <f>IFERROR(IF($B$12="","",IF($K$5+ROW()-26&gt;$K$6,"",IF(INDEX('Raw Flow Data'!$A:$ZZ,$K$5+ROW()-26+$D$12,MATCH($B$12,'Raw Flow Data'!$1:$1,0))=-999,"",INDEX('Raw Flow Data'!$A:$ZZ,$K$5+ROW()-26+$D$12,MATCH($B$12,'Raw Flow Data'!$1:$1,0))*$C$12))),"")</f>
        <v/>
      </c>
      <c r="L63" s="26">
        <f>IFERROR(IF($F$3="","",IF($K$5+ROW()-26&gt;$K$6,"",IF(INDEX('Raw Pressure Data'!$A:$ZZ,$K$5+ROW()-26+$H$3,MATCH($F$3,'Raw Pressure Data'!$1:$1,0))=-999,"",INDEX('Raw Pressure Data'!$A:$ZZ,$K$5+ROW()-26+$H$3,MATCH($F$3,'Raw Pressure Data'!$1:$1,0))+$G$3))),"")</f>
        <v/>
      </c>
      <c r="M63" s="26">
        <f>IFERROR(IF($F$4="","",IF($K$5+ROW()-26&gt;$K$6,"",IF(INDEX('Raw Pressure Data'!$A:$ZZ,$K$5+ROW()-26+$H$4,MATCH($F$4,'Raw Pressure Data'!$1:$1,0))=-999,"",INDEX('Raw Pressure Data'!$A:$ZZ,$K$5+ROW()-26+$H$4,MATCH($F$4,'Raw Pressure Data'!$1:$1,0))+$G$4))),"")</f>
        <v/>
      </c>
      <c r="N63" s="26">
        <f>IFERROR(IF($F$5="","",IF($K$5+ROW()-26&gt;$K$6,"",IF(INDEX('Raw Pressure Data'!$A:$ZZ,$K$5+ROW()-26+$H$5,MATCH($F$5,'Raw Pressure Data'!$1:$1,0))=-999,"",INDEX('Raw Pressure Data'!$A:$ZZ,$K$5+ROW()-26+$H$5,MATCH($F$5,'Raw Pressure Data'!$1:$1,0))+$G$5))),"")</f>
        <v/>
      </c>
      <c r="O63" s="26">
        <f>IFERROR(IF($F$6="","",IF($K$5+ROW()-26&gt;$K$6,"",IF(INDEX('Raw Pressure Data'!$A:$ZZ,$K$5+ROW()-26+$H$6,MATCH($F$6,'Raw Pressure Data'!$1:$1,0))=-999,"",INDEX('Raw Pressure Data'!$A:$ZZ,$K$5+ROW()-26+$H$6,MATCH($F$6,'Raw Pressure Data'!$1:$1,0))+$G$6))),"")</f>
        <v/>
      </c>
      <c r="P63" s="26">
        <f>IFERROR(IF($F$7="","",IF($K$5+ROW()-26&gt;$K$6,"",IF(INDEX('Raw Pressure Data'!$A:$ZZ,$K$5+ROW()-26+$H$7,MATCH($F$7,'Raw Pressure Data'!$1:$1,0))=-999,"",INDEX('Raw Pressure Data'!$A:$ZZ,$K$5+ROW()-26+$H$7,MATCH($F$7,'Raw Pressure Data'!$1:$1,0))+$G$7))),"")</f>
        <v/>
      </c>
      <c r="Q63" s="26">
        <f>IFERROR(IF($F$8="","",IF($K$5+ROW()-26&gt;$K$6,"",IF(INDEX('Raw Pressure Data'!$A:$ZZ,$K$5+ROW()-26+$H$8,MATCH($F$8,'Raw Pressure Data'!$1:$1,0))=-999,"",INDEX('Raw Pressure Data'!$A:$ZZ,$K$5+ROW()-26+$H$8,MATCH($F$8,'Raw Pressure Data'!$1:$1,0))+$G$8))),"")</f>
        <v/>
      </c>
      <c r="R63" s="26">
        <f>IFERROR(IF($F$9="","",IF($K$5+ROW()-26&gt;$K$6,"",IF(INDEX('Raw Pressure Data'!$A:$ZZ,$K$5+ROW()-26+$H$9,MATCH($F$9,'Raw Pressure Data'!$1:$1,0))=-999,"",INDEX('Raw Pressure Data'!$A:$ZZ,$K$5+ROW()-26+$H$9,MATCH($F$9,'Raw Pressure Data'!$1:$1,0))+$G$9))),"")</f>
        <v/>
      </c>
      <c r="S63" s="26">
        <f>IFERROR(IF($F$10="","",IF($K$5+ROW()-26&gt;$K$6,"",IF(INDEX('Raw Pressure Data'!$A:$ZZ,$K$5+ROW()-26+$H$10,MATCH($F$10,'Raw Pressure Data'!$1:$1,0))=-999,"",INDEX('Raw Pressure Data'!$A:$ZZ,$K$5+ROW()-26+$H$10,MATCH($F$10,'Raw Pressure Data'!$1:$1,0))+$G$10))),"")</f>
        <v/>
      </c>
      <c r="T63" s="26">
        <f>IFERROR(IF($F$11="","",IF($K$5+ROW()-26&gt;$K$6,"",IF(INDEX('Raw Pressure Data'!$A:$ZZ,$K$5+ROW()-26+$H$11,MATCH($F$11,'Raw Pressure Data'!$1:$1,0))=-999,"",INDEX('Raw Pressure Data'!$A:$ZZ,$K$5+ROW()-26+$H$11,MATCH($F$11,'Raw Pressure Data'!$1:$1,0))+$G$11))),"")</f>
        <v/>
      </c>
      <c r="U63" s="26">
        <f>IFERROR(IF($F$12="","",IF($K$5+ROW()-26&gt;$K$6,"",IF(INDEX('Raw Pressure Data'!$A:$ZZ,$K$5+ROW()-26+$H$12,MATCH($F$12,'Raw Pressure Data'!$1:$1,0))=-999,"",INDEX('Raw Pressure Data'!$A:$ZZ,$K$5+ROW()-26+$H$12,MATCH($F$12,'Raw Pressure Data'!$1:$1,0))+$G$12))),"")</f>
        <v/>
      </c>
      <c r="V63" s="26">
        <f>IFERROR(IF($F$13="","",IF($K$5+ROW()-26&gt;$K$6,"",IF(INDEX('Raw Pressure Data'!$A:$ZZ,$K$5+ROW()-26+$H$13,MATCH($F$13,'Raw Pressure Data'!$1:$1,0))=-999,"",INDEX('Raw Pressure Data'!$A:$ZZ,$K$5+ROW()-26+$H$13,MATCH($F$13,'Raw Pressure Data'!$1:$1,0))+$G$13))),"")</f>
        <v/>
      </c>
      <c r="W63" s="26">
        <f>IFERROR(IF($F$14="","",IF($K$5+ROW()-26&gt;$K$6,"",IF(INDEX('Raw Pressure Data'!$A:$ZZ,$K$5+ROW()-26+$H$14,MATCH($F$14,'Raw Pressure Data'!$1:$1,0))=-999,"",INDEX('Raw Pressure Data'!$A:$ZZ,$K$5+ROW()-26+$H$14,MATCH($F$14,'Raw Pressure Data'!$1:$1,0))+$G$14))),"")</f>
        <v/>
      </c>
      <c r="X63" s="26">
        <f>IFERROR(IF($F$15="","",IF($K$5+ROW()-26&gt;$K$6,"",IF(INDEX('Raw Pressure Data'!$A:$ZZ,$K$5+ROW()-26+$H$15,MATCH($F$15,'Raw Pressure Data'!$1:$1,0))=-999,"",INDEX('Raw Pressure Data'!$A:$ZZ,$K$5+ROW()-26+$H$15,MATCH($F$15,'Raw Pressure Data'!$1:$1,0))+$G$15))),"")</f>
        <v/>
      </c>
      <c r="Y63" s="26">
        <f>IFERROR(IF($F$16="","",IF($K$5+ROW()-26&gt;$K$6,"",IF(INDEX('Raw Pressure Data'!$A:$ZZ,$K$5+ROW()-26+$H$16,MATCH($F$16,'Raw Pressure Data'!$1:$1,0))=-999,"",INDEX('Raw Pressure Data'!$A:$ZZ,$K$5+ROW()-26+$H$16,MATCH($F$16,'Raw Pressure Data'!$1:$1,0))+$G$16))),"")</f>
        <v/>
      </c>
      <c r="Z63" s="26">
        <f>IFERROR(IF($F$17="","",IF($K$5+ROW()-26&gt;$K$6,"",IF(INDEX('Raw Pressure Data'!$A:$ZZ,$K$5+ROW()-26+$H$17,MATCH($F$17,'Raw Pressure Data'!$1:$1,0))=-999,"",INDEX('Raw Pressure Data'!$A:$ZZ,$K$5+ROW()-26+$H$17,MATCH($F$17,'Raw Pressure Data'!$1:$1,0))+$G$17))),"")</f>
        <v/>
      </c>
      <c r="AA63" s="26">
        <f>IFERROR(IF($F$18="","",IF($K$5+ROW()-26&gt;$K$6,"",IF(INDEX('Raw Pressure Data'!$A:$ZZ,$K$5+ROW()-26+$H$18,MATCH($F$18,'Raw Pressure Data'!$1:$1,0))=-999,"",INDEX('Raw Pressure Data'!$A:$ZZ,$K$5+ROW()-26+$H$18,MATCH($F$18,'Raw Pressure Data'!$1:$1,0))+$G$18))),"")</f>
        <v/>
      </c>
      <c r="AB63" s="26">
        <f>IFERROR(IF($F$19="","",IF($K$5+ROW()-26&gt;$K$6,"",IF(INDEX('Raw Pressure Data'!$A:$ZZ,$K$5+ROW()-26+$H$19,MATCH($F$19,'Raw Pressure Data'!$1:$1,0))=-999,"",INDEX('Raw Pressure Data'!$A:$ZZ,$K$5+ROW()-26+$H$19,MATCH($F$19,'Raw Pressure Data'!$1:$1,0))+$G$19))),"")</f>
        <v/>
      </c>
      <c r="AC63" s="26">
        <f>IFERROR(IF($F$20="","",IF($K$5+ROW()-26&gt;$K$6,"",IF(INDEX('Raw Pressure Data'!$A:$ZZ,$K$5+ROW()-26+$H$20,MATCH($F$20,'Raw Pressure Data'!$1:$1,0))=-999,"",INDEX('Raw Pressure Data'!$A:$ZZ,$K$5+ROW()-26+$H$20,MATCH($F$20,'Raw Pressure Data'!$1:$1,0))+$G$20))),"")</f>
        <v/>
      </c>
      <c r="AD63" s="26">
        <f>IFERROR(IF($F$21="","",IF($K$5+ROW()-26&gt;$K$6,"",IF(INDEX('Raw Pressure Data'!$A:$ZZ,$K$5+ROW()-26+$H$21,MATCH($F$21,'Raw Pressure Data'!$1:$1,0))=-999,"",INDEX('Raw Pressure Data'!$A:$ZZ,$K$5+ROW()-26+$H$21,MATCH($F$21,'Raw Pressure Data'!$1:$1,0))+$G$21))),"")</f>
        <v/>
      </c>
      <c r="AE63" s="26">
        <f>IFERROR(IF($F$22="","",IF($K$5+ROW()-26&gt;$K$6,"",IF(INDEX('Raw Pressure Data'!$A:$ZZ,$K$5+ROW()-26+$H$22,MATCH($F$22,'Raw Pressure Data'!$1:$1,0))=-999,"",INDEX('Raw Pressure Data'!$A:$ZZ,$K$5+ROW()-26+$H$22,MATCH($F$22,'Raw Pressure Data'!$1:$1,0))+$G$22))),"")</f>
        <v/>
      </c>
    </row>
    <row r="64" ht="15" customHeight="1">
      <c r="A64" s="23">
        <f>IFERROR(IF($K$5+ROW()-26&gt;$K$6,"",IF(INDEX('Raw Flow Data'!$A:$A,$K$5+ROW()-26)="","",INDEX('Raw Flow Data'!$A:$A,$K$5+ROW()-26))),"")</f>
        <v/>
      </c>
      <c r="B64" s="24">
        <f>IFERROR(IF($B$3="","",IF($K$5+ROW()-26&gt;$K$6,"",IF(INDEX('Raw Flow Data'!$A:$ZZ,$K$5+ROW()-26+$D$3,MATCH($B$3,'Raw Flow Data'!$1:$1,0))=-999,"",INDEX('Raw Flow Data'!$A:$ZZ,$K$5+ROW()-26+$D$3,MATCH($B$3,'Raw Flow Data'!$1:$1,0))*$C$3))),"")</f>
        <v/>
      </c>
      <c r="C64" s="24">
        <f>IFERROR(IF($B$4="","",IF($K$5+ROW()-26&gt;$K$6,"",IF(INDEX('Raw Flow Data'!$A:$ZZ,$K$5+ROW()-26+$D$4,MATCH($B$4,'Raw Flow Data'!$1:$1,0))=-999,"",INDEX('Raw Flow Data'!$A:$ZZ,$K$5+ROW()-26+$D$4,MATCH($B$4,'Raw Flow Data'!$1:$1,0))*$C$4))),"")</f>
        <v/>
      </c>
      <c r="D64" s="24">
        <f>IFERROR(IF($B$5="","",IF($K$5+ROW()-26&gt;$K$6,"",IF(INDEX('Raw Flow Data'!$A:$ZZ,$K$5+ROW()-26+$D$5,MATCH($B$5,'Raw Flow Data'!$1:$1,0))=-999,"",INDEX('Raw Flow Data'!$A:$ZZ,$K$5+ROW()-26+$D$5,MATCH($B$5,'Raw Flow Data'!$1:$1,0))*$C$5))),"")</f>
        <v/>
      </c>
      <c r="E64" s="24">
        <f>IFERROR(IF($B$6="","",IF($K$5+ROW()-26&gt;$K$6,"",IF(INDEX('Raw Flow Data'!$A:$ZZ,$K$5+ROW()-26+$D$6,MATCH($B$6,'Raw Flow Data'!$1:$1,0))=-999,"",INDEX('Raw Flow Data'!$A:$ZZ,$K$5+ROW()-26+$D$6,MATCH($B$6,'Raw Flow Data'!$1:$1,0))*$C$6))),"")</f>
        <v/>
      </c>
      <c r="F64" s="24">
        <f>IFERROR(IF($B$7="","",IF($K$5+ROW()-26&gt;$K$6,"",IF(INDEX('Raw Flow Data'!$A:$ZZ,$K$5+ROW()-26+$D$7,MATCH($B$7,'Raw Flow Data'!$1:$1,0))=-999,"",INDEX('Raw Flow Data'!$A:$ZZ,$K$5+ROW()-26+$D$7,MATCH($B$7,'Raw Flow Data'!$1:$1,0))*$C$7))),"")</f>
        <v/>
      </c>
      <c r="G64" s="24">
        <f>IFERROR(IF($B$8="","",IF($K$5+ROW()-26&gt;$K$6,"",IF(INDEX('Raw Flow Data'!$A:$ZZ,$K$5+ROW()-26+$D$8,MATCH($B$8,'Raw Flow Data'!$1:$1,0))=-999,"",INDEX('Raw Flow Data'!$A:$ZZ,$K$5+ROW()-26+$D$8,MATCH($B$8,'Raw Flow Data'!$1:$1,0))*$C$8))),"")</f>
        <v/>
      </c>
      <c r="H64" s="24">
        <f>IFERROR(IF($B$9="","",IF($K$5+ROW()-26&gt;$K$6,"",IF(INDEX('Raw Flow Data'!$A:$ZZ,$K$5+ROW()-26+$D$9,MATCH($B$9,'Raw Flow Data'!$1:$1,0))=-999,"",INDEX('Raw Flow Data'!$A:$ZZ,$K$5+ROW()-26+$D$9,MATCH($B$9,'Raw Flow Data'!$1:$1,0))*$C$9))),"")</f>
        <v/>
      </c>
      <c r="I64" s="24">
        <f>IFERROR(IF($B$10="","",IF($K$5+ROW()-26&gt;$K$6,"",IF(INDEX('Raw Flow Data'!$A:$ZZ,$K$5+ROW()-26+$D$10,MATCH($B$10,'Raw Flow Data'!$1:$1,0))=-999,"",INDEX('Raw Flow Data'!$A:$ZZ,$K$5+ROW()-26+$D$10,MATCH($B$10,'Raw Flow Data'!$1:$1,0))*$C$10))),"")</f>
        <v/>
      </c>
      <c r="J64" s="24">
        <f>IFERROR(IF($B$11="","",IF($K$5+ROW()-26&gt;$K$6,"",IF(INDEX('Raw Flow Data'!$A:$ZZ,$K$5+ROW()-26+$D$11,MATCH($B$11,'Raw Flow Data'!$1:$1,0))=-999,"",INDEX('Raw Flow Data'!$A:$ZZ,$K$5+ROW()-26+$D$11,MATCH($B$11,'Raw Flow Data'!$1:$1,0))*$C$11))),"")</f>
        <v/>
      </c>
      <c r="K64" s="24">
        <f>IFERROR(IF($B$12="","",IF($K$5+ROW()-26&gt;$K$6,"",IF(INDEX('Raw Flow Data'!$A:$ZZ,$K$5+ROW()-26+$D$12,MATCH($B$12,'Raw Flow Data'!$1:$1,0))=-999,"",INDEX('Raw Flow Data'!$A:$ZZ,$K$5+ROW()-26+$D$12,MATCH($B$12,'Raw Flow Data'!$1:$1,0))*$C$12))),"")</f>
        <v/>
      </c>
      <c r="L64" s="24">
        <f>IFERROR(IF($F$3="","",IF($K$5+ROW()-26&gt;$K$6,"",IF(INDEX('Raw Pressure Data'!$A:$ZZ,$K$5+ROW()-26+$H$3,MATCH($F$3,'Raw Pressure Data'!$1:$1,0))=-999,"",INDEX('Raw Pressure Data'!$A:$ZZ,$K$5+ROW()-26+$H$3,MATCH($F$3,'Raw Pressure Data'!$1:$1,0))+$G$3))),"")</f>
        <v/>
      </c>
      <c r="M64" s="24">
        <f>IFERROR(IF($F$4="","",IF($K$5+ROW()-26&gt;$K$6,"",IF(INDEX('Raw Pressure Data'!$A:$ZZ,$K$5+ROW()-26+$H$4,MATCH($F$4,'Raw Pressure Data'!$1:$1,0))=-999,"",INDEX('Raw Pressure Data'!$A:$ZZ,$K$5+ROW()-26+$H$4,MATCH($F$4,'Raw Pressure Data'!$1:$1,0))+$G$4))),"")</f>
        <v/>
      </c>
      <c r="N64" s="24">
        <f>IFERROR(IF($F$5="","",IF($K$5+ROW()-26&gt;$K$6,"",IF(INDEX('Raw Pressure Data'!$A:$ZZ,$K$5+ROW()-26+$H$5,MATCH($F$5,'Raw Pressure Data'!$1:$1,0))=-999,"",INDEX('Raw Pressure Data'!$A:$ZZ,$K$5+ROW()-26+$H$5,MATCH($F$5,'Raw Pressure Data'!$1:$1,0))+$G$5))),"")</f>
        <v/>
      </c>
      <c r="O64" s="24">
        <f>IFERROR(IF($F$6="","",IF($K$5+ROW()-26&gt;$K$6,"",IF(INDEX('Raw Pressure Data'!$A:$ZZ,$K$5+ROW()-26+$H$6,MATCH($F$6,'Raw Pressure Data'!$1:$1,0))=-999,"",INDEX('Raw Pressure Data'!$A:$ZZ,$K$5+ROW()-26+$H$6,MATCH($F$6,'Raw Pressure Data'!$1:$1,0))+$G$6))),"")</f>
        <v/>
      </c>
      <c r="P64" s="24">
        <f>IFERROR(IF($F$7="","",IF($K$5+ROW()-26&gt;$K$6,"",IF(INDEX('Raw Pressure Data'!$A:$ZZ,$K$5+ROW()-26+$H$7,MATCH($F$7,'Raw Pressure Data'!$1:$1,0))=-999,"",INDEX('Raw Pressure Data'!$A:$ZZ,$K$5+ROW()-26+$H$7,MATCH($F$7,'Raw Pressure Data'!$1:$1,0))+$G$7))),"")</f>
        <v/>
      </c>
      <c r="Q64" s="24">
        <f>IFERROR(IF($F$8="","",IF($K$5+ROW()-26&gt;$K$6,"",IF(INDEX('Raw Pressure Data'!$A:$ZZ,$K$5+ROW()-26+$H$8,MATCH($F$8,'Raw Pressure Data'!$1:$1,0))=-999,"",INDEX('Raw Pressure Data'!$A:$ZZ,$K$5+ROW()-26+$H$8,MATCH($F$8,'Raw Pressure Data'!$1:$1,0))+$G$8))),"")</f>
        <v/>
      </c>
      <c r="R64" s="24">
        <f>IFERROR(IF($F$9="","",IF($K$5+ROW()-26&gt;$K$6,"",IF(INDEX('Raw Pressure Data'!$A:$ZZ,$K$5+ROW()-26+$H$9,MATCH($F$9,'Raw Pressure Data'!$1:$1,0))=-999,"",INDEX('Raw Pressure Data'!$A:$ZZ,$K$5+ROW()-26+$H$9,MATCH($F$9,'Raw Pressure Data'!$1:$1,0))+$G$9))),"")</f>
        <v/>
      </c>
      <c r="S64" s="24">
        <f>IFERROR(IF($F$10="","",IF($K$5+ROW()-26&gt;$K$6,"",IF(INDEX('Raw Pressure Data'!$A:$ZZ,$K$5+ROW()-26+$H$10,MATCH($F$10,'Raw Pressure Data'!$1:$1,0))=-999,"",INDEX('Raw Pressure Data'!$A:$ZZ,$K$5+ROW()-26+$H$10,MATCH($F$10,'Raw Pressure Data'!$1:$1,0))+$G$10))),"")</f>
        <v/>
      </c>
      <c r="T64" s="24">
        <f>IFERROR(IF($F$11="","",IF($K$5+ROW()-26&gt;$K$6,"",IF(INDEX('Raw Pressure Data'!$A:$ZZ,$K$5+ROW()-26+$H$11,MATCH($F$11,'Raw Pressure Data'!$1:$1,0))=-999,"",INDEX('Raw Pressure Data'!$A:$ZZ,$K$5+ROW()-26+$H$11,MATCH($F$11,'Raw Pressure Data'!$1:$1,0))+$G$11))),"")</f>
        <v/>
      </c>
      <c r="U64" s="24">
        <f>IFERROR(IF($F$12="","",IF($K$5+ROW()-26&gt;$K$6,"",IF(INDEX('Raw Pressure Data'!$A:$ZZ,$K$5+ROW()-26+$H$12,MATCH($F$12,'Raw Pressure Data'!$1:$1,0))=-999,"",INDEX('Raw Pressure Data'!$A:$ZZ,$K$5+ROW()-26+$H$12,MATCH($F$12,'Raw Pressure Data'!$1:$1,0))+$G$12))),"")</f>
        <v/>
      </c>
      <c r="V64" s="24">
        <f>IFERROR(IF($F$13="","",IF($K$5+ROW()-26&gt;$K$6,"",IF(INDEX('Raw Pressure Data'!$A:$ZZ,$K$5+ROW()-26+$H$13,MATCH($F$13,'Raw Pressure Data'!$1:$1,0))=-999,"",INDEX('Raw Pressure Data'!$A:$ZZ,$K$5+ROW()-26+$H$13,MATCH($F$13,'Raw Pressure Data'!$1:$1,0))+$G$13))),"")</f>
        <v/>
      </c>
      <c r="W64" s="24">
        <f>IFERROR(IF($F$14="","",IF($K$5+ROW()-26&gt;$K$6,"",IF(INDEX('Raw Pressure Data'!$A:$ZZ,$K$5+ROW()-26+$H$14,MATCH($F$14,'Raw Pressure Data'!$1:$1,0))=-999,"",INDEX('Raw Pressure Data'!$A:$ZZ,$K$5+ROW()-26+$H$14,MATCH($F$14,'Raw Pressure Data'!$1:$1,0))+$G$14))),"")</f>
        <v/>
      </c>
      <c r="X64" s="24">
        <f>IFERROR(IF($F$15="","",IF($K$5+ROW()-26&gt;$K$6,"",IF(INDEX('Raw Pressure Data'!$A:$ZZ,$K$5+ROW()-26+$H$15,MATCH($F$15,'Raw Pressure Data'!$1:$1,0))=-999,"",INDEX('Raw Pressure Data'!$A:$ZZ,$K$5+ROW()-26+$H$15,MATCH($F$15,'Raw Pressure Data'!$1:$1,0))+$G$15))),"")</f>
        <v/>
      </c>
      <c r="Y64" s="24">
        <f>IFERROR(IF($F$16="","",IF($K$5+ROW()-26&gt;$K$6,"",IF(INDEX('Raw Pressure Data'!$A:$ZZ,$K$5+ROW()-26+$H$16,MATCH($F$16,'Raw Pressure Data'!$1:$1,0))=-999,"",INDEX('Raw Pressure Data'!$A:$ZZ,$K$5+ROW()-26+$H$16,MATCH($F$16,'Raw Pressure Data'!$1:$1,0))+$G$16))),"")</f>
        <v/>
      </c>
      <c r="Z64" s="24">
        <f>IFERROR(IF($F$17="","",IF($K$5+ROW()-26&gt;$K$6,"",IF(INDEX('Raw Pressure Data'!$A:$ZZ,$K$5+ROW()-26+$H$17,MATCH($F$17,'Raw Pressure Data'!$1:$1,0))=-999,"",INDEX('Raw Pressure Data'!$A:$ZZ,$K$5+ROW()-26+$H$17,MATCH($F$17,'Raw Pressure Data'!$1:$1,0))+$G$17))),"")</f>
        <v/>
      </c>
      <c r="AA64" s="24">
        <f>IFERROR(IF($F$18="","",IF($K$5+ROW()-26&gt;$K$6,"",IF(INDEX('Raw Pressure Data'!$A:$ZZ,$K$5+ROW()-26+$H$18,MATCH($F$18,'Raw Pressure Data'!$1:$1,0))=-999,"",INDEX('Raw Pressure Data'!$A:$ZZ,$K$5+ROW()-26+$H$18,MATCH($F$18,'Raw Pressure Data'!$1:$1,0))+$G$18))),"")</f>
        <v/>
      </c>
      <c r="AB64" s="24">
        <f>IFERROR(IF($F$19="","",IF($K$5+ROW()-26&gt;$K$6,"",IF(INDEX('Raw Pressure Data'!$A:$ZZ,$K$5+ROW()-26+$H$19,MATCH($F$19,'Raw Pressure Data'!$1:$1,0))=-999,"",INDEX('Raw Pressure Data'!$A:$ZZ,$K$5+ROW()-26+$H$19,MATCH($F$19,'Raw Pressure Data'!$1:$1,0))+$G$19))),"")</f>
        <v/>
      </c>
      <c r="AC64" s="24">
        <f>IFERROR(IF($F$20="","",IF($K$5+ROW()-26&gt;$K$6,"",IF(INDEX('Raw Pressure Data'!$A:$ZZ,$K$5+ROW()-26+$H$20,MATCH($F$20,'Raw Pressure Data'!$1:$1,0))=-999,"",INDEX('Raw Pressure Data'!$A:$ZZ,$K$5+ROW()-26+$H$20,MATCH($F$20,'Raw Pressure Data'!$1:$1,0))+$G$20))),"")</f>
        <v/>
      </c>
      <c r="AD64" s="24">
        <f>IFERROR(IF($F$21="","",IF($K$5+ROW()-26&gt;$K$6,"",IF(INDEX('Raw Pressure Data'!$A:$ZZ,$K$5+ROW()-26+$H$21,MATCH($F$21,'Raw Pressure Data'!$1:$1,0))=-999,"",INDEX('Raw Pressure Data'!$A:$ZZ,$K$5+ROW()-26+$H$21,MATCH($F$21,'Raw Pressure Data'!$1:$1,0))+$G$21))),"")</f>
        <v/>
      </c>
      <c r="AE64" s="24">
        <f>IFERROR(IF($F$22="","",IF($K$5+ROW()-26&gt;$K$6,"",IF(INDEX('Raw Pressure Data'!$A:$ZZ,$K$5+ROW()-26+$H$22,MATCH($F$22,'Raw Pressure Data'!$1:$1,0))=-999,"",INDEX('Raw Pressure Data'!$A:$ZZ,$K$5+ROW()-26+$H$22,MATCH($F$22,'Raw Pressure Data'!$1:$1,0))+$G$22))),"")</f>
        <v/>
      </c>
    </row>
    <row r="65" ht="15" customHeight="1">
      <c r="A65" s="25">
        <f>IFERROR(IF($K$5+ROW()-26&gt;$K$6,"",IF(INDEX('Raw Flow Data'!$A:$A,$K$5+ROW()-26)="","",INDEX('Raw Flow Data'!$A:$A,$K$5+ROW()-26))),"")</f>
        <v/>
      </c>
      <c r="B65" s="26">
        <f>IFERROR(IF($B$3="","",IF($K$5+ROW()-26&gt;$K$6,"",IF(INDEX('Raw Flow Data'!$A:$ZZ,$K$5+ROW()-26+$D$3,MATCH($B$3,'Raw Flow Data'!$1:$1,0))=-999,"",INDEX('Raw Flow Data'!$A:$ZZ,$K$5+ROW()-26+$D$3,MATCH($B$3,'Raw Flow Data'!$1:$1,0))*$C$3))),"")</f>
        <v/>
      </c>
      <c r="C65" s="26">
        <f>IFERROR(IF($B$4="","",IF($K$5+ROW()-26&gt;$K$6,"",IF(INDEX('Raw Flow Data'!$A:$ZZ,$K$5+ROW()-26+$D$4,MATCH($B$4,'Raw Flow Data'!$1:$1,0))=-999,"",INDEX('Raw Flow Data'!$A:$ZZ,$K$5+ROW()-26+$D$4,MATCH($B$4,'Raw Flow Data'!$1:$1,0))*$C$4))),"")</f>
        <v/>
      </c>
      <c r="D65" s="26">
        <f>IFERROR(IF($B$5="","",IF($K$5+ROW()-26&gt;$K$6,"",IF(INDEX('Raw Flow Data'!$A:$ZZ,$K$5+ROW()-26+$D$5,MATCH($B$5,'Raw Flow Data'!$1:$1,0))=-999,"",INDEX('Raw Flow Data'!$A:$ZZ,$K$5+ROW()-26+$D$5,MATCH($B$5,'Raw Flow Data'!$1:$1,0))*$C$5))),"")</f>
        <v/>
      </c>
      <c r="E65" s="26">
        <f>IFERROR(IF($B$6="","",IF($K$5+ROW()-26&gt;$K$6,"",IF(INDEX('Raw Flow Data'!$A:$ZZ,$K$5+ROW()-26+$D$6,MATCH($B$6,'Raw Flow Data'!$1:$1,0))=-999,"",INDEX('Raw Flow Data'!$A:$ZZ,$K$5+ROW()-26+$D$6,MATCH($B$6,'Raw Flow Data'!$1:$1,0))*$C$6))),"")</f>
        <v/>
      </c>
      <c r="F65" s="26">
        <f>IFERROR(IF($B$7="","",IF($K$5+ROW()-26&gt;$K$6,"",IF(INDEX('Raw Flow Data'!$A:$ZZ,$K$5+ROW()-26+$D$7,MATCH($B$7,'Raw Flow Data'!$1:$1,0))=-999,"",INDEX('Raw Flow Data'!$A:$ZZ,$K$5+ROW()-26+$D$7,MATCH($B$7,'Raw Flow Data'!$1:$1,0))*$C$7))),"")</f>
        <v/>
      </c>
      <c r="G65" s="26">
        <f>IFERROR(IF($B$8="","",IF($K$5+ROW()-26&gt;$K$6,"",IF(INDEX('Raw Flow Data'!$A:$ZZ,$K$5+ROW()-26+$D$8,MATCH($B$8,'Raw Flow Data'!$1:$1,0))=-999,"",INDEX('Raw Flow Data'!$A:$ZZ,$K$5+ROW()-26+$D$8,MATCH($B$8,'Raw Flow Data'!$1:$1,0))*$C$8))),"")</f>
        <v/>
      </c>
      <c r="H65" s="26">
        <f>IFERROR(IF($B$9="","",IF($K$5+ROW()-26&gt;$K$6,"",IF(INDEX('Raw Flow Data'!$A:$ZZ,$K$5+ROW()-26+$D$9,MATCH($B$9,'Raw Flow Data'!$1:$1,0))=-999,"",INDEX('Raw Flow Data'!$A:$ZZ,$K$5+ROW()-26+$D$9,MATCH($B$9,'Raw Flow Data'!$1:$1,0))*$C$9))),"")</f>
        <v/>
      </c>
      <c r="I65" s="26">
        <f>IFERROR(IF($B$10="","",IF($K$5+ROW()-26&gt;$K$6,"",IF(INDEX('Raw Flow Data'!$A:$ZZ,$K$5+ROW()-26+$D$10,MATCH($B$10,'Raw Flow Data'!$1:$1,0))=-999,"",INDEX('Raw Flow Data'!$A:$ZZ,$K$5+ROW()-26+$D$10,MATCH($B$10,'Raw Flow Data'!$1:$1,0))*$C$10))),"")</f>
        <v/>
      </c>
      <c r="J65" s="26">
        <f>IFERROR(IF($B$11="","",IF($K$5+ROW()-26&gt;$K$6,"",IF(INDEX('Raw Flow Data'!$A:$ZZ,$K$5+ROW()-26+$D$11,MATCH($B$11,'Raw Flow Data'!$1:$1,0))=-999,"",INDEX('Raw Flow Data'!$A:$ZZ,$K$5+ROW()-26+$D$11,MATCH($B$11,'Raw Flow Data'!$1:$1,0))*$C$11))),"")</f>
        <v/>
      </c>
      <c r="K65" s="26">
        <f>IFERROR(IF($B$12="","",IF($K$5+ROW()-26&gt;$K$6,"",IF(INDEX('Raw Flow Data'!$A:$ZZ,$K$5+ROW()-26+$D$12,MATCH($B$12,'Raw Flow Data'!$1:$1,0))=-999,"",INDEX('Raw Flow Data'!$A:$ZZ,$K$5+ROW()-26+$D$12,MATCH($B$12,'Raw Flow Data'!$1:$1,0))*$C$12))),"")</f>
        <v/>
      </c>
      <c r="L65" s="26">
        <f>IFERROR(IF($F$3="","",IF($K$5+ROW()-26&gt;$K$6,"",IF(INDEX('Raw Pressure Data'!$A:$ZZ,$K$5+ROW()-26+$H$3,MATCH($F$3,'Raw Pressure Data'!$1:$1,0))=-999,"",INDEX('Raw Pressure Data'!$A:$ZZ,$K$5+ROW()-26+$H$3,MATCH($F$3,'Raw Pressure Data'!$1:$1,0))+$G$3))),"")</f>
        <v/>
      </c>
      <c r="M65" s="26">
        <f>IFERROR(IF($F$4="","",IF($K$5+ROW()-26&gt;$K$6,"",IF(INDEX('Raw Pressure Data'!$A:$ZZ,$K$5+ROW()-26+$H$4,MATCH($F$4,'Raw Pressure Data'!$1:$1,0))=-999,"",INDEX('Raw Pressure Data'!$A:$ZZ,$K$5+ROW()-26+$H$4,MATCH($F$4,'Raw Pressure Data'!$1:$1,0))+$G$4))),"")</f>
        <v/>
      </c>
      <c r="N65" s="26">
        <f>IFERROR(IF($F$5="","",IF($K$5+ROW()-26&gt;$K$6,"",IF(INDEX('Raw Pressure Data'!$A:$ZZ,$K$5+ROW()-26+$H$5,MATCH($F$5,'Raw Pressure Data'!$1:$1,0))=-999,"",INDEX('Raw Pressure Data'!$A:$ZZ,$K$5+ROW()-26+$H$5,MATCH($F$5,'Raw Pressure Data'!$1:$1,0))+$G$5))),"")</f>
        <v/>
      </c>
      <c r="O65" s="26">
        <f>IFERROR(IF($F$6="","",IF($K$5+ROW()-26&gt;$K$6,"",IF(INDEX('Raw Pressure Data'!$A:$ZZ,$K$5+ROW()-26+$H$6,MATCH($F$6,'Raw Pressure Data'!$1:$1,0))=-999,"",INDEX('Raw Pressure Data'!$A:$ZZ,$K$5+ROW()-26+$H$6,MATCH($F$6,'Raw Pressure Data'!$1:$1,0))+$G$6))),"")</f>
        <v/>
      </c>
      <c r="P65" s="26">
        <f>IFERROR(IF($F$7="","",IF($K$5+ROW()-26&gt;$K$6,"",IF(INDEX('Raw Pressure Data'!$A:$ZZ,$K$5+ROW()-26+$H$7,MATCH($F$7,'Raw Pressure Data'!$1:$1,0))=-999,"",INDEX('Raw Pressure Data'!$A:$ZZ,$K$5+ROW()-26+$H$7,MATCH($F$7,'Raw Pressure Data'!$1:$1,0))+$G$7))),"")</f>
        <v/>
      </c>
      <c r="Q65" s="26">
        <f>IFERROR(IF($F$8="","",IF($K$5+ROW()-26&gt;$K$6,"",IF(INDEX('Raw Pressure Data'!$A:$ZZ,$K$5+ROW()-26+$H$8,MATCH($F$8,'Raw Pressure Data'!$1:$1,0))=-999,"",INDEX('Raw Pressure Data'!$A:$ZZ,$K$5+ROW()-26+$H$8,MATCH($F$8,'Raw Pressure Data'!$1:$1,0))+$G$8))),"")</f>
        <v/>
      </c>
      <c r="R65" s="26">
        <f>IFERROR(IF($F$9="","",IF($K$5+ROW()-26&gt;$K$6,"",IF(INDEX('Raw Pressure Data'!$A:$ZZ,$K$5+ROW()-26+$H$9,MATCH($F$9,'Raw Pressure Data'!$1:$1,0))=-999,"",INDEX('Raw Pressure Data'!$A:$ZZ,$K$5+ROW()-26+$H$9,MATCH($F$9,'Raw Pressure Data'!$1:$1,0))+$G$9))),"")</f>
        <v/>
      </c>
      <c r="S65" s="26">
        <f>IFERROR(IF($F$10="","",IF($K$5+ROW()-26&gt;$K$6,"",IF(INDEX('Raw Pressure Data'!$A:$ZZ,$K$5+ROW()-26+$H$10,MATCH($F$10,'Raw Pressure Data'!$1:$1,0))=-999,"",INDEX('Raw Pressure Data'!$A:$ZZ,$K$5+ROW()-26+$H$10,MATCH($F$10,'Raw Pressure Data'!$1:$1,0))+$G$10))),"")</f>
        <v/>
      </c>
      <c r="T65" s="26">
        <f>IFERROR(IF($F$11="","",IF($K$5+ROW()-26&gt;$K$6,"",IF(INDEX('Raw Pressure Data'!$A:$ZZ,$K$5+ROW()-26+$H$11,MATCH($F$11,'Raw Pressure Data'!$1:$1,0))=-999,"",INDEX('Raw Pressure Data'!$A:$ZZ,$K$5+ROW()-26+$H$11,MATCH($F$11,'Raw Pressure Data'!$1:$1,0))+$G$11))),"")</f>
        <v/>
      </c>
      <c r="U65" s="26">
        <f>IFERROR(IF($F$12="","",IF($K$5+ROW()-26&gt;$K$6,"",IF(INDEX('Raw Pressure Data'!$A:$ZZ,$K$5+ROW()-26+$H$12,MATCH($F$12,'Raw Pressure Data'!$1:$1,0))=-999,"",INDEX('Raw Pressure Data'!$A:$ZZ,$K$5+ROW()-26+$H$12,MATCH($F$12,'Raw Pressure Data'!$1:$1,0))+$G$12))),"")</f>
        <v/>
      </c>
      <c r="V65" s="26">
        <f>IFERROR(IF($F$13="","",IF($K$5+ROW()-26&gt;$K$6,"",IF(INDEX('Raw Pressure Data'!$A:$ZZ,$K$5+ROW()-26+$H$13,MATCH($F$13,'Raw Pressure Data'!$1:$1,0))=-999,"",INDEX('Raw Pressure Data'!$A:$ZZ,$K$5+ROW()-26+$H$13,MATCH($F$13,'Raw Pressure Data'!$1:$1,0))+$G$13))),"")</f>
        <v/>
      </c>
      <c r="W65" s="26">
        <f>IFERROR(IF($F$14="","",IF($K$5+ROW()-26&gt;$K$6,"",IF(INDEX('Raw Pressure Data'!$A:$ZZ,$K$5+ROW()-26+$H$14,MATCH($F$14,'Raw Pressure Data'!$1:$1,0))=-999,"",INDEX('Raw Pressure Data'!$A:$ZZ,$K$5+ROW()-26+$H$14,MATCH($F$14,'Raw Pressure Data'!$1:$1,0))+$G$14))),"")</f>
        <v/>
      </c>
      <c r="X65" s="26">
        <f>IFERROR(IF($F$15="","",IF($K$5+ROW()-26&gt;$K$6,"",IF(INDEX('Raw Pressure Data'!$A:$ZZ,$K$5+ROW()-26+$H$15,MATCH($F$15,'Raw Pressure Data'!$1:$1,0))=-999,"",INDEX('Raw Pressure Data'!$A:$ZZ,$K$5+ROW()-26+$H$15,MATCH($F$15,'Raw Pressure Data'!$1:$1,0))+$G$15))),"")</f>
        <v/>
      </c>
      <c r="Y65" s="26">
        <f>IFERROR(IF($F$16="","",IF($K$5+ROW()-26&gt;$K$6,"",IF(INDEX('Raw Pressure Data'!$A:$ZZ,$K$5+ROW()-26+$H$16,MATCH($F$16,'Raw Pressure Data'!$1:$1,0))=-999,"",INDEX('Raw Pressure Data'!$A:$ZZ,$K$5+ROW()-26+$H$16,MATCH($F$16,'Raw Pressure Data'!$1:$1,0))+$G$16))),"")</f>
        <v/>
      </c>
      <c r="Z65" s="26">
        <f>IFERROR(IF($F$17="","",IF($K$5+ROW()-26&gt;$K$6,"",IF(INDEX('Raw Pressure Data'!$A:$ZZ,$K$5+ROW()-26+$H$17,MATCH($F$17,'Raw Pressure Data'!$1:$1,0))=-999,"",INDEX('Raw Pressure Data'!$A:$ZZ,$K$5+ROW()-26+$H$17,MATCH($F$17,'Raw Pressure Data'!$1:$1,0))+$G$17))),"")</f>
        <v/>
      </c>
      <c r="AA65" s="26">
        <f>IFERROR(IF($F$18="","",IF($K$5+ROW()-26&gt;$K$6,"",IF(INDEX('Raw Pressure Data'!$A:$ZZ,$K$5+ROW()-26+$H$18,MATCH($F$18,'Raw Pressure Data'!$1:$1,0))=-999,"",INDEX('Raw Pressure Data'!$A:$ZZ,$K$5+ROW()-26+$H$18,MATCH($F$18,'Raw Pressure Data'!$1:$1,0))+$G$18))),"")</f>
        <v/>
      </c>
      <c r="AB65" s="26">
        <f>IFERROR(IF($F$19="","",IF($K$5+ROW()-26&gt;$K$6,"",IF(INDEX('Raw Pressure Data'!$A:$ZZ,$K$5+ROW()-26+$H$19,MATCH($F$19,'Raw Pressure Data'!$1:$1,0))=-999,"",INDEX('Raw Pressure Data'!$A:$ZZ,$K$5+ROW()-26+$H$19,MATCH($F$19,'Raw Pressure Data'!$1:$1,0))+$G$19))),"")</f>
        <v/>
      </c>
      <c r="AC65" s="26">
        <f>IFERROR(IF($F$20="","",IF($K$5+ROW()-26&gt;$K$6,"",IF(INDEX('Raw Pressure Data'!$A:$ZZ,$K$5+ROW()-26+$H$20,MATCH($F$20,'Raw Pressure Data'!$1:$1,0))=-999,"",INDEX('Raw Pressure Data'!$A:$ZZ,$K$5+ROW()-26+$H$20,MATCH($F$20,'Raw Pressure Data'!$1:$1,0))+$G$20))),"")</f>
        <v/>
      </c>
      <c r="AD65" s="26">
        <f>IFERROR(IF($F$21="","",IF($K$5+ROW()-26&gt;$K$6,"",IF(INDEX('Raw Pressure Data'!$A:$ZZ,$K$5+ROW()-26+$H$21,MATCH($F$21,'Raw Pressure Data'!$1:$1,0))=-999,"",INDEX('Raw Pressure Data'!$A:$ZZ,$K$5+ROW()-26+$H$21,MATCH($F$21,'Raw Pressure Data'!$1:$1,0))+$G$21))),"")</f>
        <v/>
      </c>
      <c r="AE65" s="26">
        <f>IFERROR(IF($F$22="","",IF($K$5+ROW()-26&gt;$K$6,"",IF(INDEX('Raw Pressure Data'!$A:$ZZ,$K$5+ROW()-26+$H$22,MATCH($F$22,'Raw Pressure Data'!$1:$1,0))=-999,"",INDEX('Raw Pressure Data'!$A:$ZZ,$K$5+ROW()-26+$H$22,MATCH($F$22,'Raw Pressure Data'!$1:$1,0))+$G$22))),"")</f>
        <v/>
      </c>
    </row>
    <row r="66" ht="15" customHeight="1">
      <c r="A66" s="23">
        <f>IFERROR(IF($K$5+ROW()-26&gt;$K$6,"",IF(INDEX('Raw Flow Data'!$A:$A,$K$5+ROW()-26)="","",INDEX('Raw Flow Data'!$A:$A,$K$5+ROW()-26))),"")</f>
        <v/>
      </c>
      <c r="B66" s="24">
        <f>IFERROR(IF($B$3="","",IF($K$5+ROW()-26&gt;$K$6,"",IF(INDEX('Raw Flow Data'!$A:$ZZ,$K$5+ROW()-26+$D$3,MATCH($B$3,'Raw Flow Data'!$1:$1,0))=-999,"",INDEX('Raw Flow Data'!$A:$ZZ,$K$5+ROW()-26+$D$3,MATCH($B$3,'Raw Flow Data'!$1:$1,0))*$C$3))),"")</f>
        <v/>
      </c>
      <c r="C66" s="24">
        <f>IFERROR(IF($B$4="","",IF($K$5+ROW()-26&gt;$K$6,"",IF(INDEX('Raw Flow Data'!$A:$ZZ,$K$5+ROW()-26+$D$4,MATCH($B$4,'Raw Flow Data'!$1:$1,0))=-999,"",INDEX('Raw Flow Data'!$A:$ZZ,$K$5+ROW()-26+$D$4,MATCH($B$4,'Raw Flow Data'!$1:$1,0))*$C$4))),"")</f>
        <v/>
      </c>
      <c r="D66" s="24">
        <f>IFERROR(IF($B$5="","",IF($K$5+ROW()-26&gt;$K$6,"",IF(INDEX('Raw Flow Data'!$A:$ZZ,$K$5+ROW()-26+$D$5,MATCH($B$5,'Raw Flow Data'!$1:$1,0))=-999,"",INDEX('Raw Flow Data'!$A:$ZZ,$K$5+ROW()-26+$D$5,MATCH($B$5,'Raw Flow Data'!$1:$1,0))*$C$5))),"")</f>
        <v/>
      </c>
      <c r="E66" s="24">
        <f>IFERROR(IF($B$6="","",IF($K$5+ROW()-26&gt;$K$6,"",IF(INDEX('Raw Flow Data'!$A:$ZZ,$K$5+ROW()-26+$D$6,MATCH($B$6,'Raw Flow Data'!$1:$1,0))=-999,"",INDEX('Raw Flow Data'!$A:$ZZ,$K$5+ROW()-26+$D$6,MATCH($B$6,'Raw Flow Data'!$1:$1,0))*$C$6))),"")</f>
        <v/>
      </c>
      <c r="F66" s="24">
        <f>IFERROR(IF($B$7="","",IF($K$5+ROW()-26&gt;$K$6,"",IF(INDEX('Raw Flow Data'!$A:$ZZ,$K$5+ROW()-26+$D$7,MATCH($B$7,'Raw Flow Data'!$1:$1,0))=-999,"",INDEX('Raw Flow Data'!$A:$ZZ,$K$5+ROW()-26+$D$7,MATCH($B$7,'Raw Flow Data'!$1:$1,0))*$C$7))),"")</f>
        <v/>
      </c>
      <c r="G66" s="24">
        <f>IFERROR(IF($B$8="","",IF($K$5+ROW()-26&gt;$K$6,"",IF(INDEX('Raw Flow Data'!$A:$ZZ,$K$5+ROW()-26+$D$8,MATCH($B$8,'Raw Flow Data'!$1:$1,0))=-999,"",INDEX('Raw Flow Data'!$A:$ZZ,$K$5+ROW()-26+$D$8,MATCH($B$8,'Raw Flow Data'!$1:$1,0))*$C$8))),"")</f>
        <v/>
      </c>
      <c r="H66" s="24">
        <f>IFERROR(IF($B$9="","",IF($K$5+ROW()-26&gt;$K$6,"",IF(INDEX('Raw Flow Data'!$A:$ZZ,$K$5+ROW()-26+$D$9,MATCH($B$9,'Raw Flow Data'!$1:$1,0))=-999,"",INDEX('Raw Flow Data'!$A:$ZZ,$K$5+ROW()-26+$D$9,MATCH($B$9,'Raw Flow Data'!$1:$1,0))*$C$9))),"")</f>
        <v/>
      </c>
      <c r="I66" s="24">
        <f>IFERROR(IF($B$10="","",IF($K$5+ROW()-26&gt;$K$6,"",IF(INDEX('Raw Flow Data'!$A:$ZZ,$K$5+ROW()-26+$D$10,MATCH($B$10,'Raw Flow Data'!$1:$1,0))=-999,"",INDEX('Raw Flow Data'!$A:$ZZ,$K$5+ROW()-26+$D$10,MATCH($B$10,'Raw Flow Data'!$1:$1,0))*$C$10))),"")</f>
        <v/>
      </c>
      <c r="J66" s="24">
        <f>IFERROR(IF($B$11="","",IF($K$5+ROW()-26&gt;$K$6,"",IF(INDEX('Raw Flow Data'!$A:$ZZ,$K$5+ROW()-26+$D$11,MATCH($B$11,'Raw Flow Data'!$1:$1,0))=-999,"",INDEX('Raw Flow Data'!$A:$ZZ,$K$5+ROW()-26+$D$11,MATCH($B$11,'Raw Flow Data'!$1:$1,0))*$C$11))),"")</f>
        <v/>
      </c>
      <c r="K66" s="24">
        <f>IFERROR(IF($B$12="","",IF($K$5+ROW()-26&gt;$K$6,"",IF(INDEX('Raw Flow Data'!$A:$ZZ,$K$5+ROW()-26+$D$12,MATCH($B$12,'Raw Flow Data'!$1:$1,0))=-999,"",INDEX('Raw Flow Data'!$A:$ZZ,$K$5+ROW()-26+$D$12,MATCH($B$12,'Raw Flow Data'!$1:$1,0))*$C$12))),"")</f>
        <v/>
      </c>
      <c r="L66" s="24">
        <f>IFERROR(IF($F$3="","",IF($K$5+ROW()-26&gt;$K$6,"",IF(INDEX('Raw Pressure Data'!$A:$ZZ,$K$5+ROW()-26+$H$3,MATCH($F$3,'Raw Pressure Data'!$1:$1,0))=-999,"",INDEX('Raw Pressure Data'!$A:$ZZ,$K$5+ROW()-26+$H$3,MATCH($F$3,'Raw Pressure Data'!$1:$1,0))+$G$3))),"")</f>
        <v/>
      </c>
      <c r="M66" s="24">
        <f>IFERROR(IF($F$4="","",IF($K$5+ROW()-26&gt;$K$6,"",IF(INDEX('Raw Pressure Data'!$A:$ZZ,$K$5+ROW()-26+$H$4,MATCH($F$4,'Raw Pressure Data'!$1:$1,0))=-999,"",INDEX('Raw Pressure Data'!$A:$ZZ,$K$5+ROW()-26+$H$4,MATCH($F$4,'Raw Pressure Data'!$1:$1,0))+$G$4))),"")</f>
        <v/>
      </c>
      <c r="N66" s="24">
        <f>IFERROR(IF($F$5="","",IF($K$5+ROW()-26&gt;$K$6,"",IF(INDEX('Raw Pressure Data'!$A:$ZZ,$K$5+ROW()-26+$H$5,MATCH($F$5,'Raw Pressure Data'!$1:$1,0))=-999,"",INDEX('Raw Pressure Data'!$A:$ZZ,$K$5+ROW()-26+$H$5,MATCH($F$5,'Raw Pressure Data'!$1:$1,0))+$G$5))),"")</f>
        <v/>
      </c>
      <c r="O66" s="24">
        <f>IFERROR(IF($F$6="","",IF($K$5+ROW()-26&gt;$K$6,"",IF(INDEX('Raw Pressure Data'!$A:$ZZ,$K$5+ROW()-26+$H$6,MATCH($F$6,'Raw Pressure Data'!$1:$1,0))=-999,"",INDEX('Raw Pressure Data'!$A:$ZZ,$K$5+ROW()-26+$H$6,MATCH($F$6,'Raw Pressure Data'!$1:$1,0))+$G$6))),"")</f>
        <v/>
      </c>
      <c r="P66" s="24">
        <f>IFERROR(IF($F$7="","",IF($K$5+ROW()-26&gt;$K$6,"",IF(INDEX('Raw Pressure Data'!$A:$ZZ,$K$5+ROW()-26+$H$7,MATCH($F$7,'Raw Pressure Data'!$1:$1,0))=-999,"",INDEX('Raw Pressure Data'!$A:$ZZ,$K$5+ROW()-26+$H$7,MATCH($F$7,'Raw Pressure Data'!$1:$1,0))+$G$7))),"")</f>
        <v/>
      </c>
      <c r="Q66" s="24">
        <f>IFERROR(IF($F$8="","",IF($K$5+ROW()-26&gt;$K$6,"",IF(INDEX('Raw Pressure Data'!$A:$ZZ,$K$5+ROW()-26+$H$8,MATCH($F$8,'Raw Pressure Data'!$1:$1,0))=-999,"",INDEX('Raw Pressure Data'!$A:$ZZ,$K$5+ROW()-26+$H$8,MATCH($F$8,'Raw Pressure Data'!$1:$1,0))+$G$8))),"")</f>
        <v/>
      </c>
      <c r="R66" s="24">
        <f>IFERROR(IF($F$9="","",IF($K$5+ROW()-26&gt;$K$6,"",IF(INDEX('Raw Pressure Data'!$A:$ZZ,$K$5+ROW()-26+$H$9,MATCH($F$9,'Raw Pressure Data'!$1:$1,0))=-999,"",INDEX('Raw Pressure Data'!$A:$ZZ,$K$5+ROW()-26+$H$9,MATCH($F$9,'Raw Pressure Data'!$1:$1,0))+$G$9))),"")</f>
        <v/>
      </c>
      <c r="S66" s="24">
        <f>IFERROR(IF($F$10="","",IF($K$5+ROW()-26&gt;$K$6,"",IF(INDEX('Raw Pressure Data'!$A:$ZZ,$K$5+ROW()-26+$H$10,MATCH($F$10,'Raw Pressure Data'!$1:$1,0))=-999,"",INDEX('Raw Pressure Data'!$A:$ZZ,$K$5+ROW()-26+$H$10,MATCH($F$10,'Raw Pressure Data'!$1:$1,0))+$G$10))),"")</f>
        <v/>
      </c>
      <c r="T66" s="24">
        <f>IFERROR(IF($F$11="","",IF($K$5+ROW()-26&gt;$K$6,"",IF(INDEX('Raw Pressure Data'!$A:$ZZ,$K$5+ROW()-26+$H$11,MATCH($F$11,'Raw Pressure Data'!$1:$1,0))=-999,"",INDEX('Raw Pressure Data'!$A:$ZZ,$K$5+ROW()-26+$H$11,MATCH($F$11,'Raw Pressure Data'!$1:$1,0))+$G$11))),"")</f>
        <v/>
      </c>
      <c r="U66" s="24">
        <f>IFERROR(IF($F$12="","",IF($K$5+ROW()-26&gt;$K$6,"",IF(INDEX('Raw Pressure Data'!$A:$ZZ,$K$5+ROW()-26+$H$12,MATCH($F$12,'Raw Pressure Data'!$1:$1,0))=-999,"",INDEX('Raw Pressure Data'!$A:$ZZ,$K$5+ROW()-26+$H$12,MATCH($F$12,'Raw Pressure Data'!$1:$1,0))+$G$12))),"")</f>
        <v/>
      </c>
      <c r="V66" s="24">
        <f>IFERROR(IF($F$13="","",IF($K$5+ROW()-26&gt;$K$6,"",IF(INDEX('Raw Pressure Data'!$A:$ZZ,$K$5+ROW()-26+$H$13,MATCH($F$13,'Raw Pressure Data'!$1:$1,0))=-999,"",INDEX('Raw Pressure Data'!$A:$ZZ,$K$5+ROW()-26+$H$13,MATCH($F$13,'Raw Pressure Data'!$1:$1,0))+$G$13))),"")</f>
        <v/>
      </c>
      <c r="W66" s="24">
        <f>IFERROR(IF($F$14="","",IF($K$5+ROW()-26&gt;$K$6,"",IF(INDEX('Raw Pressure Data'!$A:$ZZ,$K$5+ROW()-26+$H$14,MATCH($F$14,'Raw Pressure Data'!$1:$1,0))=-999,"",INDEX('Raw Pressure Data'!$A:$ZZ,$K$5+ROW()-26+$H$14,MATCH($F$14,'Raw Pressure Data'!$1:$1,0))+$G$14))),"")</f>
        <v/>
      </c>
      <c r="X66" s="24">
        <f>IFERROR(IF($F$15="","",IF($K$5+ROW()-26&gt;$K$6,"",IF(INDEX('Raw Pressure Data'!$A:$ZZ,$K$5+ROW()-26+$H$15,MATCH($F$15,'Raw Pressure Data'!$1:$1,0))=-999,"",INDEX('Raw Pressure Data'!$A:$ZZ,$K$5+ROW()-26+$H$15,MATCH($F$15,'Raw Pressure Data'!$1:$1,0))+$G$15))),"")</f>
        <v/>
      </c>
      <c r="Y66" s="24">
        <f>IFERROR(IF($F$16="","",IF($K$5+ROW()-26&gt;$K$6,"",IF(INDEX('Raw Pressure Data'!$A:$ZZ,$K$5+ROW()-26+$H$16,MATCH($F$16,'Raw Pressure Data'!$1:$1,0))=-999,"",INDEX('Raw Pressure Data'!$A:$ZZ,$K$5+ROW()-26+$H$16,MATCH($F$16,'Raw Pressure Data'!$1:$1,0))+$G$16))),"")</f>
        <v/>
      </c>
      <c r="Z66" s="24">
        <f>IFERROR(IF($F$17="","",IF($K$5+ROW()-26&gt;$K$6,"",IF(INDEX('Raw Pressure Data'!$A:$ZZ,$K$5+ROW()-26+$H$17,MATCH($F$17,'Raw Pressure Data'!$1:$1,0))=-999,"",INDEX('Raw Pressure Data'!$A:$ZZ,$K$5+ROW()-26+$H$17,MATCH($F$17,'Raw Pressure Data'!$1:$1,0))+$G$17))),"")</f>
        <v/>
      </c>
      <c r="AA66" s="24">
        <f>IFERROR(IF($F$18="","",IF($K$5+ROW()-26&gt;$K$6,"",IF(INDEX('Raw Pressure Data'!$A:$ZZ,$K$5+ROW()-26+$H$18,MATCH($F$18,'Raw Pressure Data'!$1:$1,0))=-999,"",INDEX('Raw Pressure Data'!$A:$ZZ,$K$5+ROW()-26+$H$18,MATCH($F$18,'Raw Pressure Data'!$1:$1,0))+$G$18))),"")</f>
        <v/>
      </c>
      <c r="AB66" s="24">
        <f>IFERROR(IF($F$19="","",IF($K$5+ROW()-26&gt;$K$6,"",IF(INDEX('Raw Pressure Data'!$A:$ZZ,$K$5+ROW()-26+$H$19,MATCH($F$19,'Raw Pressure Data'!$1:$1,0))=-999,"",INDEX('Raw Pressure Data'!$A:$ZZ,$K$5+ROW()-26+$H$19,MATCH($F$19,'Raw Pressure Data'!$1:$1,0))+$G$19))),"")</f>
        <v/>
      </c>
      <c r="AC66" s="24">
        <f>IFERROR(IF($F$20="","",IF($K$5+ROW()-26&gt;$K$6,"",IF(INDEX('Raw Pressure Data'!$A:$ZZ,$K$5+ROW()-26+$H$20,MATCH($F$20,'Raw Pressure Data'!$1:$1,0))=-999,"",INDEX('Raw Pressure Data'!$A:$ZZ,$K$5+ROW()-26+$H$20,MATCH($F$20,'Raw Pressure Data'!$1:$1,0))+$G$20))),"")</f>
        <v/>
      </c>
      <c r="AD66" s="24">
        <f>IFERROR(IF($F$21="","",IF($K$5+ROW()-26&gt;$K$6,"",IF(INDEX('Raw Pressure Data'!$A:$ZZ,$K$5+ROW()-26+$H$21,MATCH($F$21,'Raw Pressure Data'!$1:$1,0))=-999,"",INDEX('Raw Pressure Data'!$A:$ZZ,$K$5+ROW()-26+$H$21,MATCH($F$21,'Raw Pressure Data'!$1:$1,0))+$G$21))),"")</f>
        <v/>
      </c>
      <c r="AE66" s="24">
        <f>IFERROR(IF($F$22="","",IF($K$5+ROW()-26&gt;$K$6,"",IF(INDEX('Raw Pressure Data'!$A:$ZZ,$K$5+ROW()-26+$H$22,MATCH($F$22,'Raw Pressure Data'!$1:$1,0))=-999,"",INDEX('Raw Pressure Data'!$A:$ZZ,$K$5+ROW()-26+$H$22,MATCH($F$22,'Raw Pressure Data'!$1:$1,0))+$G$22))),"")</f>
        <v/>
      </c>
    </row>
    <row r="67" ht="15" customHeight="1">
      <c r="A67" s="25">
        <f>IFERROR(IF($K$5+ROW()-26&gt;$K$6,"",IF(INDEX('Raw Flow Data'!$A:$A,$K$5+ROW()-26)="","",INDEX('Raw Flow Data'!$A:$A,$K$5+ROW()-26))),"")</f>
        <v/>
      </c>
      <c r="B67" s="26">
        <f>IFERROR(IF($B$3="","",IF($K$5+ROW()-26&gt;$K$6,"",IF(INDEX('Raw Flow Data'!$A:$ZZ,$K$5+ROW()-26+$D$3,MATCH($B$3,'Raw Flow Data'!$1:$1,0))=-999,"",INDEX('Raw Flow Data'!$A:$ZZ,$K$5+ROW()-26+$D$3,MATCH($B$3,'Raw Flow Data'!$1:$1,0))*$C$3))),"")</f>
        <v/>
      </c>
      <c r="C67" s="26">
        <f>IFERROR(IF($B$4="","",IF($K$5+ROW()-26&gt;$K$6,"",IF(INDEX('Raw Flow Data'!$A:$ZZ,$K$5+ROW()-26+$D$4,MATCH($B$4,'Raw Flow Data'!$1:$1,0))=-999,"",INDEX('Raw Flow Data'!$A:$ZZ,$K$5+ROW()-26+$D$4,MATCH($B$4,'Raw Flow Data'!$1:$1,0))*$C$4))),"")</f>
        <v/>
      </c>
      <c r="D67" s="26">
        <f>IFERROR(IF($B$5="","",IF($K$5+ROW()-26&gt;$K$6,"",IF(INDEX('Raw Flow Data'!$A:$ZZ,$K$5+ROW()-26+$D$5,MATCH($B$5,'Raw Flow Data'!$1:$1,0))=-999,"",INDEX('Raw Flow Data'!$A:$ZZ,$K$5+ROW()-26+$D$5,MATCH($B$5,'Raw Flow Data'!$1:$1,0))*$C$5))),"")</f>
        <v/>
      </c>
      <c r="E67" s="26">
        <f>IFERROR(IF($B$6="","",IF($K$5+ROW()-26&gt;$K$6,"",IF(INDEX('Raw Flow Data'!$A:$ZZ,$K$5+ROW()-26+$D$6,MATCH($B$6,'Raw Flow Data'!$1:$1,0))=-999,"",INDEX('Raw Flow Data'!$A:$ZZ,$K$5+ROW()-26+$D$6,MATCH($B$6,'Raw Flow Data'!$1:$1,0))*$C$6))),"")</f>
        <v/>
      </c>
      <c r="F67" s="26">
        <f>IFERROR(IF($B$7="","",IF($K$5+ROW()-26&gt;$K$6,"",IF(INDEX('Raw Flow Data'!$A:$ZZ,$K$5+ROW()-26+$D$7,MATCH($B$7,'Raw Flow Data'!$1:$1,0))=-999,"",INDEX('Raw Flow Data'!$A:$ZZ,$K$5+ROW()-26+$D$7,MATCH($B$7,'Raw Flow Data'!$1:$1,0))*$C$7))),"")</f>
        <v/>
      </c>
      <c r="G67" s="26">
        <f>IFERROR(IF($B$8="","",IF($K$5+ROW()-26&gt;$K$6,"",IF(INDEX('Raw Flow Data'!$A:$ZZ,$K$5+ROW()-26+$D$8,MATCH($B$8,'Raw Flow Data'!$1:$1,0))=-999,"",INDEX('Raw Flow Data'!$A:$ZZ,$K$5+ROW()-26+$D$8,MATCH($B$8,'Raw Flow Data'!$1:$1,0))*$C$8))),"")</f>
        <v/>
      </c>
      <c r="H67" s="26">
        <f>IFERROR(IF($B$9="","",IF($K$5+ROW()-26&gt;$K$6,"",IF(INDEX('Raw Flow Data'!$A:$ZZ,$K$5+ROW()-26+$D$9,MATCH($B$9,'Raw Flow Data'!$1:$1,0))=-999,"",INDEX('Raw Flow Data'!$A:$ZZ,$K$5+ROW()-26+$D$9,MATCH($B$9,'Raw Flow Data'!$1:$1,0))*$C$9))),"")</f>
        <v/>
      </c>
      <c r="I67" s="26">
        <f>IFERROR(IF($B$10="","",IF($K$5+ROW()-26&gt;$K$6,"",IF(INDEX('Raw Flow Data'!$A:$ZZ,$K$5+ROW()-26+$D$10,MATCH($B$10,'Raw Flow Data'!$1:$1,0))=-999,"",INDEX('Raw Flow Data'!$A:$ZZ,$K$5+ROW()-26+$D$10,MATCH($B$10,'Raw Flow Data'!$1:$1,0))*$C$10))),"")</f>
        <v/>
      </c>
      <c r="J67" s="26">
        <f>IFERROR(IF($B$11="","",IF($K$5+ROW()-26&gt;$K$6,"",IF(INDEX('Raw Flow Data'!$A:$ZZ,$K$5+ROW()-26+$D$11,MATCH($B$11,'Raw Flow Data'!$1:$1,0))=-999,"",INDEX('Raw Flow Data'!$A:$ZZ,$K$5+ROW()-26+$D$11,MATCH($B$11,'Raw Flow Data'!$1:$1,0))*$C$11))),"")</f>
        <v/>
      </c>
      <c r="K67" s="26">
        <f>IFERROR(IF($B$12="","",IF($K$5+ROW()-26&gt;$K$6,"",IF(INDEX('Raw Flow Data'!$A:$ZZ,$K$5+ROW()-26+$D$12,MATCH($B$12,'Raw Flow Data'!$1:$1,0))=-999,"",INDEX('Raw Flow Data'!$A:$ZZ,$K$5+ROW()-26+$D$12,MATCH($B$12,'Raw Flow Data'!$1:$1,0))*$C$12))),"")</f>
        <v/>
      </c>
      <c r="L67" s="26">
        <f>IFERROR(IF($F$3="","",IF($K$5+ROW()-26&gt;$K$6,"",IF(INDEX('Raw Pressure Data'!$A:$ZZ,$K$5+ROW()-26+$H$3,MATCH($F$3,'Raw Pressure Data'!$1:$1,0))=-999,"",INDEX('Raw Pressure Data'!$A:$ZZ,$K$5+ROW()-26+$H$3,MATCH($F$3,'Raw Pressure Data'!$1:$1,0))+$G$3))),"")</f>
        <v/>
      </c>
      <c r="M67" s="26">
        <f>IFERROR(IF($F$4="","",IF($K$5+ROW()-26&gt;$K$6,"",IF(INDEX('Raw Pressure Data'!$A:$ZZ,$K$5+ROW()-26+$H$4,MATCH($F$4,'Raw Pressure Data'!$1:$1,0))=-999,"",INDEX('Raw Pressure Data'!$A:$ZZ,$K$5+ROW()-26+$H$4,MATCH($F$4,'Raw Pressure Data'!$1:$1,0))+$G$4))),"")</f>
        <v/>
      </c>
      <c r="N67" s="26">
        <f>IFERROR(IF($F$5="","",IF($K$5+ROW()-26&gt;$K$6,"",IF(INDEX('Raw Pressure Data'!$A:$ZZ,$K$5+ROW()-26+$H$5,MATCH($F$5,'Raw Pressure Data'!$1:$1,0))=-999,"",INDEX('Raw Pressure Data'!$A:$ZZ,$K$5+ROW()-26+$H$5,MATCH($F$5,'Raw Pressure Data'!$1:$1,0))+$G$5))),"")</f>
        <v/>
      </c>
      <c r="O67" s="26">
        <f>IFERROR(IF($F$6="","",IF($K$5+ROW()-26&gt;$K$6,"",IF(INDEX('Raw Pressure Data'!$A:$ZZ,$K$5+ROW()-26+$H$6,MATCH($F$6,'Raw Pressure Data'!$1:$1,0))=-999,"",INDEX('Raw Pressure Data'!$A:$ZZ,$K$5+ROW()-26+$H$6,MATCH($F$6,'Raw Pressure Data'!$1:$1,0))+$G$6))),"")</f>
        <v/>
      </c>
      <c r="P67" s="26">
        <f>IFERROR(IF($F$7="","",IF($K$5+ROW()-26&gt;$K$6,"",IF(INDEX('Raw Pressure Data'!$A:$ZZ,$K$5+ROW()-26+$H$7,MATCH($F$7,'Raw Pressure Data'!$1:$1,0))=-999,"",INDEX('Raw Pressure Data'!$A:$ZZ,$K$5+ROW()-26+$H$7,MATCH($F$7,'Raw Pressure Data'!$1:$1,0))+$G$7))),"")</f>
        <v/>
      </c>
      <c r="Q67" s="26">
        <f>IFERROR(IF($F$8="","",IF($K$5+ROW()-26&gt;$K$6,"",IF(INDEX('Raw Pressure Data'!$A:$ZZ,$K$5+ROW()-26+$H$8,MATCH($F$8,'Raw Pressure Data'!$1:$1,0))=-999,"",INDEX('Raw Pressure Data'!$A:$ZZ,$K$5+ROW()-26+$H$8,MATCH($F$8,'Raw Pressure Data'!$1:$1,0))+$G$8))),"")</f>
        <v/>
      </c>
      <c r="R67" s="26">
        <f>IFERROR(IF($F$9="","",IF($K$5+ROW()-26&gt;$K$6,"",IF(INDEX('Raw Pressure Data'!$A:$ZZ,$K$5+ROW()-26+$H$9,MATCH($F$9,'Raw Pressure Data'!$1:$1,0))=-999,"",INDEX('Raw Pressure Data'!$A:$ZZ,$K$5+ROW()-26+$H$9,MATCH($F$9,'Raw Pressure Data'!$1:$1,0))+$G$9))),"")</f>
        <v/>
      </c>
      <c r="S67" s="26">
        <f>IFERROR(IF($F$10="","",IF($K$5+ROW()-26&gt;$K$6,"",IF(INDEX('Raw Pressure Data'!$A:$ZZ,$K$5+ROW()-26+$H$10,MATCH($F$10,'Raw Pressure Data'!$1:$1,0))=-999,"",INDEX('Raw Pressure Data'!$A:$ZZ,$K$5+ROW()-26+$H$10,MATCH($F$10,'Raw Pressure Data'!$1:$1,0))+$G$10))),"")</f>
        <v/>
      </c>
      <c r="T67" s="26">
        <f>IFERROR(IF($F$11="","",IF($K$5+ROW()-26&gt;$K$6,"",IF(INDEX('Raw Pressure Data'!$A:$ZZ,$K$5+ROW()-26+$H$11,MATCH($F$11,'Raw Pressure Data'!$1:$1,0))=-999,"",INDEX('Raw Pressure Data'!$A:$ZZ,$K$5+ROW()-26+$H$11,MATCH($F$11,'Raw Pressure Data'!$1:$1,0))+$G$11))),"")</f>
        <v/>
      </c>
      <c r="U67" s="26">
        <f>IFERROR(IF($F$12="","",IF($K$5+ROW()-26&gt;$K$6,"",IF(INDEX('Raw Pressure Data'!$A:$ZZ,$K$5+ROW()-26+$H$12,MATCH($F$12,'Raw Pressure Data'!$1:$1,0))=-999,"",INDEX('Raw Pressure Data'!$A:$ZZ,$K$5+ROW()-26+$H$12,MATCH($F$12,'Raw Pressure Data'!$1:$1,0))+$G$12))),"")</f>
        <v/>
      </c>
      <c r="V67" s="26">
        <f>IFERROR(IF($F$13="","",IF($K$5+ROW()-26&gt;$K$6,"",IF(INDEX('Raw Pressure Data'!$A:$ZZ,$K$5+ROW()-26+$H$13,MATCH($F$13,'Raw Pressure Data'!$1:$1,0))=-999,"",INDEX('Raw Pressure Data'!$A:$ZZ,$K$5+ROW()-26+$H$13,MATCH($F$13,'Raw Pressure Data'!$1:$1,0))+$G$13))),"")</f>
        <v/>
      </c>
      <c r="W67" s="26">
        <f>IFERROR(IF($F$14="","",IF($K$5+ROW()-26&gt;$K$6,"",IF(INDEX('Raw Pressure Data'!$A:$ZZ,$K$5+ROW()-26+$H$14,MATCH($F$14,'Raw Pressure Data'!$1:$1,0))=-999,"",INDEX('Raw Pressure Data'!$A:$ZZ,$K$5+ROW()-26+$H$14,MATCH($F$14,'Raw Pressure Data'!$1:$1,0))+$G$14))),"")</f>
        <v/>
      </c>
      <c r="X67" s="26">
        <f>IFERROR(IF($F$15="","",IF($K$5+ROW()-26&gt;$K$6,"",IF(INDEX('Raw Pressure Data'!$A:$ZZ,$K$5+ROW()-26+$H$15,MATCH($F$15,'Raw Pressure Data'!$1:$1,0))=-999,"",INDEX('Raw Pressure Data'!$A:$ZZ,$K$5+ROW()-26+$H$15,MATCH($F$15,'Raw Pressure Data'!$1:$1,0))+$G$15))),"")</f>
        <v/>
      </c>
      <c r="Y67" s="26">
        <f>IFERROR(IF($F$16="","",IF($K$5+ROW()-26&gt;$K$6,"",IF(INDEX('Raw Pressure Data'!$A:$ZZ,$K$5+ROW()-26+$H$16,MATCH($F$16,'Raw Pressure Data'!$1:$1,0))=-999,"",INDEX('Raw Pressure Data'!$A:$ZZ,$K$5+ROW()-26+$H$16,MATCH($F$16,'Raw Pressure Data'!$1:$1,0))+$G$16))),"")</f>
        <v/>
      </c>
      <c r="Z67" s="26">
        <f>IFERROR(IF($F$17="","",IF($K$5+ROW()-26&gt;$K$6,"",IF(INDEX('Raw Pressure Data'!$A:$ZZ,$K$5+ROW()-26+$H$17,MATCH($F$17,'Raw Pressure Data'!$1:$1,0))=-999,"",INDEX('Raw Pressure Data'!$A:$ZZ,$K$5+ROW()-26+$H$17,MATCH($F$17,'Raw Pressure Data'!$1:$1,0))+$G$17))),"")</f>
        <v/>
      </c>
      <c r="AA67" s="26">
        <f>IFERROR(IF($F$18="","",IF($K$5+ROW()-26&gt;$K$6,"",IF(INDEX('Raw Pressure Data'!$A:$ZZ,$K$5+ROW()-26+$H$18,MATCH($F$18,'Raw Pressure Data'!$1:$1,0))=-999,"",INDEX('Raw Pressure Data'!$A:$ZZ,$K$5+ROW()-26+$H$18,MATCH($F$18,'Raw Pressure Data'!$1:$1,0))+$G$18))),"")</f>
        <v/>
      </c>
      <c r="AB67" s="26">
        <f>IFERROR(IF($F$19="","",IF($K$5+ROW()-26&gt;$K$6,"",IF(INDEX('Raw Pressure Data'!$A:$ZZ,$K$5+ROW()-26+$H$19,MATCH($F$19,'Raw Pressure Data'!$1:$1,0))=-999,"",INDEX('Raw Pressure Data'!$A:$ZZ,$K$5+ROW()-26+$H$19,MATCH($F$19,'Raw Pressure Data'!$1:$1,0))+$G$19))),"")</f>
        <v/>
      </c>
      <c r="AC67" s="26">
        <f>IFERROR(IF($F$20="","",IF($K$5+ROW()-26&gt;$K$6,"",IF(INDEX('Raw Pressure Data'!$A:$ZZ,$K$5+ROW()-26+$H$20,MATCH($F$20,'Raw Pressure Data'!$1:$1,0))=-999,"",INDEX('Raw Pressure Data'!$A:$ZZ,$K$5+ROW()-26+$H$20,MATCH($F$20,'Raw Pressure Data'!$1:$1,0))+$G$20))),"")</f>
        <v/>
      </c>
      <c r="AD67" s="26">
        <f>IFERROR(IF($F$21="","",IF($K$5+ROW()-26&gt;$K$6,"",IF(INDEX('Raw Pressure Data'!$A:$ZZ,$K$5+ROW()-26+$H$21,MATCH($F$21,'Raw Pressure Data'!$1:$1,0))=-999,"",INDEX('Raw Pressure Data'!$A:$ZZ,$K$5+ROW()-26+$H$21,MATCH($F$21,'Raw Pressure Data'!$1:$1,0))+$G$21))),"")</f>
        <v/>
      </c>
      <c r="AE67" s="26">
        <f>IFERROR(IF($F$22="","",IF($K$5+ROW()-26&gt;$K$6,"",IF(INDEX('Raw Pressure Data'!$A:$ZZ,$K$5+ROW()-26+$H$22,MATCH($F$22,'Raw Pressure Data'!$1:$1,0))=-999,"",INDEX('Raw Pressure Data'!$A:$ZZ,$K$5+ROW()-26+$H$22,MATCH($F$22,'Raw Pressure Data'!$1:$1,0))+$G$22))),"")</f>
        <v/>
      </c>
    </row>
    <row r="68" ht="15" customHeight="1">
      <c r="A68" s="23">
        <f>IFERROR(IF($K$5+ROW()-26&gt;$K$6,"",IF(INDEX('Raw Flow Data'!$A:$A,$K$5+ROW()-26)="","",INDEX('Raw Flow Data'!$A:$A,$K$5+ROW()-26))),"")</f>
        <v/>
      </c>
      <c r="B68" s="24">
        <f>IFERROR(IF($B$3="","",IF($K$5+ROW()-26&gt;$K$6,"",IF(INDEX('Raw Flow Data'!$A:$ZZ,$K$5+ROW()-26+$D$3,MATCH($B$3,'Raw Flow Data'!$1:$1,0))=-999,"",INDEX('Raw Flow Data'!$A:$ZZ,$K$5+ROW()-26+$D$3,MATCH($B$3,'Raw Flow Data'!$1:$1,0))*$C$3))),"")</f>
        <v/>
      </c>
      <c r="C68" s="24">
        <f>IFERROR(IF($B$4="","",IF($K$5+ROW()-26&gt;$K$6,"",IF(INDEX('Raw Flow Data'!$A:$ZZ,$K$5+ROW()-26+$D$4,MATCH($B$4,'Raw Flow Data'!$1:$1,0))=-999,"",INDEX('Raw Flow Data'!$A:$ZZ,$K$5+ROW()-26+$D$4,MATCH($B$4,'Raw Flow Data'!$1:$1,0))*$C$4))),"")</f>
        <v/>
      </c>
      <c r="D68" s="24">
        <f>IFERROR(IF($B$5="","",IF($K$5+ROW()-26&gt;$K$6,"",IF(INDEX('Raw Flow Data'!$A:$ZZ,$K$5+ROW()-26+$D$5,MATCH($B$5,'Raw Flow Data'!$1:$1,0))=-999,"",INDEX('Raw Flow Data'!$A:$ZZ,$K$5+ROW()-26+$D$5,MATCH($B$5,'Raw Flow Data'!$1:$1,0))*$C$5))),"")</f>
        <v/>
      </c>
      <c r="E68" s="24">
        <f>IFERROR(IF($B$6="","",IF($K$5+ROW()-26&gt;$K$6,"",IF(INDEX('Raw Flow Data'!$A:$ZZ,$K$5+ROW()-26+$D$6,MATCH($B$6,'Raw Flow Data'!$1:$1,0))=-999,"",INDEX('Raw Flow Data'!$A:$ZZ,$K$5+ROW()-26+$D$6,MATCH($B$6,'Raw Flow Data'!$1:$1,0))*$C$6))),"")</f>
        <v/>
      </c>
      <c r="F68" s="24">
        <f>IFERROR(IF($B$7="","",IF($K$5+ROW()-26&gt;$K$6,"",IF(INDEX('Raw Flow Data'!$A:$ZZ,$K$5+ROW()-26+$D$7,MATCH($B$7,'Raw Flow Data'!$1:$1,0))=-999,"",INDEX('Raw Flow Data'!$A:$ZZ,$K$5+ROW()-26+$D$7,MATCH($B$7,'Raw Flow Data'!$1:$1,0))*$C$7))),"")</f>
        <v/>
      </c>
      <c r="G68" s="24">
        <f>IFERROR(IF($B$8="","",IF($K$5+ROW()-26&gt;$K$6,"",IF(INDEX('Raw Flow Data'!$A:$ZZ,$K$5+ROW()-26+$D$8,MATCH($B$8,'Raw Flow Data'!$1:$1,0))=-999,"",INDEX('Raw Flow Data'!$A:$ZZ,$K$5+ROW()-26+$D$8,MATCH($B$8,'Raw Flow Data'!$1:$1,0))*$C$8))),"")</f>
        <v/>
      </c>
      <c r="H68" s="24">
        <f>IFERROR(IF($B$9="","",IF($K$5+ROW()-26&gt;$K$6,"",IF(INDEX('Raw Flow Data'!$A:$ZZ,$K$5+ROW()-26+$D$9,MATCH($B$9,'Raw Flow Data'!$1:$1,0))=-999,"",INDEX('Raw Flow Data'!$A:$ZZ,$K$5+ROW()-26+$D$9,MATCH($B$9,'Raw Flow Data'!$1:$1,0))*$C$9))),"")</f>
        <v/>
      </c>
      <c r="I68" s="24">
        <f>IFERROR(IF($B$10="","",IF($K$5+ROW()-26&gt;$K$6,"",IF(INDEX('Raw Flow Data'!$A:$ZZ,$K$5+ROW()-26+$D$10,MATCH($B$10,'Raw Flow Data'!$1:$1,0))=-999,"",INDEX('Raw Flow Data'!$A:$ZZ,$K$5+ROW()-26+$D$10,MATCH($B$10,'Raw Flow Data'!$1:$1,0))*$C$10))),"")</f>
        <v/>
      </c>
      <c r="J68" s="24">
        <f>IFERROR(IF($B$11="","",IF($K$5+ROW()-26&gt;$K$6,"",IF(INDEX('Raw Flow Data'!$A:$ZZ,$K$5+ROW()-26+$D$11,MATCH($B$11,'Raw Flow Data'!$1:$1,0))=-999,"",INDEX('Raw Flow Data'!$A:$ZZ,$K$5+ROW()-26+$D$11,MATCH($B$11,'Raw Flow Data'!$1:$1,0))*$C$11))),"")</f>
        <v/>
      </c>
      <c r="K68" s="24">
        <f>IFERROR(IF($B$12="","",IF($K$5+ROW()-26&gt;$K$6,"",IF(INDEX('Raw Flow Data'!$A:$ZZ,$K$5+ROW()-26+$D$12,MATCH($B$12,'Raw Flow Data'!$1:$1,0))=-999,"",INDEX('Raw Flow Data'!$A:$ZZ,$K$5+ROW()-26+$D$12,MATCH($B$12,'Raw Flow Data'!$1:$1,0))*$C$12))),"")</f>
        <v/>
      </c>
      <c r="L68" s="24">
        <f>IFERROR(IF($F$3="","",IF($K$5+ROW()-26&gt;$K$6,"",IF(INDEX('Raw Pressure Data'!$A:$ZZ,$K$5+ROW()-26+$H$3,MATCH($F$3,'Raw Pressure Data'!$1:$1,0))=-999,"",INDEX('Raw Pressure Data'!$A:$ZZ,$K$5+ROW()-26+$H$3,MATCH($F$3,'Raw Pressure Data'!$1:$1,0))+$G$3))),"")</f>
        <v/>
      </c>
      <c r="M68" s="24">
        <f>IFERROR(IF($F$4="","",IF($K$5+ROW()-26&gt;$K$6,"",IF(INDEX('Raw Pressure Data'!$A:$ZZ,$K$5+ROW()-26+$H$4,MATCH($F$4,'Raw Pressure Data'!$1:$1,0))=-999,"",INDEX('Raw Pressure Data'!$A:$ZZ,$K$5+ROW()-26+$H$4,MATCH($F$4,'Raw Pressure Data'!$1:$1,0))+$G$4))),"")</f>
        <v/>
      </c>
      <c r="N68" s="24">
        <f>IFERROR(IF($F$5="","",IF($K$5+ROW()-26&gt;$K$6,"",IF(INDEX('Raw Pressure Data'!$A:$ZZ,$K$5+ROW()-26+$H$5,MATCH($F$5,'Raw Pressure Data'!$1:$1,0))=-999,"",INDEX('Raw Pressure Data'!$A:$ZZ,$K$5+ROW()-26+$H$5,MATCH($F$5,'Raw Pressure Data'!$1:$1,0))+$G$5))),"")</f>
        <v/>
      </c>
      <c r="O68" s="24">
        <f>IFERROR(IF($F$6="","",IF($K$5+ROW()-26&gt;$K$6,"",IF(INDEX('Raw Pressure Data'!$A:$ZZ,$K$5+ROW()-26+$H$6,MATCH($F$6,'Raw Pressure Data'!$1:$1,0))=-999,"",INDEX('Raw Pressure Data'!$A:$ZZ,$K$5+ROW()-26+$H$6,MATCH($F$6,'Raw Pressure Data'!$1:$1,0))+$G$6))),"")</f>
        <v/>
      </c>
      <c r="P68" s="24">
        <f>IFERROR(IF($F$7="","",IF($K$5+ROW()-26&gt;$K$6,"",IF(INDEX('Raw Pressure Data'!$A:$ZZ,$K$5+ROW()-26+$H$7,MATCH($F$7,'Raw Pressure Data'!$1:$1,0))=-999,"",INDEX('Raw Pressure Data'!$A:$ZZ,$K$5+ROW()-26+$H$7,MATCH($F$7,'Raw Pressure Data'!$1:$1,0))+$G$7))),"")</f>
        <v/>
      </c>
      <c r="Q68" s="24">
        <f>IFERROR(IF($F$8="","",IF($K$5+ROW()-26&gt;$K$6,"",IF(INDEX('Raw Pressure Data'!$A:$ZZ,$K$5+ROW()-26+$H$8,MATCH($F$8,'Raw Pressure Data'!$1:$1,0))=-999,"",INDEX('Raw Pressure Data'!$A:$ZZ,$K$5+ROW()-26+$H$8,MATCH($F$8,'Raw Pressure Data'!$1:$1,0))+$G$8))),"")</f>
        <v/>
      </c>
      <c r="R68" s="24">
        <f>IFERROR(IF($F$9="","",IF($K$5+ROW()-26&gt;$K$6,"",IF(INDEX('Raw Pressure Data'!$A:$ZZ,$K$5+ROW()-26+$H$9,MATCH($F$9,'Raw Pressure Data'!$1:$1,0))=-999,"",INDEX('Raw Pressure Data'!$A:$ZZ,$K$5+ROW()-26+$H$9,MATCH($F$9,'Raw Pressure Data'!$1:$1,0))+$G$9))),"")</f>
        <v/>
      </c>
      <c r="S68" s="24">
        <f>IFERROR(IF($F$10="","",IF($K$5+ROW()-26&gt;$K$6,"",IF(INDEX('Raw Pressure Data'!$A:$ZZ,$K$5+ROW()-26+$H$10,MATCH($F$10,'Raw Pressure Data'!$1:$1,0))=-999,"",INDEX('Raw Pressure Data'!$A:$ZZ,$K$5+ROW()-26+$H$10,MATCH($F$10,'Raw Pressure Data'!$1:$1,0))+$G$10))),"")</f>
        <v/>
      </c>
      <c r="T68" s="24">
        <f>IFERROR(IF($F$11="","",IF($K$5+ROW()-26&gt;$K$6,"",IF(INDEX('Raw Pressure Data'!$A:$ZZ,$K$5+ROW()-26+$H$11,MATCH($F$11,'Raw Pressure Data'!$1:$1,0))=-999,"",INDEX('Raw Pressure Data'!$A:$ZZ,$K$5+ROW()-26+$H$11,MATCH($F$11,'Raw Pressure Data'!$1:$1,0))+$G$11))),"")</f>
        <v/>
      </c>
      <c r="U68" s="24">
        <f>IFERROR(IF($F$12="","",IF($K$5+ROW()-26&gt;$K$6,"",IF(INDEX('Raw Pressure Data'!$A:$ZZ,$K$5+ROW()-26+$H$12,MATCH($F$12,'Raw Pressure Data'!$1:$1,0))=-999,"",INDEX('Raw Pressure Data'!$A:$ZZ,$K$5+ROW()-26+$H$12,MATCH($F$12,'Raw Pressure Data'!$1:$1,0))+$G$12))),"")</f>
        <v/>
      </c>
      <c r="V68" s="24">
        <f>IFERROR(IF($F$13="","",IF($K$5+ROW()-26&gt;$K$6,"",IF(INDEX('Raw Pressure Data'!$A:$ZZ,$K$5+ROW()-26+$H$13,MATCH($F$13,'Raw Pressure Data'!$1:$1,0))=-999,"",INDEX('Raw Pressure Data'!$A:$ZZ,$K$5+ROW()-26+$H$13,MATCH($F$13,'Raw Pressure Data'!$1:$1,0))+$G$13))),"")</f>
        <v/>
      </c>
      <c r="W68" s="24">
        <f>IFERROR(IF($F$14="","",IF($K$5+ROW()-26&gt;$K$6,"",IF(INDEX('Raw Pressure Data'!$A:$ZZ,$K$5+ROW()-26+$H$14,MATCH($F$14,'Raw Pressure Data'!$1:$1,0))=-999,"",INDEX('Raw Pressure Data'!$A:$ZZ,$K$5+ROW()-26+$H$14,MATCH($F$14,'Raw Pressure Data'!$1:$1,0))+$G$14))),"")</f>
        <v/>
      </c>
      <c r="X68" s="24">
        <f>IFERROR(IF($F$15="","",IF($K$5+ROW()-26&gt;$K$6,"",IF(INDEX('Raw Pressure Data'!$A:$ZZ,$K$5+ROW()-26+$H$15,MATCH($F$15,'Raw Pressure Data'!$1:$1,0))=-999,"",INDEX('Raw Pressure Data'!$A:$ZZ,$K$5+ROW()-26+$H$15,MATCH($F$15,'Raw Pressure Data'!$1:$1,0))+$G$15))),"")</f>
        <v/>
      </c>
      <c r="Y68" s="24">
        <f>IFERROR(IF($F$16="","",IF($K$5+ROW()-26&gt;$K$6,"",IF(INDEX('Raw Pressure Data'!$A:$ZZ,$K$5+ROW()-26+$H$16,MATCH($F$16,'Raw Pressure Data'!$1:$1,0))=-999,"",INDEX('Raw Pressure Data'!$A:$ZZ,$K$5+ROW()-26+$H$16,MATCH($F$16,'Raw Pressure Data'!$1:$1,0))+$G$16))),"")</f>
        <v/>
      </c>
      <c r="Z68" s="24">
        <f>IFERROR(IF($F$17="","",IF($K$5+ROW()-26&gt;$K$6,"",IF(INDEX('Raw Pressure Data'!$A:$ZZ,$K$5+ROW()-26+$H$17,MATCH($F$17,'Raw Pressure Data'!$1:$1,0))=-999,"",INDEX('Raw Pressure Data'!$A:$ZZ,$K$5+ROW()-26+$H$17,MATCH($F$17,'Raw Pressure Data'!$1:$1,0))+$G$17))),"")</f>
        <v/>
      </c>
      <c r="AA68" s="24">
        <f>IFERROR(IF($F$18="","",IF($K$5+ROW()-26&gt;$K$6,"",IF(INDEX('Raw Pressure Data'!$A:$ZZ,$K$5+ROW()-26+$H$18,MATCH($F$18,'Raw Pressure Data'!$1:$1,0))=-999,"",INDEX('Raw Pressure Data'!$A:$ZZ,$K$5+ROW()-26+$H$18,MATCH($F$18,'Raw Pressure Data'!$1:$1,0))+$G$18))),"")</f>
        <v/>
      </c>
      <c r="AB68" s="24">
        <f>IFERROR(IF($F$19="","",IF($K$5+ROW()-26&gt;$K$6,"",IF(INDEX('Raw Pressure Data'!$A:$ZZ,$K$5+ROW()-26+$H$19,MATCH($F$19,'Raw Pressure Data'!$1:$1,0))=-999,"",INDEX('Raw Pressure Data'!$A:$ZZ,$K$5+ROW()-26+$H$19,MATCH($F$19,'Raw Pressure Data'!$1:$1,0))+$G$19))),"")</f>
        <v/>
      </c>
      <c r="AC68" s="24">
        <f>IFERROR(IF($F$20="","",IF($K$5+ROW()-26&gt;$K$6,"",IF(INDEX('Raw Pressure Data'!$A:$ZZ,$K$5+ROW()-26+$H$20,MATCH($F$20,'Raw Pressure Data'!$1:$1,0))=-999,"",INDEX('Raw Pressure Data'!$A:$ZZ,$K$5+ROW()-26+$H$20,MATCH($F$20,'Raw Pressure Data'!$1:$1,0))+$G$20))),"")</f>
        <v/>
      </c>
      <c r="AD68" s="24">
        <f>IFERROR(IF($F$21="","",IF($K$5+ROW()-26&gt;$K$6,"",IF(INDEX('Raw Pressure Data'!$A:$ZZ,$K$5+ROW()-26+$H$21,MATCH($F$21,'Raw Pressure Data'!$1:$1,0))=-999,"",INDEX('Raw Pressure Data'!$A:$ZZ,$K$5+ROW()-26+$H$21,MATCH($F$21,'Raw Pressure Data'!$1:$1,0))+$G$21))),"")</f>
        <v/>
      </c>
      <c r="AE68" s="24">
        <f>IFERROR(IF($F$22="","",IF($K$5+ROW()-26&gt;$K$6,"",IF(INDEX('Raw Pressure Data'!$A:$ZZ,$K$5+ROW()-26+$H$22,MATCH($F$22,'Raw Pressure Data'!$1:$1,0))=-999,"",INDEX('Raw Pressure Data'!$A:$ZZ,$K$5+ROW()-26+$H$22,MATCH($F$22,'Raw Pressure Data'!$1:$1,0))+$G$22))),"")</f>
        <v/>
      </c>
    </row>
    <row r="69" ht="15" customHeight="1">
      <c r="A69" s="25">
        <f>IFERROR(IF($K$5+ROW()-26&gt;$K$6,"",IF(INDEX('Raw Flow Data'!$A:$A,$K$5+ROW()-26)="","",INDEX('Raw Flow Data'!$A:$A,$K$5+ROW()-26))),"")</f>
        <v/>
      </c>
      <c r="B69" s="26">
        <f>IFERROR(IF($B$3="","",IF($K$5+ROW()-26&gt;$K$6,"",IF(INDEX('Raw Flow Data'!$A:$ZZ,$K$5+ROW()-26+$D$3,MATCH($B$3,'Raw Flow Data'!$1:$1,0))=-999,"",INDEX('Raw Flow Data'!$A:$ZZ,$K$5+ROW()-26+$D$3,MATCH($B$3,'Raw Flow Data'!$1:$1,0))*$C$3))),"")</f>
        <v/>
      </c>
      <c r="C69" s="26">
        <f>IFERROR(IF($B$4="","",IF($K$5+ROW()-26&gt;$K$6,"",IF(INDEX('Raw Flow Data'!$A:$ZZ,$K$5+ROW()-26+$D$4,MATCH($B$4,'Raw Flow Data'!$1:$1,0))=-999,"",INDEX('Raw Flow Data'!$A:$ZZ,$K$5+ROW()-26+$D$4,MATCH($B$4,'Raw Flow Data'!$1:$1,0))*$C$4))),"")</f>
        <v/>
      </c>
      <c r="D69" s="26">
        <f>IFERROR(IF($B$5="","",IF($K$5+ROW()-26&gt;$K$6,"",IF(INDEX('Raw Flow Data'!$A:$ZZ,$K$5+ROW()-26+$D$5,MATCH($B$5,'Raw Flow Data'!$1:$1,0))=-999,"",INDEX('Raw Flow Data'!$A:$ZZ,$K$5+ROW()-26+$D$5,MATCH($B$5,'Raw Flow Data'!$1:$1,0))*$C$5))),"")</f>
        <v/>
      </c>
      <c r="E69" s="26">
        <f>IFERROR(IF($B$6="","",IF($K$5+ROW()-26&gt;$K$6,"",IF(INDEX('Raw Flow Data'!$A:$ZZ,$K$5+ROW()-26+$D$6,MATCH($B$6,'Raw Flow Data'!$1:$1,0))=-999,"",INDEX('Raw Flow Data'!$A:$ZZ,$K$5+ROW()-26+$D$6,MATCH($B$6,'Raw Flow Data'!$1:$1,0))*$C$6))),"")</f>
        <v/>
      </c>
      <c r="F69" s="26">
        <f>IFERROR(IF($B$7="","",IF($K$5+ROW()-26&gt;$K$6,"",IF(INDEX('Raw Flow Data'!$A:$ZZ,$K$5+ROW()-26+$D$7,MATCH($B$7,'Raw Flow Data'!$1:$1,0))=-999,"",INDEX('Raw Flow Data'!$A:$ZZ,$K$5+ROW()-26+$D$7,MATCH($B$7,'Raw Flow Data'!$1:$1,0))*$C$7))),"")</f>
        <v/>
      </c>
      <c r="G69" s="26">
        <f>IFERROR(IF($B$8="","",IF($K$5+ROW()-26&gt;$K$6,"",IF(INDEX('Raw Flow Data'!$A:$ZZ,$K$5+ROW()-26+$D$8,MATCH($B$8,'Raw Flow Data'!$1:$1,0))=-999,"",INDEX('Raw Flow Data'!$A:$ZZ,$K$5+ROW()-26+$D$8,MATCH($B$8,'Raw Flow Data'!$1:$1,0))*$C$8))),"")</f>
        <v/>
      </c>
      <c r="H69" s="26">
        <f>IFERROR(IF($B$9="","",IF($K$5+ROW()-26&gt;$K$6,"",IF(INDEX('Raw Flow Data'!$A:$ZZ,$K$5+ROW()-26+$D$9,MATCH($B$9,'Raw Flow Data'!$1:$1,0))=-999,"",INDEX('Raw Flow Data'!$A:$ZZ,$K$5+ROW()-26+$D$9,MATCH($B$9,'Raw Flow Data'!$1:$1,0))*$C$9))),"")</f>
        <v/>
      </c>
      <c r="I69" s="26">
        <f>IFERROR(IF($B$10="","",IF($K$5+ROW()-26&gt;$K$6,"",IF(INDEX('Raw Flow Data'!$A:$ZZ,$K$5+ROW()-26+$D$10,MATCH($B$10,'Raw Flow Data'!$1:$1,0))=-999,"",INDEX('Raw Flow Data'!$A:$ZZ,$K$5+ROW()-26+$D$10,MATCH($B$10,'Raw Flow Data'!$1:$1,0))*$C$10))),"")</f>
        <v/>
      </c>
      <c r="J69" s="26">
        <f>IFERROR(IF($B$11="","",IF($K$5+ROW()-26&gt;$K$6,"",IF(INDEX('Raw Flow Data'!$A:$ZZ,$K$5+ROW()-26+$D$11,MATCH($B$11,'Raw Flow Data'!$1:$1,0))=-999,"",INDEX('Raw Flow Data'!$A:$ZZ,$K$5+ROW()-26+$D$11,MATCH($B$11,'Raw Flow Data'!$1:$1,0))*$C$11))),"")</f>
        <v/>
      </c>
      <c r="K69" s="26">
        <f>IFERROR(IF($B$12="","",IF($K$5+ROW()-26&gt;$K$6,"",IF(INDEX('Raw Flow Data'!$A:$ZZ,$K$5+ROW()-26+$D$12,MATCH($B$12,'Raw Flow Data'!$1:$1,0))=-999,"",INDEX('Raw Flow Data'!$A:$ZZ,$K$5+ROW()-26+$D$12,MATCH($B$12,'Raw Flow Data'!$1:$1,0))*$C$12))),"")</f>
        <v/>
      </c>
      <c r="L69" s="26">
        <f>IFERROR(IF($F$3="","",IF($K$5+ROW()-26&gt;$K$6,"",IF(INDEX('Raw Pressure Data'!$A:$ZZ,$K$5+ROW()-26+$H$3,MATCH($F$3,'Raw Pressure Data'!$1:$1,0))=-999,"",INDEX('Raw Pressure Data'!$A:$ZZ,$K$5+ROW()-26+$H$3,MATCH($F$3,'Raw Pressure Data'!$1:$1,0))+$G$3))),"")</f>
        <v/>
      </c>
      <c r="M69" s="26">
        <f>IFERROR(IF($F$4="","",IF($K$5+ROW()-26&gt;$K$6,"",IF(INDEX('Raw Pressure Data'!$A:$ZZ,$K$5+ROW()-26+$H$4,MATCH($F$4,'Raw Pressure Data'!$1:$1,0))=-999,"",INDEX('Raw Pressure Data'!$A:$ZZ,$K$5+ROW()-26+$H$4,MATCH($F$4,'Raw Pressure Data'!$1:$1,0))+$G$4))),"")</f>
        <v/>
      </c>
      <c r="N69" s="26">
        <f>IFERROR(IF($F$5="","",IF($K$5+ROW()-26&gt;$K$6,"",IF(INDEX('Raw Pressure Data'!$A:$ZZ,$K$5+ROW()-26+$H$5,MATCH($F$5,'Raw Pressure Data'!$1:$1,0))=-999,"",INDEX('Raw Pressure Data'!$A:$ZZ,$K$5+ROW()-26+$H$5,MATCH($F$5,'Raw Pressure Data'!$1:$1,0))+$G$5))),"")</f>
        <v/>
      </c>
      <c r="O69" s="26">
        <f>IFERROR(IF($F$6="","",IF($K$5+ROW()-26&gt;$K$6,"",IF(INDEX('Raw Pressure Data'!$A:$ZZ,$K$5+ROW()-26+$H$6,MATCH($F$6,'Raw Pressure Data'!$1:$1,0))=-999,"",INDEX('Raw Pressure Data'!$A:$ZZ,$K$5+ROW()-26+$H$6,MATCH($F$6,'Raw Pressure Data'!$1:$1,0))+$G$6))),"")</f>
        <v/>
      </c>
      <c r="P69" s="26">
        <f>IFERROR(IF($F$7="","",IF($K$5+ROW()-26&gt;$K$6,"",IF(INDEX('Raw Pressure Data'!$A:$ZZ,$K$5+ROW()-26+$H$7,MATCH($F$7,'Raw Pressure Data'!$1:$1,0))=-999,"",INDEX('Raw Pressure Data'!$A:$ZZ,$K$5+ROW()-26+$H$7,MATCH($F$7,'Raw Pressure Data'!$1:$1,0))+$G$7))),"")</f>
        <v/>
      </c>
      <c r="Q69" s="26">
        <f>IFERROR(IF($F$8="","",IF($K$5+ROW()-26&gt;$K$6,"",IF(INDEX('Raw Pressure Data'!$A:$ZZ,$K$5+ROW()-26+$H$8,MATCH($F$8,'Raw Pressure Data'!$1:$1,0))=-999,"",INDEX('Raw Pressure Data'!$A:$ZZ,$K$5+ROW()-26+$H$8,MATCH($F$8,'Raw Pressure Data'!$1:$1,0))+$G$8))),"")</f>
        <v/>
      </c>
      <c r="R69" s="26">
        <f>IFERROR(IF($F$9="","",IF($K$5+ROW()-26&gt;$K$6,"",IF(INDEX('Raw Pressure Data'!$A:$ZZ,$K$5+ROW()-26+$H$9,MATCH($F$9,'Raw Pressure Data'!$1:$1,0))=-999,"",INDEX('Raw Pressure Data'!$A:$ZZ,$K$5+ROW()-26+$H$9,MATCH($F$9,'Raw Pressure Data'!$1:$1,0))+$G$9))),"")</f>
        <v/>
      </c>
      <c r="S69" s="26">
        <f>IFERROR(IF($F$10="","",IF($K$5+ROW()-26&gt;$K$6,"",IF(INDEX('Raw Pressure Data'!$A:$ZZ,$K$5+ROW()-26+$H$10,MATCH($F$10,'Raw Pressure Data'!$1:$1,0))=-999,"",INDEX('Raw Pressure Data'!$A:$ZZ,$K$5+ROW()-26+$H$10,MATCH($F$10,'Raw Pressure Data'!$1:$1,0))+$G$10))),"")</f>
        <v/>
      </c>
      <c r="T69" s="26">
        <f>IFERROR(IF($F$11="","",IF($K$5+ROW()-26&gt;$K$6,"",IF(INDEX('Raw Pressure Data'!$A:$ZZ,$K$5+ROW()-26+$H$11,MATCH($F$11,'Raw Pressure Data'!$1:$1,0))=-999,"",INDEX('Raw Pressure Data'!$A:$ZZ,$K$5+ROW()-26+$H$11,MATCH($F$11,'Raw Pressure Data'!$1:$1,0))+$G$11))),"")</f>
        <v/>
      </c>
      <c r="U69" s="26">
        <f>IFERROR(IF($F$12="","",IF($K$5+ROW()-26&gt;$K$6,"",IF(INDEX('Raw Pressure Data'!$A:$ZZ,$K$5+ROW()-26+$H$12,MATCH($F$12,'Raw Pressure Data'!$1:$1,0))=-999,"",INDEX('Raw Pressure Data'!$A:$ZZ,$K$5+ROW()-26+$H$12,MATCH($F$12,'Raw Pressure Data'!$1:$1,0))+$G$12))),"")</f>
        <v/>
      </c>
      <c r="V69" s="26">
        <f>IFERROR(IF($F$13="","",IF($K$5+ROW()-26&gt;$K$6,"",IF(INDEX('Raw Pressure Data'!$A:$ZZ,$K$5+ROW()-26+$H$13,MATCH($F$13,'Raw Pressure Data'!$1:$1,0))=-999,"",INDEX('Raw Pressure Data'!$A:$ZZ,$K$5+ROW()-26+$H$13,MATCH($F$13,'Raw Pressure Data'!$1:$1,0))+$G$13))),"")</f>
        <v/>
      </c>
      <c r="W69" s="26">
        <f>IFERROR(IF($F$14="","",IF($K$5+ROW()-26&gt;$K$6,"",IF(INDEX('Raw Pressure Data'!$A:$ZZ,$K$5+ROW()-26+$H$14,MATCH($F$14,'Raw Pressure Data'!$1:$1,0))=-999,"",INDEX('Raw Pressure Data'!$A:$ZZ,$K$5+ROW()-26+$H$14,MATCH($F$14,'Raw Pressure Data'!$1:$1,0))+$G$14))),"")</f>
        <v/>
      </c>
      <c r="X69" s="26">
        <f>IFERROR(IF($F$15="","",IF($K$5+ROW()-26&gt;$K$6,"",IF(INDEX('Raw Pressure Data'!$A:$ZZ,$K$5+ROW()-26+$H$15,MATCH($F$15,'Raw Pressure Data'!$1:$1,0))=-999,"",INDEX('Raw Pressure Data'!$A:$ZZ,$K$5+ROW()-26+$H$15,MATCH($F$15,'Raw Pressure Data'!$1:$1,0))+$G$15))),"")</f>
        <v/>
      </c>
      <c r="Y69" s="26">
        <f>IFERROR(IF($F$16="","",IF($K$5+ROW()-26&gt;$K$6,"",IF(INDEX('Raw Pressure Data'!$A:$ZZ,$K$5+ROW()-26+$H$16,MATCH($F$16,'Raw Pressure Data'!$1:$1,0))=-999,"",INDEX('Raw Pressure Data'!$A:$ZZ,$K$5+ROW()-26+$H$16,MATCH($F$16,'Raw Pressure Data'!$1:$1,0))+$G$16))),"")</f>
        <v/>
      </c>
      <c r="Z69" s="26">
        <f>IFERROR(IF($F$17="","",IF($K$5+ROW()-26&gt;$K$6,"",IF(INDEX('Raw Pressure Data'!$A:$ZZ,$K$5+ROW()-26+$H$17,MATCH($F$17,'Raw Pressure Data'!$1:$1,0))=-999,"",INDEX('Raw Pressure Data'!$A:$ZZ,$K$5+ROW()-26+$H$17,MATCH($F$17,'Raw Pressure Data'!$1:$1,0))+$G$17))),"")</f>
        <v/>
      </c>
      <c r="AA69" s="26">
        <f>IFERROR(IF($F$18="","",IF($K$5+ROW()-26&gt;$K$6,"",IF(INDEX('Raw Pressure Data'!$A:$ZZ,$K$5+ROW()-26+$H$18,MATCH($F$18,'Raw Pressure Data'!$1:$1,0))=-999,"",INDEX('Raw Pressure Data'!$A:$ZZ,$K$5+ROW()-26+$H$18,MATCH($F$18,'Raw Pressure Data'!$1:$1,0))+$G$18))),"")</f>
        <v/>
      </c>
      <c r="AB69" s="26">
        <f>IFERROR(IF($F$19="","",IF($K$5+ROW()-26&gt;$K$6,"",IF(INDEX('Raw Pressure Data'!$A:$ZZ,$K$5+ROW()-26+$H$19,MATCH($F$19,'Raw Pressure Data'!$1:$1,0))=-999,"",INDEX('Raw Pressure Data'!$A:$ZZ,$K$5+ROW()-26+$H$19,MATCH($F$19,'Raw Pressure Data'!$1:$1,0))+$G$19))),"")</f>
        <v/>
      </c>
      <c r="AC69" s="26">
        <f>IFERROR(IF($F$20="","",IF($K$5+ROW()-26&gt;$K$6,"",IF(INDEX('Raw Pressure Data'!$A:$ZZ,$K$5+ROW()-26+$H$20,MATCH($F$20,'Raw Pressure Data'!$1:$1,0))=-999,"",INDEX('Raw Pressure Data'!$A:$ZZ,$K$5+ROW()-26+$H$20,MATCH($F$20,'Raw Pressure Data'!$1:$1,0))+$G$20))),"")</f>
        <v/>
      </c>
      <c r="AD69" s="26">
        <f>IFERROR(IF($F$21="","",IF($K$5+ROW()-26&gt;$K$6,"",IF(INDEX('Raw Pressure Data'!$A:$ZZ,$K$5+ROW()-26+$H$21,MATCH($F$21,'Raw Pressure Data'!$1:$1,0))=-999,"",INDEX('Raw Pressure Data'!$A:$ZZ,$K$5+ROW()-26+$H$21,MATCH($F$21,'Raw Pressure Data'!$1:$1,0))+$G$21))),"")</f>
        <v/>
      </c>
      <c r="AE69" s="26">
        <f>IFERROR(IF($F$22="","",IF($K$5+ROW()-26&gt;$K$6,"",IF(INDEX('Raw Pressure Data'!$A:$ZZ,$K$5+ROW()-26+$H$22,MATCH($F$22,'Raw Pressure Data'!$1:$1,0))=-999,"",INDEX('Raw Pressure Data'!$A:$ZZ,$K$5+ROW()-26+$H$22,MATCH($F$22,'Raw Pressure Data'!$1:$1,0))+$G$22))),"")</f>
        <v/>
      </c>
    </row>
    <row r="70" ht="15" customHeight="1">
      <c r="A70" s="23">
        <f>IFERROR(IF($K$5+ROW()-26&gt;$K$6,"",IF(INDEX('Raw Flow Data'!$A:$A,$K$5+ROW()-26)="","",INDEX('Raw Flow Data'!$A:$A,$K$5+ROW()-26))),"")</f>
        <v/>
      </c>
      <c r="B70" s="24">
        <f>IFERROR(IF($B$3="","",IF($K$5+ROW()-26&gt;$K$6,"",IF(INDEX('Raw Flow Data'!$A:$ZZ,$K$5+ROW()-26+$D$3,MATCH($B$3,'Raw Flow Data'!$1:$1,0))=-999,"",INDEX('Raw Flow Data'!$A:$ZZ,$K$5+ROW()-26+$D$3,MATCH($B$3,'Raw Flow Data'!$1:$1,0))*$C$3))),"")</f>
        <v/>
      </c>
      <c r="C70" s="24">
        <f>IFERROR(IF($B$4="","",IF($K$5+ROW()-26&gt;$K$6,"",IF(INDEX('Raw Flow Data'!$A:$ZZ,$K$5+ROW()-26+$D$4,MATCH($B$4,'Raw Flow Data'!$1:$1,0))=-999,"",INDEX('Raw Flow Data'!$A:$ZZ,$K$5+ROW()-26+$D$4,MATCH($B$4,'Raw Flow Data'!$1:$1,0))*$C$4))),"")</f>
        <v/>
      </c>
      <c r="D70" s="24">
        <f>IFERROR(IF($B$5="","",IF($K$5+ROW()-26&gt;$K$6,"",IF(INDEX('Raw Flow Data'!$A:$ZZ,$K$5+ROW()-26+$D$5,MATCH($B$5,'Raw Flow Data'!$1:$1,0))=-999,"",INDEX('Raw Flow Data'!$A:$ZZ,$K$5+ROW()-26+$D$5,MATCH($B$5,'Raw Flow Data'!$1:$1,0))*$C$5))),"")</f>
        <v/>
      </c>
      <c r="E70" s="24">
        <f>IFERROR(IF($B$6="","",IF($K$5+ROW()-26&gt;$K$6,"",IF(INDEX('Raw Flow Data'!$A:$ZZ,$K$5+ROW()-26+$D$6,MATCH($B$6,'Raw Flow Data'!$1:$1,0))=-999,"",INDEX('Raw Flow Data'!$A:$ZZ,$K$5+ROW()-26+$D$6,MATCH($B$6,'Raw Flow Data'!$1:$1,0))*$C$6))),"")</f>
        <v/>
      </c>
      <c r="F70" s="24">
        <f>IFERROR(IF($B$7="","",IF($K$5+ROW()-26&gt;$K$6,"",IF(INDEX('Raw Flow Data'!$A:$ZZ,$K$5+ROW()-26+$D$7,MATCH($B$7,'Raw Flow Data'!$1:$1,0))=-999,"",INDEX('Raw Flow Data'!$A:$ZZ,$K$5+ROW()-26+$D$7,MATCH($B$7,'Raw Flow Data'!$1:$1,0))*$C$7))),"")</f>
        <v/>
      </c>
      <c r="G70" s="24">
        <f>IFERROR(IF($B$8="","",IF($K$5+ROW()-26&gt;$K$6,"",IF(INDEX('Raw Flow Data'!$A:$ZZ,$K$5+ROW()-26+$D$8,MATCH($B$8,'Raw Flow Data'!$1:$1,0))=-999,"",INDEX('Raw Flow Data'!$A:$ZZ,$K$5+ROW()-26+$D$8,MATCH($B$8,'Raw Flow Data'!$1:$1,0))*$C$8))),"")</f>
        <v/>
      </c>
      <c r="H70" s="24">
        <f>IFERROR(IF($B$9="","",IF($K$5+ROW()-26&gt;$K$6,"",IF(INDEX('Raw Flow Data'!$A:$ZZ,$K$5+ROW()-26+$D$9,MATCH($B$9,'Raw Flow Data'!$1:$1,0))=-999,"",INDEX('Raw Flow Data'!$A:$ZZ,$K$5+ROW()-26+$D$9,MATCH($B$9,'Raw Flow Data'!$1:$1,0))*$C$9))),"")</f>
        <v/>
      </c>
      <c r="I70" s="24">
        <f>IFERROR(IF($B$10="","",IF($K$5+ROW()-26&gt;$K$6,"",IF(INDEX('Raw Flow Data'!$A:$ZZ,$K$5+ROW()-26+$D$10,MATCH($B$10,'Raw Flow Data'!$1:$1,0))=-999,"",INDEX('Raw Flow Data'!$A:$ZZ,$K$5+ROW()-26+$D$10,MATCH($B$10,'Raw Flow Data'!$1:$1,0))*$C$10))),"")</f>
        <v/>
      </c>
      <c r="J70" s="24">
        <f>IFERROR(IF($B$11="","",IF($K$5+ROW()-26&gt;$K$6,"",IF(INDEX('Raw Flow Data'!$A:$ZZ,$K$5+ROW()-26+$D$11,MATCH($B$11,'Raw Flow Data'!$1:$1,0))=-999,"",INDEX('Raw Flow Data'!$A:$ZZ,$K$5+ROW()-26+$D$11,MATCH($B$11,'Raw Flow Data'!$1:$1,0))*$C$11))),"")</f>
        <v/>
      </c>
      <c r="K70" s="24">
        <f>IFERROR(IF($B$12="","",IF($K$5+ROW()-26&gt;$K$6,"",IF(INDEX('Raw Flow Data'!$A:$ZZ,$K$5+ROW()-26+$D$12,MATCH($B$12,'Raw Flow Data'!$1:$1,0))=-999,"",INDEX('Raw Flow Data'!$A:$ZZ,$K$5+ROW()-26+$D$12,MATCH($B$12,'Raw Flow Data'!$1:$1,0))*$C$12))),"")</f>
        <v/>
      </c>
      <c r="L70" s="24">
        <f>IFERROR(IF($F$3="","",IF($K$5+ROW()-26&gt;$K$6,"",IF(INDEX('Raw Pressure Data'!$A:$ZZ,$K$5+ROW()-26+$H$3,MATCH($F$3,'Raw Pressure Data'!$1:$1,0))=-999,"",INDEX('Raw Pressure Data'!$A:$ZZ,$K$5+ROW()-26+$H$3,MATCH($F$3,'Raw Pressure Data'!$1:$1,0))+$G$3))),"")</f>
        <v/>
      </c>
      <c r="M70" s="24">
        <f>IFERROR(IF($F$4="","",IF($K$5+ROW()-26&gt;$K$6,"",IF(INDEX('Raw Pressure Data'!$A:$ZZ,$K$5+ROW()-26+$H$4,MATCH($F$4,'Raw Pressure Data'!$1:$1,0))=-999,"",INDEX('Raw Pressure Data'!$A:$ZZ,$K$5+ROW()-26+$H$4,MATCH($F$4,'Raw Pressure Data'!$1:$1,0))+$G$4))),"")</f>
        <v/>
      </c>
      <c r="N70" s="24">
        <f>IFERROR(IF($F$5="","",IF($K$5+ROW()-26&gt;$K$6,"",IF(INDEX('Raw Pressure Data'!$A:$ZZ,$K$5+ROW()-26+$H$5,MATCH($F$5,'Raw Pressure Data'!$1:$1,0))=-999,"",INDEX('Raw Pressure Data'!$A:$ZZ,$K$5+ROW()-26+$H$5,MATCH($F$5,'Raw Pressure Data'!$1:$1,0))+$G$5))),"")</f>
        <v/>
      </c>
      <c r="O70" s="24">
        <f>IFERROR(IF($F$6="","",IF($K$5+ROW()-26&gt;$K$6,"",IF(INDEX('Raw Pressure Data'!$A:$ZZ,$K$5+ROW()-26+$H$6,MATCH($F$6,'Raw Pressure Data'!$1:$1,0))=-999,"",INDEX('Raw Pressure Data'!$A:$ZZ,$K$5+ROW()-26+$H$6,MATCH($F$6,'Raw Pressure Data'!$1:$1,0))+$G$6))),"")</f>
        <v/>
      </c>
      <c r="P70" s="24">
        <f>IFERROR(IF($F$7="","",IF($K$5+ROW()-26&gt;$K$6,"",IF(INDEX('Raw Pressure Data'!$A:$ZZ,$K$5+ROW()-26+$H$7,MATCH($F$7,'Raw Pressure Data'!$1:$1,0))=-999,"",INDEX('Raw Pressure Data'!$A:$ZZ,$K$5+ROW()-26+$H$7,MATCH($F$7,'Raw Pressure Data'!$1:$1,0))+$G$7))),"")</f>
        <v/>
      </c>
      <c r="Q70" s="24">
        <f>IFERROR(IF($F$8="","",IF($K$5+ROW()-26&gt;$K$6,"",IF(INDEX('Raw Pressure Data'!$A:$ZZ,$K$5+ROW()-26+$H$8,MATCH($F$8,'Raw Pressure Data'!$1:$1,0))=-999,"",INDEX('Raw Pressure Data'!$A:$ZZ,$K$5+ROW()-26+$H$8,MATCH($F$8,'Raw Pressure Data'!$1:$1,0))+$G$8))),"")</f>
        <v/>
      </c>
      <c r="R70" s="24">
        <f>IFERROR(IF($F$9="","",IF($K$5+ROW()-26&gt;$K$6,"",IF(INDEX('Raw Pressure Data'!$A:$ZZ,$K$5+ROW()-26+$H$9,MATCH($F$9,'Raw Pressure Data'!$1:$1,0))=-999,"",INDEX('Raw Pressure Data'!$A:$ZZ,$K$5+ROW()-26+$H$9,MATCH($F$9,'Raw Pressure Data'!$1:$1,0))+$G$9))),"")</f>
        <v/>
      </c>
      <c r="S70" s="24">
        <f>IFERROR(IF($F$10="","",IF($K$5+ROW()-26&gt;$K$6,"",IF(INDEX('Raw Pressure Data'!$A:$ZZ,$K$5+ROW()-26+$H$10,MATCH($F$10,'Raw Pressure Data'!$1:$1,0))=-999,"",INDEX('Raw Pressure Data'!$A:$ZZ,$K$5+ROW()-26+$H$10,MATCH($F$10,'Raw Pressure Data'!$1:$1,0))+$G$10))),"")</f>
        <v/>
      </c>
      <c r="T70" s="24">
        <f>IFERROR(IF($F$11="","",IF($K$5+ROW()-26&gt;$K$6,"",IF(INDEX('Raw Pressure Data'!$A:$ZZ,$K$5+ROW()-26+$H$11,MATCH($F$11,'Raw Pressure Data'!$1:$1,0))=-999,"",INDEX('Raw Pressure Data'!$A:$ZZ,$K$5+ROW()-26+$H$11,MATCH($F$11,'Raw Pressure Data'!$1:$1,0))+$G$11))),"")</f>
        <v/>
      </c>
      <c r="U70" s="24">
        <f>IFERROR(IF($F$12="","",IF($K$5+ROW()-26&gt;$K$6,"",IF(INDEX('Raw Pressure Data'!$A:$ZZ,$K$5+ROW()-26+$H$12,MATCH($F$12,'Raw Pressure Data'!$1:$1,0))=-999,"",INDEX('Raw Pressure Data'!$A:$ZZ,$K$5+ROW()-26+$H$12,MATCH($F$12,'Raw Pressure Data'!$1:$1,0))+$G$12))),"")</f>
        <v/>
      </c>
      <c r="V70" s="24">
        <f>IFERROR(IF($F$13="","",IF($K$5+ROW()-26&gt;$K$6,"",IF(INDEX('Raw Pressure Data'!$A:$ZZ,$K$5+ROW()-26+$H$13,MATCH($F$13,'Raw Pressure Data'!$1:$1,0))=-999,"",INDEX('Raw Pressure Data'!$A:$ZZ,$K$5+ROW()-26+$H$13,MATCH($F$13,'Raw Pressure Data'!$1:$1,0))+$G$13))),"")</f>
        <v/>
      </c>
      <c r="W70" s="24">
        <f>IFERROR(IF($F$14="","",IF($K$5+ROW()-26&gt;$K$6,"",IF(INDEX('Raw Pressure Data'!$A:$ZZ,$K$5+ROW()-26+$H$14,MATCH($F$14,'Raw Pressure Data'!$1:$1,0))=-999,"",INDEX('Raw Pressure Data'!$A:$ZZ,$K$5+ROW()-26+$H$14,MATCH($F$14,'Raw Pressure Data'!$1:$1,0))+$G$14))),"")</f>
        <v/>
      </c>
      <c r="X70" s="24">
        <f>IFERROR(IF($F$15="","",IF($K$5+ROW()-26&gt;$K$6,"",IF(INDEX('Raw Pressure Data'!$A:$ZZ,$K$5+ROW()-26+$H$15,MATCH($F$15,'Raw Pressure Data'!$1:$1,0))=-999,"",INDEX('Raw Pressure Data'!$A:$ZZ,$K$5+ROW()-26+$H$15,MATCH($F$15,'Raw Pressure Data'!$1:$1,0))+$G$15))),"")</f>
        <v/>
      </c>
      <c r="Y70" s="24">
        <f>IFERROR(IF($F$16="","",IF($K$5+ROW()-26&gt;$K$6,"",IF(INDEX('Raw Pressure Data'!$A:$ZZ,$K$5+ROW()-26+$H$16,MATCH($F$16,'Raw Pressure Data'!$1:$1,0))=-999,"",INDEX('Raw Pressure Data'!$A:$ZZ,$K$5+ROW()-26+$H$16,MATCH($F$16,'Raw Pressure Data'!$1:$1,0))+$G$16))),"")</f>
        <v/>
      </c>
      <c r="Z70" s="24">
        <f>IFERROR(IF($F$17="","",IF($K$5+ROW()-26&gt;$K$6,"",IF(INDEX('Raw Pressure Data'!$A:$ZZ,$K$5+ROW()-26+$H$17,MATCH($F$17,'Raw Pressure Data'!$1:$1,0))=-999,"",INDEX('Raw Pressure Data'!$A:$ZZ,$K$5+ROW()-26+$H$17,MATCH($F$17,'Raw Pressure Data'!$1:$1,0))+$G$17))),"")</f>
        <v/>
      </c>
      <c r="AA70" s="24">
        <f>IFERROR(IF($F$18="","",IF($K$5+ROW()-26&gt;$K$6,"",IF(INDEX('Raw Pressure Data'!$A:$ZZ,$K$5+ROW()-26+$H$18,MATCH($F$18,'Raw Pressure Data'!$1:$1,0))=-999,"",INDEX('Raw Pressure Data'!$A:$ZZ,$K$5+ROW()-26+$H$18,MATCH($F$18,'Raw Pressure Data'!$1:$1,0))+$G$18))),"")</f>
        <v/>
      </c>
      <c r="AB70" s="24">
        <f>IFERROR(IF($F$19="","",IF($K$5+ROW()-26&gt;$K$6,"",IF(INDEX('Raw Pressure Data'!$A:$ZZ,$K$5+ROW()-26+$H$19,MATCH($F$19,'Raw Pressure Data'!$1:$1,0))=-999,"",INDEX('Raw Pressure Data'!$A:$ZZ,$K$5+ROW()-26+$H$19,MATCH($F$19,'Raw Pressure Data'!$1:$1,0))+$G$19))),"")</f>
        <v/>
      </c>
      <c r="AC70" s="24">
        <f>IFERROR(IF($F$20="","",IF($K$5+ROW()-26&gt;$K$6,"",IF(INDEX('Raw Pressure Data'!$A:$ZZ,$K$5+ROW()-26+$H$20,MATCH($F$20,'Raw Pressure Data'!$1:$1,0))=-999,"",INDEX('Raw Pressure Data'!$A:$ZZ,$K$5+ROW()-26+$H$20,MATCH($F$20,'Raw Pressure Data'!$1:$1,0))+$G$20))),"")</f>
        <v/>
      </c>
      <c r="AD70" s="24">
        <f>IFERROR(IF($F$21="","",IF($K$5+ROW()-26&gt;$K$6,"",IF(INDEX('Raw Pressure Data'!$A:$ZZ,$K$5+ROW()-26+$H$21,MATCH($F$21,'Raw Pressure Data'!$1:$1,0))=-999,"",INDEX('Raw Pressure Data'!$A:$ZZ,$K$5+ROW()-26+$H$21,MATCH($F$21,'Raw Pressure Data'!$1:$1,0))+$G$21))),"")</f>
        <v/>
      </c>
      <c r="AE70" s="24">
        <f>IFERROR(IF($F$22="","",IF($K$5+ROW()-26&gt;$K$6,"",IF(INDEX('Raw Pressure Data'!$A:$ZZ,$K$5+ROW()-26+$H$22,MATCH($F$22,'Raw Pressure Data'!$1:$1,0))=-999,"",INDEX('Raw Pressure Data'!$A:$ZZ,$K$5+ROW()-26+$H$22,MATCH($F$22,'Raw Pressure Data'!$1:$1,0))+$G$22))),"")</f>
        <v/>
      </c>
    </row>
    <row r="71" ht="15" customHeight="1">
      <c r="A71" s="25">
        <f>IFERROR(IF($K$5+ROW()-26&gt;$K$6,"",IF(INDEX('Raw Flow Data'!$A:$A,$K$5+ROW()-26)="","",INDEX('Raw Flow Data'!$A:$A,$K$5+ROW()-26))),"")</f>
        <v/>
      </c>
      <c r="B71" s="26">
        <f>IFERROR(IF($B$3="","",IF($K$5+ROW()-26&gt;$K$6,"",IF(INDEX('Raw Flow Data'!$A:$ZZ,$K$5+ROW()-26+$D$3,MATCH($B$3,'Raw Flow Data'!$1:$1,0))=-999,"",INDEX('Raw Flow Data'!$A:$ZZ,$K$5+ROW()-26+$D$3,MATCH($B$3,'Raw Flow Data'!$1:$1,0))*$C$3))),"")</f>
        <v/>
      </c>
      <c r="C71" s="26">
        <f>IFERROR(IF($B$4="","",IF($K$5+ROW()-26&gt;$K$6,"",IF(INDEX('Raw Flow Data'!$A:$ZZ,$K$5+ROW()-26+$D$4,MATCH($B$4,'Raw Flow Data'!$1:$1,0))=-999,"",INDEX('Raw Flow Data'!$A:$ZZ,$K$5+ROW()-26+$D$4,MATCH($B$4,'Raw Flow Data'!$1:$1,0))*$C$4))),"")</f>
        <v/>
      </c>
      <c r="D71" s="26">
        <f>IFERROR(IF($B$5="","",IF($K$5+ROW()-26&gt;$K$6,"",IF(INDEX('Raw Flow Data'!$A:$ZZ,$K$5+ROW()-26+$D$5,MATCH($B$5,'Raw Flow Data'!$1:$1,0))=-999,"",INDEX('Raw Flow Data'!$A:$ZZ,$K$5+ROW()-26+$D$5,MATCH($B$5,'Raw Flow Data'!$1:$1,0))*$C$5))),"")</f>
        <v/>
      </c>
      <c r="E71" s="26">
        <f>IFERROR(IF($B$6="","",IF($K$5+ROW()-26&gt;$K$6,"",IF(INDEX('Raw Flow Data'!$A:$ZZ,$K$5+ROW()-26+$D$6,MATCH($B$6,'Raw Flow Data'!$1:$1,0))=-999,"",INDEX('Raw Flow Data'!$A:$ZZ,$K$5+ROW()-26+$D$6,MATCH($B$6,'Raw Flow Data'!$1:$1,0))*$C$6))),"")</f>
        <v/>
      </c>
      <c r="F71" s="26">
        <f>IFERROR(IF($B$7="","",IF($K$5+ROW()-26&gt;$K$6,"",IF(INDEX('Raw Flow Data'!$A:$ZZ,$K$5+ROW()-26+$D$7,MATCH($B$7,'Raw Flow Data'!$1:$1,0))=-999,"",INDEX('Raw Flow Data'!$A:$ZZ,$K$5+ROW()-26+$D$7,MATCH($B$7,'Raw Flow Data'!$1:$1,0))*$C$7))),"")</f>
        <v/>
      </c>
      <c r="G71" s="26">
        <f>IFERROR(IF($B$8="","",IF($K$5+ROW()-26&gt;$K$6,"",IF(INDEX('Raw Flow Data'!$A:$ZZ,$K$5+ROW()-26+$D$8,MATCH($B$8,'Raw Flow Data'!$1:$1,0))=-999,"",INDEX('Raw Flow Data'!$A:$ZZ,$K$5+ROW()-26+$D$8,MATCH($B$8,'Raw Flow Data'!$1:$1,0))*$C$8))),"")</f>
        <v/>
      </c>
      <c r="H71" s="26">
        <f>IFERROR(IF($B$9="","",IF($K$5+ROW()-26&gt;$K$6,"",IF(INDEX('Raw Flow Data'!$A:$ZZ,$K$5+ROW()-26+$D$9,MATCH($B$9,'Raw Flow Data'!$1:$1,0))=-999,"",INDEX('Raw Flow Data'!$A:$ZZ,$K$5+ROW()-26+$D$9,MATCH($B$9,'Raw Flow Data'!$1:$1,0))*$C$9))),"")</f>
        <v/>
      </c>
      <c r="I71" s="26">
        <f>IFERROR(IF($B$10="","",IF($K$5+ROW()-26&gt;$K$6,"",IF(INDEX('Raw Flow Data'!$A:$ZZ,$K$5+ROW()-26+$D$10,MATCH($B$10,'Raw Flow Data'!$1:$1,0))=-999,"",INDEX('Raw Flow Data'!$A:$ZZ,$K$5+ROW()-26+$D$10,MATCH($B$10,'Raw Flow Data'!$1:$1,0))*$C$10))),"")</f>
        <v/>
      </c>
      <c r="J71" s="26">
        <f>IFERROR(IF($B$11="","",IF($K$5+ROW()-26&gt;$K$6,"",IF(INDEX('Raw Flow Data'!$A:$ZZ,$K$5+ROW()-26+$D$11,MATCH($B$11,'Raw Flow Data'!$1:$1,0))=-999,"",INDEX('Raw Flow Data'!$A:$ZZ,$K$5+ROW()-26+$D$11,MATCH($B$11,'Raw Flow Data'!$1:$1,0))*$C$11))),"")</f>
        <v/>
      </c>
      <c r="K71" s="26">
        <f>IFERROR(IF($B$12="","",IF($K$5+ROW()-26&gt;$K$6,"",IF(INDEX('Raw Flow Data'!$A:$ZZ,$K$5+ROW()-26+$D$12,MATCH($B$12,'Raw Flow Data'!$1:$1,0))=-999,"",INDEX('Raw Flow Data'!$A:$ZZ,$K$5+ROW()-26+$D$12,MATCH($B$12,'Raw Flow Data'!$1:$1,0))*$C$12))),"")</f>
        <v/>
      </c>
      <c r="L71" s="26">
        <f>IFERROR(IF($F$3="","",IF($K$5+ROW()-26&gt;$K$6,"",IF(INDEX('Raw Pressure Data'!$A:$ZZ,$K$5+ROW()-26+$H$3,MATCH($F$3,'Raw Pressure Data'!$1:$1,0))=-999,"",INDEX('Raw Pressure Data'!$A:$ZZ,$K$5+ROW()-26+$H$3,MATCH($F$3,'Raw Pressure Data'!$1:$1,0))+$G$3))),"")</f>
        <v/>
      </c>
      <c r="M71" s="26">
        <f>IFERROR(IF($F$4="","",IF($K$5+ROW()-26&gt;$K$6,"",IF(INDEX('Raw Pressure Data'!$A:$ZZ,$K$5+ROW()-26+$H$4,MATCH($F$4,'Raw Pressure Data'!$1:$1,0))=-999,"",INDEX('Raw Pressure Data'!$A:$ZZ,$K$5+ROW()-26+$H$4,MATCH($F$4,'Raw Pressure Data'!$1:$1,0))+$G$4))),"")</f>
        <v/>
      </c>
      <c r="N71" s="26">
        <f>IFERROR(IF($F$5="","",IF($K$5+ROW()-26&gt;$K$6,"",IF(INDEX('Raw Pressure Data'!$A:$ZZ,$K$5+ROW()-26+$H$5,MATCH($F$5,'Raw Pressure Data'!$1:$1,0))=-999,"",INDEX('Raw Pressure Data'!$A:$ZZ,$K$5+ROW()-26+$H$5,MATCH($F$5,'Raw Pressure Data'!$1:$1,0))+$G$5))),"")</f>
        <v/>
      </c>
      <c r="O71" s="26">
        <f>IFERROR(IF($F$6="","",IF($K$5+ROW()-26&gt;$K$6,"",IF(INDEX('Raw Pressure Data'!$A:$ZZ,$K$5+ROW()-26+$H$6,MATCH($F$6,'Raw Pressure Data'!$1:$1,0))=-999,"",INDEX('Raw Pressure Data'!$A:$ZZ,$K$5+ROW()-26+$H$6,MATCH($F$6,'Raw Pressure Data'!$1:$1,0))+$G$6))),"")</f>
        <v/>
      </c>
      <c r="P71" s="26">
        <f>IFERROR(IF($F$7="","",IF($K$5+ROW()-26&gt;$K$6,"",IF(INDEX('Raw Pressure Data'!$A:$ZZ,$K$5+ROW()-26+$H$7,MATCH($F$7,'Raw Pressure Data'!$1:$1,0))=-999,"",INDEX('Raw Pressure Data'!$A:$ZZ,$K$5+ROW()-26+$H$7,MATCH($F$7,'Raw Pressure Data'!$1:$1,0))+$G$7))),"")</f>
        <v/>
      </c>
      <c r="Q71" s="26">
        <f>IFERROR(IF($F$8="","",IF($K$5+ROW()-26&gt;$K$6,"",IF(INDEX('Raw Pressure Data'!$A:$ZZ,$K$5+ROW()-26+$H$8,MATCH($F$8,'Raw Pressure Data'!$1:$1,0))=-999,"",INDEX('Raw Pressure Data'!$A:$ZZ,$K$5+ROW()-26+$H$8,MATCH($F$8,'Raw Pressure Data'!$1:$1,0))+$G$8))),"")</f>
        <v/>
      </c>
      <c r="R71" s="26">
        <f>IFERROR(IF($F$9="","",IF($K$5+ROW()-26&gt;$K$6,"",IF(INDEX('Raw Pressure Data'!$A:$ZZ,$K$5+ROW()-26+$H$9,MATCH($F$9,'Raw Pressure Data'!$1:$1,0))=-999,"",INDEX('Raw Pressure Data'!$A:$ZZ,$K$5+ROW()-26+$H$9,MATCH($F$9,'Raw Pressure Data'!$1:$1,0))+$G$9))),"")</f>
        <v/>
      </c>
      <c r="S71" s="26">
        <f>IFERROR(IF($F$10="","",IF($K$5+ROW()-26&gt;$K$6,"",IF(INDEX('Raw Pressure Data'!$A:$ZZ,$K$5+ROW()-26+$H$10,MATCH($F$10,'Raw Pressure Data'!$1:$1,0))=-999,"",INDEX('Raw Pressure Data'!$A:$ZZ,$K$5+ROW()-26+$H$10,MATCH($F$10,'Raw Pressure Data'!$1:$1,0))+$G$10))),"")</f>
        <v/>
      </c>
      <c r="T71" s="26">
        <f>IFERROR(IF($F$11="","",IF($K$5+ROW()-26&gt;$K$6,"",IF(INDEX('Raw Pressure Data'!$A:$ZZ,$K$5+ROW()-26+$H$11,MATCH($F$11,'Raw Pressure Data'!$1:$1,0))=-999,"",INDEX('Raw Pressure Data'!$A:$ZZ,$K$5+ROW()-26+$H$11,MATCH($F$11,'Raw Pressure Data'!$1:$1,0))+$G$11))),"")</f>
        <v/>
      </c>
      <c r="U71" s="26">
        <f>IFERROR(IF($F$12="","",IF($K$5+ROW()-26&gt;$K$6,"",IF(INDEX('Raw Pressure Data'!$A:$ZZ,$K$5+ROW()-26+$H$12,MATCH($F$12,'Raw Pressure Data'!$1:$1,0))=-999,"",INDEX('Raw Pressure Data'!$A:$ZZ,$K$5+ROW()-26+$H$12,MATCH($F$12,'Raw Pressure Data'!$1:$1,0))+$G$12))),"")</f>
        <v/>
      </c>
      <c r="V71" s="26">
        <f>IFERROR(IF($F$13="","",IF($K$5+ROW()-26&gt;$K$6,"",IF(INDEX('Raw Pressure Data'!$A:$ZZ,$K$5+ROW()-26+$H$13,MATCH($F$13,'Raw Pressure Data'!$1:$1,0))=-999,"",INDEX('Raw Pressure Data'!$A:$ZZ,$K$5+ROW()-26+$H$13,MATCH($F$13,'Raw Pressure Data'!$1:$1,0))+$G$13))),"")</f>
        <v/>
      </c>
      <c r="W71" s="26">
        <f>IFERROR(IF($F$14="","",IF($K$5+ROW()-26&gt;$K$6,"",IF(INDEX('Raw Pressure Data'!$A:$ZZ,$K$5+ROW()-26+$H$14,MATCH($F$14,'Raw Pressure Data'!$1:$1,0))=-999,"",INDEX('Raw Pressure Data'!$A:$ZZ,$K$5+ROW()-26+$H$14,MATCH($F$14,'Raw Pressure Data'!$1:$1,0))+$G$14))),"")</f>
        <v/>
      </c>
      <c r="X71" s="26">
        <f>IFERROR(IF($F$15="","",IF($K$5+ROW()-26&gt;$K$6,"",IF(INDEX('Raw Pressure Data'!$A:$ZZ,$K$5+ROW()-26+$H$15,MATCH($F$15,'Raw Pressure Data'!$1:$1,0))=-999,"",INDEX('Raw Pressure Data'!$A:$ZZ,$K$5+ROW()-26+$H$15,MATCH($F$15,'Raw Pressure Data'!$1:$1,0))+$G$15))),"")</f>
        <v/>
      </c>
      <c r="Y71" s="26">
        <f>IFERROR(IF($F$16="","",IF($K$5+ROW()-26&gt;$K$6,"",IF(INDEX('Raw Pressure Data'!$A:$ZZ,$K$5+ROW()-26+$H$16,MATCH($F$16,'Raw Pressure Data'!$1:$1,0))=-999,"",INDEX('Raw Pressure Data'!$A:$ZZ,$K$5+ROW()-26+$H$16,MATCH($F$16,'Raw Pressure Data'!$1:$1,0))+$G$16))),"")</f>
        <v/>
      </c>
      <c r="Z71" s="26">
        <f>IFERROR(IF($F$17="","",IF($K$5+ROW()-26&gt;$K$6,"",IF(INDEX('Raw Pressure Data'!$A:$ZZ,$K$5+ROW()-26+$H$17,MATCH($F$17,'Raw Pressure Data'!$1:$1,0))=-999,"",INDEX('Raw Pressure Data'!$A:$ZZ,$K$5+ROW()-26+$H$17,MATCH($F$17,'Raw Pressure Data'!$1:$1,0))+$G$17))),"")</f>
        <v/>
      </c>
      <c r="AA71" s="26">
        <f>IFERROR(IF($F$18="","",IF($K$5+ROW()-26&gt;$K$6,"",IF(INDEX('Raw Pressure Data'!$A:$ZZ,$K$5+ROW()-26+$H$18,MATCH($F$18,'Raw Pressure Data'!$1:$1,0))=-999,"",INDEX('Raw Pressure Data'!$A:$ZZ,$K$5+ROW()-26+$H$18,MATCH($F$18,'Raw Pressure Data'!$1:$1,0))+$G$18))),"")</f>
        <v/>
      </c>
      <c r="AB71" s="26">
        <f>IFERROR(IF($F$19="","",IF($K$5+ROW()-26&gt;$K$6,"",IF(INDEX('Raw Pressure Data'!$A:$ZZ,$K$5+ROW()-26+$H$19,MATCH($F$19,'Raw Pressure Data'!$1:$1,0))=-999,"",INDEX('Raw Pressure Data'!$A:$ZZ,$K$5+ROW()-26+$H$19,MATCH($F$19,'Raw Pressure Data'!$1:$1,0))+$G$19))),"")</f>
        <v/>
      </c>
      <c r="AC71" s="26">
        <f>IFERROR(IF($F$20="","",IF($K$5+ROW()-26&gt;$K$6,"",IF(INDEX('Raw Pressure Data'!$A:$ZZ,$K$5+ROW()-26+$H$20,MATCH($F$20,'Raw Pressure Data'!$1:$1,0))=-999,"",INDEX('Raw Pressure Data'!$A:$ZZ,$K$5+ROW()-26+$H$20,MATCH($F$20,'Raw Pressure Data'!$1:$1,0))+$G$20))),"")</f>
        <v/>
      </c>
      <c r="AD71" s="26">
        <f>IFERROR(IF($F$21="","",IF($K$5+ROW()-26&gt;$K$6,"",IF(INDEX('Raw Pressure Data'!$A:$ZZ,$K$5+ROW()-26+$H$21,MATCH($F$21,'Raw Pressure Data'!$1:$1,0))=-999,"",INDEX('Raw Pressure Data'!$A:$ZZ,$K$5+ROW()-26+$H$21,MATCH($F$21,'Raw Pressure Data'!$1:$1,0))+$G$21))),"")</f>
        <v/>
      </c>
      <c r="AE71" s="26">
        <f>IFERROR(IF($F$22="","",IF($K$5+ROW()-26&gt;$K$6,"",IF(INDEX('Raw Pressure Data'!$A:$ZZ,$K$5+ROW()-26+$H$22,MATCH($F$22,'Raw Pressure Data'!$1:$1,0))=-999,"",INDEX('Raw Pressure Data'!$A:$ZZ,$K$5+ROW()-26+$H$22,MATCH($F$22,'Raw Pressure Data'!$1:$1,0))+$G$22))),"")</f>
        <v/>
      </c>
    </row>
    <row r="72" ht="15" customHeight="1">
      <c r="A72" s="23">
        <f>IFERROR(IF($K$5+ROW()-26&gt;$K$6,"",IF(INDEX('Raw Flow Data'!$A:$A,$K$5+ROW()-26)="","",INDEX('Raw Flow Data'!$A:$A,$K$5+ROW()-26))),"")</f>
        <v/>
      </c>
      <c r="B72" s="24">
        <f>IFERROR(IF($B$3="","",IF($K$5+ROW()-26&gt;$K$6,"",IF(INDEX('Raw Flow Data'!$A:$ZZ,$K$5+ROW()-26+$D$3,MATCH($B$3,'Raw Flow Data'!$1:$1,0))=-999,"",INDEX('Raw Flow Data'!$A:$ZZ,$K$5+ROW()-26+$D$3,MATCH($B$3,'Raw Flow Data'!$1:$1,0))*$C$3))),"")</f>
        <v/>
      </c>
      <c r="C72" s="24">
        <f>IFERROR(IF($B$4="","",IF($K$5+ROW()-26&gt;$K$6,"",IF(INDEX('Raw Flow Data'!$A:$ZZ,$K$5+ROW()-26+$D$4,MATCH($B$4,'Raw Flow Data'!$1:$1,0))=-999,"",INDEX('Raw Flow Data'!$A:$ZZ,$K$5+ROW()-26+$D$4,MATCH($B$4,'Raw Flow Data'!$1:$1,0))*$C$4))),"")</f>
        <v/>
      </c>
      <c r="D72" s="24">
        <f>IFERROR(IF($B$5="","",IF($K$5+ROW()-26&gt;$K$6,"",IF(INDEX('Raw Flow Data'!$A:$ZZ,$K$5+ROW()-26+$D$5,MATCH($B$5,'Raw Flow Data'!$1:$1,0))=-999,"",INDEX('Raw Flow Data'!$A:$ZZ,$K$5+ROW()-26+$D$5,MATCH($B$5,'Raw Flow Data'!$1:$1,0))*$C$5))),"")</f>
        <v/>
      </c>
      <c r="E72" s="24">
        <f>IFERROR(IF($B$6="","",IF($K$5+ROW()-26&gt;$K$6,"",IF(INDEX('Raw Flow Data'!$A:$ZZ,$K$5+ROW()-26+$D$6,MATCH($B$6,'Raw Flow Data'!$1:$1,0))=-999,"",INDEX('Raw Flow Data'!$A:$ZZ,$K$5+ROW()-26+$D$6,MATCH($B$6,'Raw Flow Data'!$1:$1,0))*$C$6))),"")</f>
        <v/>
      </c>
      <c r="F72" s="24">
        <f>IFERROR(IF($B$7="","",IF($K$5+ROW()-26&gt;$K$6,"",IF(INDEX('Raw Flow Data'!$A:$ZZ,$K$5+ROW()-26+$D$7,MATCH($B$7,'Raw Flow Data'!$1:$1,0))=-999,"",INDEX('Raw Flow Data'!$A:$ZZ,$K$5+ROW()-26+$D$7,MATCH($B$7,'Raw Flow Data'!$1:$1,0))*$C$7))),"")</f>
        <v/>
      </c>
      <c r="G72" s="24">
        <f>IFERROR(IF($B$8="","",IF($K$5+ROW()-26&gt;$K$6,"",IF(INDEX('Raw Flow Data'!$A:$ZZ,$K$5+ROW()-26+$D$8,MATCH($B$8,'Raw Flow Data'!$1:$1,0))=-999,"",INDEX('Raw Flow Data'!$A:$ZZ,$K$5+ROW()-26+$D$8,MATCH($B$8,'Raw Flow Data'!$1:$1,0))*$C$8))),"")</f>
        <v/>
      </c>
      <c r="H72" s="24">
        <f>IFERROR(IF($B$9="","",IF($K$5+ROW()-26&gt;$K$6,"",IF(INDEX('Raw Flow Data'!$A:$ZZ,$K$5+ROW()-26+$D$9,MATCH($B$9,'Raw Flow Data'!$1:$1,0))=-999,"",INDEX('Raw Flow Data'!$A:$ZZ,$K$5+ROW()-26+$D$9,MATCH($B$9,'Raw Flow Data'!$1:$1,0))*$C$9))),"")</f>
        <v/>
      </c>
      <c r="I72" s="24">
        <f>IFERROR(IF($B$10="","",IF($K$5+ROW()-26&gt;$K$6,"",IF(INDEX('Raw Flow Data'!$A:$ZZ,$K$5+ROW()-26+$D$10,MATCH($B$10,'Raw Flow Data'!$1:$1,0))=-999,"",INDEX('Raw Flow Data'!$A:$ZZ,$K$5+ROW()-26+$D$10,MATCH($B$10,'Raw Flow Data'!$1:$1,0))*$C$10))),"")</f>
        <v/>
      </c>
      <c r="J72" s="24">
        <f>IFERROR(IF($B$11="","",IF($K$5+ROW()-26&gt;$K$6,"",IF(INDEX('Raw Flow Data'!$A:$ZZ,$K$5+ROW()-26+$D$11,MATCH($B$11,'Raw Flow Data'!$1:$1,0))=-999,"",INDEX('Raw Flow Data'!$A:$ZZ,$K$5+ROW()-26+$D$11,MATCH($B$11,'Raw Flow Data'!$1:$1,0))*$C$11))),"")</f>
        <v/>
      </c>
      <c r="K72" s="24">
        <f>IFERROR(IF($B$12="","",IF($K$5+ROW()-26&gt;$K$6,"",IF(INDEX('Raw Flow Data'!$A:$ZZ,$K$5+ROW()-26+$D$12,MATCH($B$12,'Raw Flow Data'!$1:$1,0))=-999,"",INDEX('Raw Flow Data'!$A:$ZZ,$K$5+ROW()-26+$D$12,MATCH($B$12,'Raw Flow Data'!$1:$1,0))*$C$12))),"")</f>
        <v/>
      </c>
      <c r="L72" s="24">
        <f>IFERROR(IF($F$3="","",IF($K$5+ROW()-26&gt;$K$6,"",IF(INDEX('Raw Pressure Data'!$A:$ZZ,$K$5+ROW()-26+$H$3,MATCH($F$3,'Raw Pressure Data'!$1:$1,0))=-999,"",INDEX('Raw Pressure Data'!$A:$ZZ,$K$5+ROW()-26+$H$3,MATCH($F$3,'Raw Pressure Data'!$1:$1,0))+$G$3))),"")</f>
        <v/>
      </c>
      <c r="M72" s="24">
        <f>IFERROR(IF($F$4="","",IF($K$5+ROW()-26&gt;$K$6,"",IF(INDEX('Raw Pressure Data'!$A:$ZZ,$K$5+ROW()-26+$H$4,MATCH($F$4,'Raw Pressure Data'!$1:$1,0))=-999,"",INDEX('Raw Pressure Data'!$A:$ZZ,$K$5+ROW()-26+$H$4,MATCH($F$4,'Raw Pressure Data'!$1:$1,0))+$G$4))),"")</f>
        <v/>
      </c>
      <c r="N72" s="24">
        <f>IFERROR(IF($F$5="","",IF($K$5+ROW()-26&gt;$K$6,"",IF(INDEX('Raw Pressure Data'!$A:$ZZ,$K$5+ROW()-26+$H$5,MATCH($F$5,'Raw Pressure Data'!$1:$1,0))=-999,"",INDEX('Raw Pressure Data'!$A:$ZZ,$K$5+ROW()-26+$H$5,MATCH($F$5,'Raw Pressure Data'!$1:$1,0))+$G$5))),"")</f>
        <v/>
      </c>
      <c r="O72" s="24">
        <f>IFERROR(IF($F$6="","",IF($K$5+ROW()-26&gt;$K$6,"",IF(INDEX('Raw Pressure Data'!$A:$ZZ,$K$5+ROW()-26+$H$6,MATCH($F$6,'Raw Pressure Data'!$1:$1,0))=-999,"",INDEX('Raw Pressure Data'!$A:$ZZ,$K$5+ROW()-26+$H$6,MATCH($F$6,'Raw Pressure Data'!$1:$1,0))+$G$6))),"")</f>
        <v/>
      </c>
      <c r="P72" s="24">
        <f>IFERROR(IF($F$7="","",IF($K$5+ROW()-26&gt;$K$6,"",IF(INDEX('Raw Pressure Data'!$A:$ZZ,$K$5+ROW()-26+$H$7,MATCH($F$7,'Raw Pressure Data'!$1:$1,0))=-999,"",INDEX('Raw Pressure Data'!$A:$ZZ,$K$5+ROW()-26+$H$7,MATCH($F$7,'Raw Pressure Data'!$1:$1,0))+$G$7))),"")</f>
        <v/>
      </c>
      <c r="Q72" s="24">
        <f>IFERROR(IF($F$8="","",IF($K$5+ROW()-26&gt;$K$6,"",IF(INDEX('Raw Pressure Data'!$A:$ZZ,$K$5+ROW()-26+$H$8,MATCH($F$8,'Raw Pressure Data'!$1:$1,0))=-999,"",INDEX('Raw Pressure Data'!$A:$ZZ,$K$5+ROW()-26+$H$8,MATCH($F$8,'Raw Pressure Data'!$1:$1,0))+$G$8))),"")</f>
        <v/>
      </c>
      <c r="R72" s="24">
        <f>IFERROR(IF($F$9="","",IF($K$5+ROW()-26&gt;$K$6,"",IF(INDEX('Raw Pressure Data'!$A:$ZZ,$K$5+ROW()-26+$H$9,MATCH($F$9,'Raw Pressure Data'!$1:$1,0))=-999,"",INDEX('Raw Pressure Data'!$A:$ZZ,$K$5+ROW()-26+$H$9,MATCH($F$9,'Raw Pressure Data'!$1:$1,0))+$G$9))),"")</f>
        <v/>
      </c>
      <c r="S72" s="24">
        <f>IFERROR(IF($F$10="","",IF($K$5+ROW()-26&gt;$K$6,"",IF(INDEX('Raw Pressure Data'!$A:$ZZ,$K$5+ROW()-26+$H$10,MATCH($F$10,'Raw Pressure Data'!$1:$1,0))=-999,"",INDEX('Raw Pressure Data'!$A:$ZZ,$K$5+ROW()-26+$H$10,MATCH($F$10,'Raw Pressure Data'!$1:$1,0))+$G$10))),"")</f>
        <v/>
      </c>
      <c r="T72" s="24">
        <f>IFERROR(IF($F$11="","",IF($K$5+ROW()-26&gt;$K$6,"",IF(INDEX('Raw Pressure Data'!$A:$ZZ,$K$5+ROW()-26+$H$11,MATCH($F$11,'Raw Pressure Data'!$1:$1,0))=-999,"",INDEX('Raw Pressure Data'!$A:$ZZ,$K$5+ROW()-26+$H$11,MATCH($F$11,'Raw Pressure Data'!$1:$1,0))+$G$11))),"")</f>
        <v/>
      </c>
      <c r="U72" s="24">
        <f>IFERROR(IF($F$12="","",IF($K$5+ROW()-26&gt;$K$6,"",IF(INDEX('Raw Pressure Data'!$A:$ZZ,$K$5+ROW()-26+$H$12,MATCH($F$12,'Raw Pressure Data'!$1:$1,0))=-999,"",INDEX('Raw Pressure Data'!$A:$ZZ,$K$5+ROW()-26+$H$12,MATCH($F$12,'Raw Pressure Data'!$1:$1,0))+$G$12))),"")</f>
        <v/>
      </c>
      <c r="V72" s="24">
        <f>IFERROR(IF($F$13="","",IF($K$5+ROW()-26&gt;$K$6,"",IF(INDEX('Raw Pressure Data'!$A:$ZZ,$K$5+ROW()-26+$H$13,MATCH($F$13,'Raw Pressure Data'!$1:$1,0))=-999,"",INDEX('Raw Pressure Data'!$A:$ZZ,$K$5+ROW()-26+$H$13,MATCH($F$13,'Raw Pressure Data'!$1:$1,0))+$G$13))),"")</f>
        <v/>
      </c>
      <c r="W72" s="24">
        <f>IFERROR(IF($F$14="","",IF($K$5+ROW()-26&gt;$K$6,"",IF(INDEX('Raw Pressure Data'!$A:$ZZ,$K$5+ROW()-26+$H$14,MATCH($F$14,'Raw Pressure Data'!$1:$1,0))=-999,"",INDEX('Raw Pressure Data'!$A:$ZZ,$K$5+ROW()-26+$H$14,MATCH($F$14,'Raw Pressure Data'!$1:$1,0))+$G$14))),"")</f>
        <v/>
      </c>
      <c r="X72" s="24">
        <f>IFERROR(IF($F$15="","",IF($K$5+ROW()-26&gt;$K$6,"",IF(INDEX('Raw Pressure Data'!$A:$ZZ,$K$5+ROW()-26+$H$15,MATCH($F$15,'Raw Pressure Data'!$1:$1,0))=-999,"",INDEX('Raw Pressure Data'!$A:$ZZ,$K$5+ROW()-26+$H$15,MATCH($F$15,'Raw Pressure Data'!$1:$1,0))+$G$15))),"")</f>
        <v/>
      </c>
      <c r="Y72" s="24">
        <f>IFERROR(IF($F$16="","",IF($K$5+ROW()-26&gt;$K$6,"",IF(INDEX('Raw Pressure Data'!$A:$ZZ,$K$5+ROW()-26+$H$16,MATCH($F$16,'Raw Pressure Data'!$1:$1,0))=-999,"",INDEX('Raw Pressure Data'!$A:$ZZ,$K$5+ROW()-26+$H$16,MATCH($F$16,'Raw Pressure Data'!$1:$1,0))+$G$16))),"")</f>
        <v/>
      </c>
      <c r="Z72" s="24">
        <f>IFERROR(IF($F$17="","",IF($K$5+ROW()-26&gt;$K$6,"",IF(INDEX('Raw Pressure Data'!$A:$ZZ,$K$5+ROW()-26+$H$17,MATCH($F$17,'Raw Pressure Data'!$1:$1,0))=-999,"",INDEX('Raw Pressure Data'!$A:$ZZ,$K$5+ROW()-26+$H$17,MATCH($F$17,'Raw Pressure Data'!$1:$1,0))+$G$17))),"")</f>
        <v/>
      </c>
      <c r="AA72" s="24">
        <f>IFERROR(IF($F$18="","",IF($K$5+ROW()-26&gt;$K$6,"",IF(INDEX('Raw Pressure Data'!$A:$ZZ,$K$5+ROW()-26+$H$18,MATCH($F$18,'Raw Pressure Data'!$1:$1,0))=-999,"",INDEX('Raw Pressure Data'!$A:$ZZ,$K$5+ROW()-26+$H$18,MATCH($F$18,'Raw Pressure Data'!$1:$1,0))+$G$18))),"")</f>
        <v/>
      </c>
      <c r="AB72" s="24">
        <f>IFERROR(IF($F$19="","",IF($K$5+ROW()-26&gt;$K$6,"",IF(INDEX('Raw Pressure Data'!$A:$ZZ,$K$5+ROW()-26+$H$19,MATCH($F$19,'Raw Pressure Data'!$1:$1,0))=-999,"",INDEX('Raw Pressure Data'!$A:$ZZ,$K$5+ROW()-26+$H$19,MATCH($F$19,'Raw Pressure Data'!$1:$1,0))+$G$19))),"")</f>
        <v/>
      </c>
      <c r="AC72" s="24">
        <f>IFERROR(IF($F$20="","",IF($K$5+ROW()-26&gt;$K$6,"",IF(INDEX('Raw Pressure Data'!$A:$ZZ,$K$5+ROW()-26+$H$20,MATCH($F$20,'Raw Pressure Data'!$1:$1,0))=-999,"",INDEX('Raw Pressure Data'!$A:$ZZ,$K$5+ROW()-26+$H$20,MATCH($F$20,'Raw Pressure Data'!$1:$1,0))+$G$20))),"")</f>
        <v/>
      </c>
      <c r="AD72" s="24">
        <f>IFERROR(IF($F$21="","",IF($K$5+ROW()-26&gt;$K$6,"",IF(INDEX('Raw Pressure Data'!$A:$ZZ,$K$5+ROW()-26+$H$21,MATCH($F$21,'Raw Pressure Data'!$1:$1,0))=-999,"",INDEX('Raw Pressure Data'!$A:$ZZ,$K$5+ROW()-26+$H$21,MATCH($F$21,'Raw Pressure Data'!$1:$1,0))+$G$21))),"")</f>
        <v/>
      </c>
      <c r="AE72" s="24">
        <f>IFERROR(IF($F$22="","",IF($K$5+ROW()-26&gt;$K$6,"",IF(INDEX('Raw Pressure Data'!$A:$ZZ,$K$5+ROW()-26+$H$22,MATCH($F$22,'Raw Pressure Data'!$1:$1,0))=-999,"",INDEX('Raw Pressure Data'!$A:$ZZ,$K$5+ROW()-26+$H$22,MATCH($F$22,'Raw Pressure Data'!$1:$1,0))+$G$22))),"")</f>
        <v/>
      </c>
    </row>
    <row r="73" ht="15" customHeight="1">
      <c r="A73" s="25">
        <f>IFERROR(IF($K$5+ROW()-26&gt;$K$6,"",IF(INDEX('Raw Flow Data'!$A:$A,$K$5+ROW()-26)="","",INDEX('Raw Flow Data'!$A:$A,$K$5+ROW()-26))),"")</f>
        <v/>
      </c>
      <c r="B73" s="26">
        <f>IFERROR(IF($B$3="","",IF($K$5+ROW()-26&gt;$K$6,"",IF(INDEX('Raw Flow Data'!$A:$ZZ,$K$5+ROW()-26+$D$3,MATCH($B$3,'Raw Flow Data'!$1:$1,0))=-999,"",INDEX('Raw Flow Data'!$A:$ZZ,$K$5+ROW()-26+$D$3,MATCH($B$3,'Raw Flow Data'!$1:$1,0))*$C$3))),"")</f>
        <v/>
      </c>
      <c r="C73" s="26">
        <f>IFERROR(IF($B$4="","",IF($K$5+ROW()-26&gt;$K$6,"",IF(INDEX('Raw Flow Data'!$A:$ZZ,$K$5+ROW()-26+$D$4,MATCH($B$4,'Raw Flow Data'!$1:$1,0))=-999,"",INDEX('Raw Flow Data'!$A:$ZZ,$K$5+ROW()-26+$D$4,MATCH($B$4,'Raw Flow Data'!$1:$1,0))*$C$4))),"")</f>
        <v/>
      </c>
      <c r="D73" s="26">
        <f>IFERROR(IF($B$5="","",IF($K$5+ROW()-26&gt;$K$6,"",IF(INDEX('Raw Flow Data'!$A:$ZZ,$K$5+ROW()-26+$D$5,MATCH($B$5,'Raw Flow Data'!$1:$1,0))=-999,"",INDEX('Raw Flow Data'!$A:$ZZ,$K$5+ROW()-26+$D$5,MATCH($B$5,'Raw Flow Data'!$1:$1,0))*$C$5))),"")</f>
        <v/>
      </c>
      <c r="E73" s="26">
        <f>IFERROR(IF($B$6="","",IF($K$5+ROW()-26&gt;$K$6,"",IF(INDEX('Raw Flow Data'!$A:$ZZ,$K$5+ROW()-26+$D$6,MATCH($B$6,'Raw Flow Data'!$1:$1,0))=-999,"",INDEX('Raw Flow Data'!$A:$ZZ,$K$5+ROW()-26+$D$6,MATCH($B$6,'Raw Flow Data'!$1:$1,0))*$C$6))),"")</f>
        <v/>
      </c>
      <c r="F73" s="26">
        <f>IFERROR(IF($B$7="","",IF($K$5+ROW()-26&gt;$K$6,"",IF(INDEX('Raw Flow Data'!$A:$ZZ,$K$5+ROW()-26+$D$7,MATCH($B$7,'Raw Flow Data'!$1:$1,0))=-999,"",INDEX('Raw Flow Data'!$A:$ZZ,$K$5+ROW()-26+$D$7,MATCH($B$7,'Raw Flow Data'!$1:$1,0))*$C$7))),"")</f>
        <v/>
      </c>
      <c r="G73" s="26">
        <f>IFERROR(IF($B$8="","",IF($K$5+ROW()-26&gt;$K$6,"",IF(INDEX('Raw Flow Data'!$A:$ZZ,$K$5+ROW()-26+$D$8,MATCH($B$8,'Raw Flow Data'!$1:$1,0))=-999,"",INDEX('Raw Flow Data'!$A:$ZZ,$K$5+ROW()-26+$D$8,MATCH($B$8,'Raw Flow Data'!$1:$1,0))*$C$8))),"")</f>
        <v/>
      </c>
      <c r="H73" s="26">
        <f>IFERROR(IF($B$9="","",IF($K$5+ROW()-26&gt;$K$6,"",IF(INDEX('Raw Flow Data'!$A:$ZZ,$K$5+ROW()-26+$D$9,MATCH($B$9,'Raw Flow Data'!$1:$1,0))=-999,"",INDEX('Raw Flow Data'!$A:$ZZ,$K$5+ROW()-26+$D$9,MATCH($B$9,'Raw Flow Data'!$1:$1,0))*$C$9))),"")</f>
        <v/>
      </c>
      <c r="I73" s="26">
        <f>IFERROR(IF($B$10="","",IF($K$5+ROW()-26&gt;$K$6,"",IF(INDEX('Raw Flow Data'!$A:$ZZ,$K$5+ROW()-26+$D$10,MATCH($B$10,'Raw Flow Data'!$1:$1,0))=-999,"",INDEX('Raw Flow Data'!$A:$ZZ,$K$5+ROW()-26+$D$10,MATCH($B$10,'Raw Flow Data'!$1:$1,0))*$C$10))),"")</f>
        <v/>
      </c>
      <c r="J73" s="26">
        <f>IFERROR(IF($B$11="","",IF($K$5+ROW()-26&gt;$K$6,"",IF(INDEX('Raw Flow Data'!$A:$ZZ,$K$5+ROW()-26+$D$11,MATCH($B$11,'Raw Flow Data'!$1:$1,0))=-999,"",INDEX('Raw Flow Data'!$A:$ZZ,$K$5+ROW()-26+$D$11,MATCH($B$11,'Raw Flow Data'!$1:$1,0))*$C$11))),"")</f>
        <v/>
      </c>
      <c r="K73" s="26">
        <f>IFERROR(IF($B$12="","",IF($K$5+ROW()-26&gt;$K$6,"",IF(INDEX('Raw Flow Data'!$A:$ZZ,$K$5+ROW()-26+$D$12,MATCH($B$12,'Raw Flow Data'!$1:$1,0))=-999,"",INDEX('Raw Flow Data'!$A:$ZZ,$K$5+ROW()-26+$D$12,MATCH($B$12,'Raw Flow Data'!$1:$1,0))*$C$12))),"")</f>
        <v/>
      </c>
      <c r="L73" s="26">
        <f>IFERROR(IF($F$3="","",IF($K$5+ROW()-26&gt;$K$6,"",IF(INDEX('Raw Pressure Data'!$A:$ZZ,$K$5+ROW()-26+$H$3,MATCH($F$3,'Raw Pressure Data'!$1:$1,0))=-999,"",INDEX('Raw Pressure Data'!$A:$ZZ,$K$5+ROW()-26+$H$3,MATCH($F$3,'Raw Pressure Data'!$1:$1,0))+$G$3))),"")</f>
        <v/>
      </c>
      <c r="M73" s="26">
        <f>IFERROR(IF($F$4="","",IF($K$5+ROW()-26&gt;$K$6,"",IF(INDEX('Raw Pressure Data'!$A:$ZZ,$K$5+ROW()-26+$H$4,MATCH($F$4,'Raw Pressure Data'!$1:$1,0))=-999,"",INDEX('Raw Pressure Data'!$A:$ZZ,$K$5+ROW()-26+$H$4,MATCH($F$4,'Raw Pressure Data'!$1:$1,0))+$G$4))),"")</f>
        <v/>
      </c>
      <c r="N73" s="26">
        <f>IFERROR(IF($F$5="","",IF($K$5+ROW()-26&gt;$K$6,"",IF(INDEX('Raw Pressure Data'!$A:$ZZ,$K$5+ROW()-26+$H$5,MATCH($F$5,'Raw Pressure Data'!$1:$1,0))=-999,"",INDEX('Raw Pressure Data'!$A:$ZZ,$K$5+ROW()-26+$H$5,MATCH($F$5,'Raw Pressure Data'!$1:$1,0))+$G$5))),"")</f>
        <v/>
      </c>
      <c r="O73" s="26">
        <f>IFERROR(IF($F$6="","",IF($K$5+ROW()-26&gt;$K$6,"",IF(INDEX('Raw Pressure Data'!$A:$ZZ,$K$5+ROW()-26+$H$6,MATCH($F$6,'Raw Pressure Data'!$1:$1,0))=-999,"",INDEX('Raw Pressure Data'!$A:$ZZ,$K$5+ROW()-26+$H$6,MATCH($F$6,'Raw Pressure Data'!$1:$1,0))+$G$6))),"")</f>
        <v/>
      </c>
      <c r="P73" s="26">
        <f>IFERROR(IF($F$7="","",IF($K$5+ROW()-26&gt;$K$6,"",IF(INDEX('Raw Pressure Data'!$A:$ZZ,$K$5+ROW()-26+$H$7,MATCH($F$7,'Raw Pressure Data'!$1:$1,0))=-999,"",INDEX('Raw Pressure Data'!$A:$ZZ,$K$5+ROW()-26+$H$7,MATCH($F$7,'Raw Pressure Data'!$1:$1,0))+$G$7))),"")</f>
        <v/>
      </c>
      <c r="Q73" s="26">
        <f>IFERROR(IF($F$8="","",IF($K$5+ROW()-26&gt;$K$6,"",IF(INDEX('Raw Pressure Data'!$A:$ZZ,$K$5+ROW()-26+$H$8,MATCH($F$8,'Raw Pressure Data'!$1:$1,0))=-999,"",INDEX('Raw Pressure Data'!$A:$ZZ,$K$5+ROW()-26+$H$8,MATCH($F$8,'Raw Pressure Data'!$1:$1,0))+$G$8))),"")</f>
        <v/>
      </c>
      <c r="R73" s="26">
        <f>IFERROR(IF($F$9="","",IF($K$5+ROW()-26&gt;$K$6,"",IF(INDEX('Raw Pressure Data'!$A:$ZZ,$K$5+ROW()-26+$H$9,MATCH($F$9,'Raw Pressure Data'!$1:$1,0))=-999,"",INDEX('Raw Pressure Data'!$A:$ZZ,$K$5+ROW()-26+$H$9,MATCH($F$9,'Raw Pressure Data'!$1:$1,0))+$G$9))),"")</f>
        <v/>
      </c>
      <c r="S73" s="26">
        <f>IFERROR(IF($F$10="","",IF($K$5+ROW()-26&gt;$K$6,"",IF(INDEX('Raw Pressure Data'!$A:$ZZ,$K$5+ROW()-26+$H$10,MATCH($F$10,'Raw Pressure Data'!$1:$1,0))=-999,"",INDEX('Raw Pressure Data'!$A:$ZZ,$K$5+ROW()-26+$H$10,MATCH($F$10,'Raw Pressure Data'!$1:$1,0))+$G$10))),"")</f>
        <v/>
      </c>
      <c r="T73" s="26">
        <f>IFERROR(IF($F$11="","",IF($K$5+ROW()-26&gt;$K$6,"",IF(INDEX('Raw Pressure Data'!$A:$ZZ,$K$5+ROW()-26+$H$11,MATCH($F$11,'Raw Pressure Data'!$1:$1,0))=-999,"",INDEX('Raw Pressure Data'!$A:$ZZ,$K$5+ROW()-26+$H$11,MATCH($F$11,'Raw Pressure Data'!$1:$1,0))+$G$11))),"")</f>
        <v/>
      </c>
      <c r="U73" s="26">
        <f>IFERROR(IF($F$12="","",IF($K$5+ROW()-26&gt;$K$6,"",IF(INDEX('Raw Pressure Data'!$A:$ZZ,$K$5+ROW()-26+$H$12,MATCH($F$12,'Raw Pressure Data'!$1:$1,0))=-999,"",INDEX('Raw Pressure Data'!$A:$ZZ,$K$5+ROW()-26+$H$12,MATCH($F$12,'Raw Pressure Data'!$1:$1,0))+$G$12))),"")</f>
        <v/>
      </c>
      <c r="V73" s="26">
        <f>IFERROR(IF($F$13="","",IF($K$5+ROW()-26&gt;$K$6,"",IF(INDEX('Raw Pressure Data'!$A:$ZZ,$K$5+ROW()-26+$H$13,MATCH($F$13,'Raw Pressure Data'!$1:$1,0))=-999,"",INDEX('Raw Pressure Data'!$A:$ZZ,$K$5+ROW()-26+$H$13,MATCH($F$13,'Raw Pressure Data'!$1:$1,0))+$G$13))),"")</f>
        <v/>
      </c>
      <c r="W73" s="26">
        <f>IFERROR(IF($F$14="","",IF($K$5+ROW()-26&gt;$K$6,"",IF(INDEX('Raw Pressure Data'!$A:$ZZ,$K$5+ROW()-26+$H$14,MATCH($F$14,'Raw Pressure Data'!$1:$1,0))=-999,"",INDEX('Raw Pressure Data'!$A:$ZZ,$K$5+ROW()-26+$H$14,MATCH($F$14,'Raw Pressure Data'!$1:$1,0))+$G$14))),"")</f>
        <v/>
      </c>
      <c r="X73" s="26">
        <f>IFERROR(IF($F$15="","",IF($K$5+ROW()-26&gt;$K$6,"",IF(INDEX('Raw Pressure Data'!$A:$ZZ,$K$5+ROW()-26+$H$15,MATCH($F$15,'Raw Pressure Data'!$1:$1,0))=-999,"",INDEX('Raw Pressure Data'!$A:$ZZ,$K$5+ROW()-26+$H$15,MATCH($F$15,'Raw Pressure Data'!$1:$1,0))+$G$15))),"")</f>
        <v/>
      </c>
      <c r="Y73" s="26">
        <f>IFERROR(IF($F$16="","",IF($K$5+ROW()-26&gt;$K$6,"",IF(INDEX('Raw Pressure Data'!$A:$ZZ,$K$5+ROW()-26+$H$16,MATCH($F$16,'Raw Pressure Data'!$1:$1,0))=-999,"",INDEX('Raw Pressure Data'!$A:$ZZ,$K$5+ROW()-26+$H$16,MATCH($F$16,'Raw Pressure Data'!$1:$1,0))+$G$16))),"")</f>
        <v/>
      </c>
      <c r="Z73" s="26">
        <f>IFERROR(IF($F$17="","",IF($K$5+ROW()-26&gt;$K$6,"",IF(INDEX('Raw Pressure Data'!$A:$ZZ,$K$5+ROW()-26+$H$17,MATCH($F$17,'Raw Pressure Data'!$1:$1,0))=-999,"",INDEX('Raw Pressure Data'!$A:$ZZ,$K$5+ROW()-26+$H$17,MATCH($F$17,'Raw Pressure Data'!$1:$1,0))+$G$17))),"")</f>
        <v/>
      </c>
      <c r="AA73" s="26">
        <f>IFERROR(IF($F$18="","",IF($K$5+ROW()-26&gt;$K$6,"",IF(INDEX('Raw Pressure Data'!$A:$ZZ,$K$5+ROW()-26+$H$18,MATCH($F$18,'Raw Pressure Data'!$1:$1,0))=-999,"",INDEX('Raw Pressure Data'!$A:$ZZ,$K$5+ROW()-26+$H$18,MATCH($F$18,'Raw Pressure Data'!$1:$1,0))+$G$18))),"")</f>
        <v/>
      </c>
      <c r="AB73" s="26">
        <f>IFERROR(IF($F$19="","",IF($K$5+ROW()-26&gt;$K$6,"",IF(INDEX('Raw Pressure Data'!$A:$ZZ,$K$5+ROW()-26+$H$19,MATCH($F$19,'Raw Pressure Data'!$1:$1,0))=-999,"",INDEX('Raw Pressure Data'!$A:$ZZ,$K$5+ROW()-26+$H$19,MATCH($F$19,'Raw Pressure Data'!$1:$1,0))+$G$19))),"")</f>
        <v/>
      </c>
      <c r="AC73" s="26">
        <f>IFERROR(IF($F$20="","",IF($K$5+ROW()-26&gt;$K$6,"",IF(INDEX('Raw Pressure Data'!$A:$ZZ,$K$5+ROW()-26+$H$20,MATCH($F$20,'Raw Pressure Data'!$1:$1,0))=-999,"",INDEX('Raw Pressure Data'!$A:$ZZ,$K$5+ROW()-26+$H$20,MATCH($F$20,'Raw Pressure Data'!$1:$1,0))+$G$20))),"")</f>
        <v/>
      </c>
      <c r="AD73" s="26">
        <f>IFERROR(IF($F$21="","",IF($K$5+ROW()-26&gt;$K$6,"",IF(INDEX('Raw Pressure Data'!$A:$ZZ,$K$5+ROW()-26+$H$21,MATCH($F$21,'Raw Pressure Data'!$1:$1,0))=-999,"",INDEX('Raw Pressure Data'!$A:$ZZ,$K$5+ROW()-26+$H$21,MATCH($F$21,'Raw Pressure Data'!$1:$1,0))+$G$21))),"")</f>
        <v/>
      </c>
      <c r="AE73" s="26">
        <f>IFERROR(IF($F$22="","",IF($K$5+ROW()-26&gt;$K$6,"",IF(INDEX('Raw Pressure Data'!$A:$ZZ,$K$5+ROW()-26+$H$22,MATCH($F$22,'Raw Pressure Data'!$1:$1,0))=-999,"",INDEX('Raw Pressure Data'!$A:$ZZ,$K$5+ROW()-26+$H$22,MATCH($F$22,'Raw Pressure Data'!$1:$1,0))+$G$22))),"")</f>
        <v/>
      </c>
    </row>
    <row r="74" ht="15" customHeight="1">
      <c r="A74" s="23">
        <f>IFERROR(IF($K$5+ROW()-26&gt;$K$6,"",IF(INDEX('Raw Flow Data'!$A:$A,$K$5+ROW()-26)="","",INDEX('Raw Flow Data'!$A:$A,$K$5+ROW()-26))),"")</f>
        <v/>
      </c>
      <c r="B74" s="24">
        <f>IFERROR(IF($B$3="","",IF($K$5+ROW()-26&gt;$K$6,"",IF(INDEX('Raw Flow Data'!$A:$ZZ,$K$5+ROW()-26+$D$3,MATCH($B$3,'Raw Flow Data'!$1:$1,0))=-999,"",INDEX('Raw Flow Data'!$A:$ZZ,$K$5+ROW()-26+$D$3,MATCH($B$3,'Raw Flow Data'!$1:$1,0))*$C$3))),"")</f>
        <v/>
      </c>
      <c r="C74" s="24">
        <f>IFERROR(IF($B$4="","",IF($K$5+ROW()-26&gt;$K$6,"",IF(INDEX('Raw Flow Data'!$A:$ZZ,$K$5+ROW()-26+$D$4,MATCH($B$4,'Raw Flow Data'!$1:$1,0))=-999,"",INDEX('Raw Flow Data'!$A:$ZZ,$K$5+ROW()-26+$D$4,MATCH($B$4,'Raw Flow Data'!$1:$1,0))*$C$4))),"")</f>
        <v/>
      </c>
      <c r="D74" s="24">
        <f>IFERROR(IF($B$5="","",IF($K$5+ROW()-26&gt;$K$6,"",IF(INDEX('Raw Flow Data'!$A:$ZZ,$K$5+ROW()-26+$D$5,MATCH($B$5,'Raw Flow Data'!$1:$1,0))=-999,"",INDEX('Raw Flow Data'!$A:$ZZ,$K$5+ROW()-26+$D$5,MATCH($B$5,'Raw Flow Data'!$1:$1,0))*$C$5))),"")</f>
        <v/>
      </c>
      <c r="E74" s="24">
        <f>IFERROR(IF($B$6="","",IF($K$5+ROW()-26&gt;$K$6,"",IF(INDEX('Raw Flow Data'!$A:$ZZ,$K$5+ROW()-26+$D$6,MATCH($B$6,'Raw Flow Data'!$1:$1,0))=-999,"",INDEX('Raw Flow Data'!$A:$ZZ,$K$5+ROW()-26+$D$6,MATCH($B$6,'Raw Flow Data'!$1:$1,0))*$C$6))),"")</f>
        <v/>
      </c>
      <c r="F74" s="24">
        <f>IFERROR(IF($B$7="","",IF($K$5+ROW()-26&gt;$K$6,"",IF(INDEX('Raw Flow Data'!$A:$ZZ,$K$5+ROW()-26+$D$7,MATCH($B$7,'Raw Flow Data'!$1:$1,0))=-999,"",INDEX('Raw Flow Data'!$A:$ZZ,$K$5+ROW()-26+$D$7,MATCH($B$7,'Raw Flow Data'!$1:$1,0))*$C$7))),"")</f>
        <v/>
      </c>
      <c r="G74" s="24">
        <f>IFERROR(IF($B$8="","",IF($K$5+ROW()-26&gt;$K$6,"",IF(INDEX('Raw Flow Data'!$A:$ZZ,$K$5+ROW()-26+$D$8,MATCH($B$8,'Raw Flow Data'!$1:$1,0))=-999,"",INDEX('Raw Flow Data'!$A:$ZZ,$K$5+ROW()-26+$D$8,MATCH($B$8,'Raw Flow Data'!$1:$1,0))*$C$8))),"")</f>
        <v/>
      </c>
      <c r="H74" s="24">
        <f>IFERROR(IF($B$9="","",IF($K$5+ROW()-26&gt;$K$6,"",IF(INDEX('Raw Flow Data'!$A:$ZZ,$K$5+ROW()-26+$D$9,MATCH($B$9,'Raw Flow Data'!$1:$1,0))=-999,"",INDEX('Raw Flow Data'!$A:$ZZ,$K$5+ROW()-26+$D$9,MATCH($B$9,'Raw Flow Data'!$1:$1,0))*$C$9))),"")</f>
        <v/>
      </c>
      <c r="I74" s="24">
        <f>IFERROR(IF($B$10="","",IF($K$5+ROW()-26&gt;$K$6,"",IF(INDEX('Raw Flow Data'!$A:$ZZ,$K$5+ROW()-26+$D$10,MATCH($B$10,'Raw Flow Data'!$1:$1,0))=-999,"",INDEX('Raw Flow Data'!$A:$ZZ,$K$5+ROW()-26+$D$10,MATCH($B$10,'Raw Flow Data'!$1:$1,0))*$C$10))),"")</f>
        <v/>
      </c>
      <c r="J74" s="24">
        <f>IFERROR(IF($B$11="","",IF($K$5+ROW()-26&gt;$K$6,"",IF(INDEX('Raw Flow Data'!$A:$ZZ,$K$5+ROW()-26+$D$11,MATCH($B$11,'Raw Flow Data'!$1:$1,0))=-999,"",INDEX('Raw Flow Data'!$A:$ZZ,$K$5+ROW()-26+$D$11,MATCH($B$11,'Raw Flow Data'!$1:$1,0))*$C$11))),"")</f>
        <v/>
      </c>
      <c r="K74" s="24">
        <f>IFERROR(IF($B$12="","",IF($K$5+ROW()-26&gt;$K$6,"",IF(INDEX('Raw Flow Data'!$A:$ZZ,$K$5+ROW()-26+$D$12,MATCH($B$12,'Raw Flow Data'!$1:$1,0))=-999,"",INDEX('Raw Flow Data'!$A:$ZZ,$K$5+ROW()-26+$D$12,MATCH($B$12,'Raw Flow Data'!$1:$1,0))*$C$12))),"")</f>
        <v/>
      </c>
      <c r="L74" s="24">
        <f>IFERROR(IF($F$3="","",IF($K$5+ROW()-26&gt;$K$6,"",IF(INDEX('Raw Pressure Data'!$A:$ZZ,$K$5+ROW()-26+$H$3,MATCH($F$3,'Raw Pressure Data'!$1:$1,0))=-999,"",INDEX('Raw Pressure Data'!$A:$ZZ,$K$5+ROW()-26+$H$3,MATCH($F$3,'Raw Pressure Data'!$1:$1,0))+$G$3))),"")</f>
        <v/>
      </c>
      <c r="M74" s="24">
        <f>IFERROR(IF($F$4="","",IF($K$5+ROW()-26&gt;$K$6,"",IF(INDEX('Raw Pressure Data'!$A:$ZZ,$K$5+ROW()-26+$H$4,MATCH($F$4,'Raw Pressure Data'!$1:$1,0))=-999,"",INDEX('Raw Pressure Data'!$A:$ZZ,$K$5+ROW()-26+$H$4,MATCH($F$4,'Raw Pressure Data'!$1:$1,0))+$G$4))),"")</f>
        <v/>
      </c>
      <c r="N74" s="24">
        <f>IFERROR(IF($F$5="","",IF($K$5+ROW()-26&gt;$K$6,"",IF(INDEX('Raw Pressure Data'!$A:$ZZ,$K$5+ROW()-26+$H$5,MATCH($F$5,'Raw Pressure Data'!$1:$1,0))=-999,"",INDEX('Raw Pressure Data'!$A:$ZZ,$K$5+ROW()-26+$H$5,MATCH($F$5,'Raw Pressure Data'!$1:$1,0))+$G$5))),"")</f>
        <v/>
      </c>
      <c r="O74" s="24">
        <f>IFERROR(IF($F$6="","",IF($K$5+ROW()-26&gt;$K$6,"",IF(INDEX('Raw Pressure Data'!$A:$ZZ,$K$5+ROW()-26+$H$6,MATCH($F$6,'Raw Pressure Data'!$1:$1,0))=-999,"",INDEX('Raw Pressure Data'!$A:$ZZ,$K$5+ROW()-26+$H$6,MATCH($F$6,'Raw Pressure Data'!$1:$1,0))+$G$6))),"")</f>
        <v/>
      </c>
      <c r="P74" s="24">
        <f>IFERROR(IF($F$7="","",IF($K$5+ROW()-26&gt;$K$6,"",IF(INDEX('Raw Pressure Data'!$A:$ZZ,$K$5+ROW()-26+$H$7,MATCH($F$7,'Raw Pressure Data'!$1:$1,0))=-999,"",INDEX('Raw Pressure Data'!$A:$ZZ,$K$5+ROW()-26+$H$7,MATCH($F$7,'Raw Pressure Data'!$1:$1,0))+$G$7))),"")</f>
        <v/>
      </c>
      <c r="Q74" s="24">
        <f>IFERROR(IF($F$8="","",IF($K$5+ROW()-26&gt;$K$6,"",IF(INDEX('Raw Pressure Data'!$A:$ZZ,$K$5+ROW()-26+$H$8,MATCH($F$8,'Raw Pressure Data'!$1:$1,0))=-999,"",INDEX('Raw Pressure Data'!$A:$ZZ,$K$5+ROW()-26+$H$8,MATCH($F$8,'Raw Pressure Data'!$1:$1,0))+$G$8))),"")</f>
        <v/>
      </c>
      <c r="R74" s="24">
        <f>IFERROR(IF($F$9="","",IF($K$5+ROW()-26&gt;$K$6,"",IF(INDEX('Raw Pressure Data'!$A:$ZZ,$K$5+ROW()-26+$H$9,MATCH($F$9,'Raw Pressure Data'!$1:$1,0))=-999,"",INDEX('Raw Pressure Data'!$A:$ZZ,$K$5+ROW()-26+$H$9,MATCH($F$9,'Raw Pressure Data'!$1:$1,0))+$G$9))),"")</f>
        <v/>
      </c>
      <c r="S74" s="24">
        <f>IFERROR(IF($F$10="","",IF($K$5+ROW()-26&gt;$K$6,"",IF(INDEX('Raw Pressure Data'!$A:$ZZ,$K$5+ROW()-26+$H$10,MATCH($F$10,'Raw Pressure Data'!$1:$1,0))=-999,"",INDEX('Raw Pressure Data'!$A:$ZZ,$K$5+ROW()-26+$H$10,MATCH($F$10,'Raw Pressure Data'!$1:$1,0))+$G$10))),"")</f>
        <v/>
      </c>
      <c r="T74" s="24">
        <f>IFERROR(IF($F$11="","",IF($K$5+ROW()-26&gt;$K$6,"",IF(INDEX('Raw Pressure Data'!$A:$ZZ,$K$5+ROW()-26+$H$11,MATCH($F$11,'Raw Pressure Data'!$1:$1,0))=-999,"",INDEX('Raw Pressure Data'!$A:$ZZ,$K$5+ROW()-26+$H$11,MATCH($F$11,'Raw Pressure Data'!$1:$1,0))+$G$11))),"")</f>
        <v/>
      </c>
      <c r="U74" s="24">
        <f>IFERROR(IF($F$12="","",IF($K$5+ROW()-26&gt;$K$6,"",IF(INDEX('Raw Pressure Data'!$A:$ZZ,$K$5+ROW()-26+$H$12,MATCH($F$12,'Raw Pressure Data'!$1:$1,0))=-999,"",INDEX('Raw Pressure Data'!$A:$ZZ,$K$5+ROW()-26+$H$12,MATCH($F$12,'Raw Pressure Data'!$1:$1,0))+$G$12))),"")</f>
        <v/>
      </c>
      <c r="V74" s="24">
        <f>IFERROR(IF($F$13="","",IF($K$5+ROW()-26&gt;$K$6,"",IF(INDEX('Raw Pressure Data'!$A:$ZZ,$K$5+ROW()-26+$H$13,MATCH($F$13,'Raw Pressure Data'!$1:$1,0))=-999,"",INDEX('Raw Pressure Data'!$A:$ZZ,$K$5+ROW()-26+$H$13,MATCH($F$13,'Raw Pressure Data'!$1:$1,0))+$G$13))),"")</f>
        <v/>
      </c>
      <c r="W74" s="24">
        <f>IFERROR(IF($F$14="","",IF($K$5+ROW()-26&gt;$K$6,"",IF(INDEX('Raw Pressure Data'!$A:$ZZ,$K$5+ROW()-26+$H$14,MATCH($F$14,'Raw Pressure Data'!$1:$1,0))=-999,"",INDEX('Raw Pressure Data'!$A:$ZZ,$K$5+ROW()-26+$H$14,MATCH($F$14,'Raw Pressure Data'!$1:$1,0))+$G$14))),"")</f>
        <v/>
      </c>
      <c r="X74" s="24">
        <f>IFERROR(IF($F$15="","",IF($K$5+ROW()-26&gt;$K$6,"",IF(INDEX('Raw Pressure Data'!$A:$ZZ,$K$5+ROW()-26+$H$15,MATCH($F$15,'Raw Pressure Data'!$1:$1,0))=-999,"",INDEX('Raw Pressure Data'!$A:$ZZ,$K$5+ROW()-26+$H$15,MATCH($F$15,'Raw Pressure Data'!$1:$1,0))+$G$15))),"")</f>
        <v/>
      </c>
      <c r="Y74" s="24">
        <f>IFERROR(IF($F$16="","",IF($K$5+ROW()-26&gt;$K$6,"",IF(INDEX('Raw Pressure Data'!$A:$ZZ,$K$5+ROW()-26+$H$16,MATCH($F$16,'Raw Pressure Data'!$1:$1,0))=-999,"",INDEX('Raw Pressure Data'!$A:$ZZ,$K$5+ROW()-26+$H$16,MATCH($F$16,'Raw Pressure Data'!$1:$1,0))+$G$16))),"")</f>
        <v/>
      </c>
      <c r="Z74" s="24">
        <f>IFERROR(IF($F$17="","",IF($K$5+ROW()-26&gt;$K$6,"",IF(INDEX('Raw Pressure Data'!$A:$ZZ,$K$5+ROW()-26+$H$17,MATCH($F$17,'Raw Pressure Data'!$1:$1,0))=-999,"",INDEX('Raw Pressure Data'!$A:$ZZ,$K$5+ROW()-26+$H$17,MATCH($F$17,'Raw Pressure Data'!$1:$1,0))+$G$17))),"")</f>
        <v/>
      </c>
      <c r="AA74" s="24">
        <f>IFERROR(IF($F$18="","",IF($K$5+ROW()-26&gt;$K$6,"",IF(INDEX('Raw Pressure Data'!$A:$ZZ,$K$5+ROW()-26+$H$18,MATCH($F$18,'Raw Pressure Data'!$1:$1,0))=-999,"",INDEX('Raw Pressure Data'!$A:$ZZ,$K$5+ROW()-26+$H$18,MATCH($F$18,'Raw Pressure Data'!$1:$1,0))+$G$18))),"")</f>
        <v/>
      </c>
      <c r="AB74" s="24">
        <f>IFERROR(IF($F$19="","",IF($K$5+ROW()-26&gt;$K$6,"",IF(INDEX('Raw Pressure Data'!$A:$ZZ,$K$5+ROW()-26+$H$19,MATCH($F$19,'Raw Pressure Data'!$1:$1,0))=-999,"",INDEX('Raw Pressure Data'!$A:$ZZ,$K$5+ROW()-26+$H$19,MATCH($F$19,'Raw Pressure Data'!$1:$1,0))+$G$19))),"")</f>
        <v/>
      </c>
      <c r="AC74" s="24">
        <f>IFERROR(IF($F$20="","",IF($K$5+ROW()-26&gt;$K$6,"",IF(INDEX('Raw Pressure Data'!$A:$ZZ,$K$5+ROW()-26+$H$20,MATCH($F$20,'Raw Pressure Data'!$1:$1,0))=-999,"",INDEX('Raw Pressure Data'!$A:$ZZ,$K$5+ROW()-26+$H$20,MATCH($F$20,'Raw Pressure Data'!$1:$1,0))+$G$20))),"")</f>
        <v/>
      </c>
      <c r="AD74" s="24">
        <f>IFERROR(IF($F$21="","",IF($K$5+ROW()-26&gt;$K$6,"",IF(INDEX('Raw Pressure Data'!$A:$ZZ,$K$5+ROW()-26+$H$21,MATCH($F$21,'Raw Pressure Data'!$1:$1,0))=-999,"",INDEX('Raw Pressure Data'!$A:$ZZ,$K$5+ROW()-26+$H$21,MATCH($F$21,'Raw Pressure Data'!$1:$1,0))+$G$21))),"")</f>
        <v/>
      </c>
      <c r="AE74" s="24">
        <f>IFERROR(IF($F$22="","",IF($K$5+ROW()-26&gt;$K$6,"",IF(INDEX('Raw Pressure Data'!$A:$ZZ,$K$5+ROW()-26+$H$22,MATCH($F$22,'Raw Pressure Data'!$1:$1,0))=-999,"",INDEX('Raw Pressure Data'!$A:$ZZ,$K$5+ROW()-26+$H$22,MATCH($F$22,'Raw Pressure Data'!$1:$1,0))+$G$22))),"")</f>
        <v/>
      </c>
    </row>
    <row r="75" ht="15" customHeight="1">
      <c r="A75" s="25">
        <f>IFERROR(IF($K$5+ROW()-26&gt;$K$6,"",IF(INDEX('Raw Flow Data'!$A:$A,$K$5+ROW()-26)="","",INDEX('Raw Flow Data'!$A:$A,$K$5+ROW()-26))),"")</f>
        <v/>
      </c>
      <c r="B75" s="26">
        <f>IFERROR(IF($B$3="","",IF($K$5+ROW()-26&gt;$K$6,"",IF(INDEX('Raw Flow Data'!$A:$ZZ,$K$5+ROW()-26+$D$3,MATCH($B$3,'Raw Flow Data'!$1:$1,0))=-999,"",INDEX('Raw Flow Data'!$A:$ZZ,$K$5+ROW()-26+$D$3,MATCH($B$3,'Raw Flow Data'!$1:$1,0))*$C$3))),"")</f>
        <v/>
      </c>
      <c r="C75" s="26">
        <f>IFERROR(IF($B$4="","",IF($K$5+ROW()-26&gt;$K$6,"",IF(INDEX('Raw Flow Data'!$A:$ZZ,$K$5+ROW()-26+$D$4,MATCH($B$4,'Raw Flow Data'!$1:$1,0))=-999,"",INDEX('Raw Flow Data'!$A:$ZZ,$K$5+ROW()-26+$D$4,MATCH($B$4,'Raw Flow Data'!$1:$1,0))*$C$4))),"")</f>
        <v/>
      </c>
      <c r="D75" s="26">
        <f>IFERROR(IF($B$5="","",IF($K$5+ROW()-26&gt;$K$6,"",IF(INDEX('Raw Flow Data'!$A:$ZZ,$K$5+ROW()-26+$D$5,MATCH($B$5,'Raw Flow Data'!$1:$1,0))=-999,"",INDEX('Raw Flow Data'!$A:$ZZ,$K$5+ROW()-26+$D$5,MATCH($B$5,'Raw Flow Data'!$1:$1,0))*$C$5))),"")</f>
        <v/>
      </c>
      <c r="E75" s="26">
        <f>IFERROR(IF($B$6="","",IF($K$5+ROW()-26&gt;$K$6,"",IF(INDEX('Raw Flow Data'!$A:$ZZ,$K$5+ROW()-26+$D$6,MATCH($B$6,'Raw Flow Data'!$1:$1,0))=-999,"",INDEX('Raw Flow Data'!$A:$ZZ,$K$5+ROW()-26+$D$6,MATCH($B$6,'Raw Flow Data'!$1:$1,0))*$C$6))),"")</f>
        <v/>
      </c>
      <c r="F75" s="26">
        <f>IFERROR(IF($B$7="","",IF($K$5+ROW()-26&gt;$K$6,"",IF(INDEX('Raw Flow Data'!$A:$ZZ,$K$5+ROW()-26+$D$7,MATCH($B$7,'Raw Flow Data'!$1:$1,0))=-999,"",INDEX('Raw Flow Data'!$A:$ZZ,$K$5+ROW()-26+$D$7,MATCH($B$7,'Raw Flow Data'!$1:$1,0))*$C$7))),"")</f>
        <v/>
      </c>
      <c r="G75" s="26">
        <f>IFERROR(IF($B$8="","",IF($K$5+ROW()-26&gt;$K$6,"",IF(INDEX('Raw Flow Data'!$A:$ZZ,$K$5+ROW()-26+$D$8,MATCH($B$8,'Raw Flow Data'!$1:$1,0))=-999,"",INDEX('Raw Flow Data'!$A:$ZZ,$K$5+ROW()-26+$D$8,MATCH($B$8,'Raw Flow Data'!$1:$1,0))*$C$8))),"")</f>
        <v/>
      </c>
      <c r="H75" s="26">
        <f>IFERROR(IF($B$9="","",IF($K$5+ROW()-26&gt;$K$6,"",IF(INDEX('Raw Flow Data'!$A:$ZZ,$K$5+ROW()-26+$D$9,MATCH($B$9,'Raw Flow Data'!$1:$1,0))=-999,"",INDEX('Raw Flow Data'!$A:$ZZ,$K$5+ROW()-26+$D$9,MATCH($B$9,'Raw Flow Data'!$1:$1,0))*$C$9))),"")</f>
        <v/>
      </c>
      <c r="I75" s="26">
        <f>IFERROR(IF($B$10="","",IF($K$5+ROW()-26&gt;$K$6,"",IF(INDEX('Raw Flow Data'!$A:$ZZ,$K$5+ROW()-26+$D$10,MATCH($B$10,'Raw Flow Data'!$1:$1,0))=-999,"",INDEX('Raw Flow Data'!$A:$ZZ,$K$5+ROW()-26+$D$10,MATCH($B$10,'Raw Flow Data'!$1:$1,0))*$C$10))),"")</f>
        <v/>
      </c>
      <c r="J75" s="26">
        <f>IFERROR(IF($B$11="","",IF($K$5+ROW()-26&gt;$K$6,"",IF(INDEX('Raw Flow Data'!$A:$ZZ,$K$5+ROW()-26+$D$11,MATCH($B$11,'Raw Flow Data'!$1:$1,0))=-999,"",INDEX('Raw Flow Data'!$A:$ZZ,$K$5+ROW()-26+$D$11,MATCH($B$11,'Raw Flow Data'!$1:$1,0))*$C$11))),"")</f>
        <v/>
      </c>
      <c r="K75" s="26">
        <f>IFERROR(IF($B$12="","",IF($K$5+ROW()-26&gt;$K$6,"",IF(INDEX('Raw Flow Data'!$A:$ZZ,$K$5+ROW()-26+$D$12,MATCH($B$12,'Raw Flow Data'!$1:$1,0))=-999,"",INDEX('Raw Flow Data'!$A:$ZZ,$K$5+ROW()-26+$D$12,MATCH($B$12,'Raw Flow Data'!$1:$1,0))*$C$12))),"")</f>
        <v/>
      </c>
      <c r="L75" s="26">
        <f>IFERROR(IF($F$3="","",IF($K$5+ROW()-26&gt;$K$6,"",IF(INDEX('Raw Pressure Data'!$A:$ZZ,$K$5+ROW()-26+$H$3,MATCH($F$3,'Raw Pressure Data'!$1:$1,0))=-999,"",INDEX('Raw Pressure Data'!$A:$ZZ,$K$5+ROW()-26+$H$3,MATCH($F$3,'Raw Pressure Data'!$1:$1,0))+$G$3))),"")</f>
        <v/>
      </c>
      <c r="M75" s="26">
        <f>IFERROR(IF($F$4="","",IF($K$5+ROW()-26&gt;$K$6,"",IF(INDEX('Raw Pressure Data'!$A:$ZZ,$K$5+ROW()-26+$H$4,MATCH($F$4,'Raw Pressure Data'!$1:$1,0))=-999,"",INDEX('Raw Pressure Data'!$A:$ZZ,$K$5+ROW()-26+$H$4,MATCH($F$4,'Raw Pressure Data'!$1:$1,0))+$G$4))),"")</f>
        <v/>
      </c>
      <c r="N75" s="26">
        <f>IFERROR(IF($F$5="","",IF($K$5+ROW()-26&gt;$K$6,"",IF(INDEX('Raw Pressure Data'!$A:$ZZ,$K$5+ROW()-26+$H$5,MATCH($F$5,'Raw Pressure Data'!$1:$1,0))=-999,"",INDEX('Raw Pressure Data'!$A:$ZZ,$K$5+ROW()-26+$H$5,MATCH($F$5,'Raw Pressure Data'!$1:$1,0))+$G$5))),"")</f>
        <v/>
      </c>
      <c r="O75" s="26">
        <f>IFERROR(IF($F$6="","",IF($K$5+ROW()-26&gt;$K$6,"",IF(INDEX('Raw Pressure Data'!$A:$ZZ,$K$5+ROW()-26+$H$6,MATCH($F$6,'Raw Pressure Data'!$1:$1,0))=-999,"",INDEX('Raw Pressure Data'!$A:$ZZ,$K$5+ROW()-26+$H$6,MATCH($F$6,'Raw Pressure Data'!$1:$1,0))+$G$6))),"")</f>
        <v/>
      </c>
      <c r="P75" s="26">
        <f>IFERROR(IF($F$7="","",IF($K$5+ROW()-26&gt;$K$6,"",IF(INDEX('Raw Pressure Data'!$A:$ZZ,$K$5+ROW()-26+$H$7,MATCH($F$7,'Raw Pressure Data'!$1:$1,0))=-999,"",INDEX('Raw Pressure Data'!$A:$ZZ,$K$5+ROW()-26+$H$7,MATCH($F$7,'Raw Pressure Data'!$1:$1,0))+$G$7))),"")</f>
        <v/>
      </c>
      <c r="Q75" s="26">
        <f>IFERROR(IF($F$8="","",IF($K$5+ROW()-26&gt;$K$6,"",IF(INDEX('Raw Pressure Data'!$A:$ZZ,$K$5+ROW()-26+$H$8,MATCH($F$8,'Raw Pressure Data'!$1:$1,0))=-999,"",INDEX('Raw Pressure Data'!$A:$ZZ,$K$5+ROW()-26+$H$8,MATCH($F$8,'Raw Pressure Data'!$1:$1,0))+$G$8))),"")</f>
        <v/>
      </c>
      <c r="R75" s="26">
        <f>IFERROR(IF($F$9="","",IF($K$5+ROW()-26&gt;$K$6,"",IF(INDEX('Raw Pressure Data'!$A:$ZZ,$K$5+ROW()-26+$H$9,MATCH($F$9,'Raw Pressure Data'!$1:$1,0))=-999,"",INDEX('Raw Pressure Data'!$A:$ZZ,$K$5+ROW()-26+$H$9,MATCH($F$9,'Raw Pressure Data'!$1:$1,0))+$G$9))),"")</f>
        <v/>
      </c>
      <c r="S75" s="26">
        <f>IFERROR(IF($F$10="","",IF($K$5+ROW()-26&gt;$K$6,"",IF(INDEX('Raw Pressure Data'!$A:$ZZ,$K$5+ROW()-26+$H$10,MATCH($F$10,'Raw Pressure Data'!$1:$1,0))=-999,"",INDEX('Raw Pressure Data'!$A:$ZZ,$K$5+ROW()-26+$H$10,MATCH($F$10,'Raw Pressure Data'!$1:$1,0))+$G$10))),"")</f>
        <v/>
      </c>
      <c r="T75" s="26">
        <f>IFERROR(IF($F$11="","",IF($K$5+ROW()-26&gt;$K$6,"",IF(INDEX('Raw Pressure Data'!$A:$ZZ,$K$5+ROW()-26+$H$11,MATCH($F$11,'Raw Pressure Data'!$1:$1,0))=-999,"",INDEX('Raw Pressure Data'!$A:$ZZ,$K$5+ROW()-26+$H$11,MATCH($F$11,'Raw Pressure Data'!$1:$1,0))+$G$11))),"")</f>
        <v/>
      </c>
      <c r="U75" s="26">
        <f>IFERROR(IF($F$12="","",IF($K$5+ROW()-26&gt;$K$6,"",IF(INDEX('Raw Pressure Data'!$A:$ZZ,$K$5+ROW()-26+$H$12,MATCH($F$12,'Raw Pressure Data'!$1:$1,0))=-999,"",INDEX('Raw Pressure Data'!$A:$ZZ,$K$5+ROW()-26+$H$12,MATCH($F$12,'Raw Pressure Data'!$1:$1,0))+$G$12))),"")</f>
        <v/>
      </c>
      <c r="V75" s="26">
        <f>IFERROR(IF($F$13="","",IF($K$5+ROW()-26&gt;$K$6,"",IF(INDEX('Raw Pressure Data'!$A:$ZZ,$K$5+ROW()-26+$H$13,MATCH($F$13,'Raw Pressure Data'!$1:$1,0))=-999,"",INDEX('Raw Pressure Data'!$A:$ZZ,$K$5+ROW()-26+$H$13,MATCH($F$13,'Raw Pressure Data'!$1:$1,0))+$G$13))),"")</f>
        <v/>
      </c>
      <c r="W75" s="26">
        <f>IFERROR(IF($F$14="","",IF($K$5+ROW()-26&gt;$K$6,"",IF(INDEX('Raw Pressure Data'!$A:$ZZ,$K$5+ROW()-26+$H$14,MATCH($F$14,'Raw Pressure Data'!$1:$1,0))=-999,"",INDEX('Raw Pressure Data'!$A:$ZZ,$K$5+ROW()-26+$H$14,MATCH($F$14,'Raw Pressure Data'!$1:$1,0))+$G$14))),"")</f>
        <v/>
      </c>
      <c r="X75" s="26">
        <f>IFERROR(IF($F$15="","",IF($K$5+ROW()-26&gt;$K$6,"",IF(INDEX('Raw Pressure Data'!$A:$ZZ,$K$5+ROW()-26+$H$15,MATCH($F$15,'Raw Pressure Data'!$1:$1,0))=-999,"",INDEX('Raw Pressure Data'!$A:$ZZ,$K$5+ROW()-26+$H$15,MATCH($F$15,'Raw Pressure Data'!$1:$1,0))+$G$15))),"")</f>
        <v/>
      </c>
      <c r="Y75" s="26">
        <f>IFERROR(IF($F$16="","",IF($K$5+ROW()-26&gt;$K$6,"",IF(INDEX('Raw Pressure Data'!$A:$ZZ,$K$5+ROW()-26+$H$16,MATCH($F$16,'Raw Pressure Data'!$1:$1,0))=-999,"",INDEX('Raw Pressure Data'!$A:$ZZ,$K$5+ROW()-26+$H$16,MATCH($F$16,'Raw Pressure Data'!$1:$1,0))+$G$16))),"")</f>
        <v/>
      </c>
      <c r="Z75" s="26">
        <f>IFERROR(IF($F$17="","",IF($K$5+ROW()-26&gt;$K$6,"",IF(INDEX('Raw Pressure Data'!$A:$ZZ,$K$5+ROW()-26+$H$17,MATCH($F$17,'Raw Pressure Data'!$1:$1,0))=-999,"",INDEX('Raw Pressure Data'!$A:$ZZ,$K$5+ROW()-26+$H$17,MATCH($F$17,'Raw Pressure Data'!$1:$1,0))+$G$17))),"")</f>
        <v/>
      </c>
      <c r="AA75" s="26">
        <f>IFERROR(IF($F$18="","",IF($K$5+ROW()-26&gt;$K$6,"",IF(INDEX('Raw Pressure Data'!$A:$ZZ,$K$5+ROW()-26+$H$18,MATCH($F$18,'Raw Pressure Data'!$1:$1,0))=-999,"",INDEX('Raw Pressure Data'!$A:$ZZ,$K$5+ROW()-26+$H$18,MATCH($F$18,'Raw Pressure Data'!$1:$1,0))+$G$18))),"")</f>
        <v/>
      </c>
      <c r="AB75" s="26">
        <f>IFERROR(IF($F$19="","",IF($K$5+ROW()-26&gt;$K$6,"",IF(INDEX('Raw Pressure Data'!$A:$ZZ,$K$5+ROW()-26+$H$19,MATCH($F$19,'Raw Pressure Data'!$1:$1,0))=-999,"",INDEX('Raw Pressure Data'!$A:$ZZ,$K$5+ROW()-26+$H$19,MATCH($F$19,'Raw Pressure Data'!$1:$1,0))+$G$19))),"")</f>
        <v/>
      </c>
      <c r="AC75" s="26">
        <f>IFERROR(IF($F$20="","",IF($K$5+ROW()-26&gt;$K$6,"",IF(INDEX('Raw Pressure Data'!$A:$ZZ,$K$5+ROW()-26+$H$20,MATCH($F$20,'Raw Pressure Data'!$1:$1,0))=-999,"",INDEX('Raw Pressure Data'!$A:$ZZ,$K$5+ROW()-26+$H$20,MATCH($F$20,'Raw Pressure Data'!$1:$1,0))+$G$20))),"")</f>
        <v/>
      </c>
      <c r="AD75" s="26">
        <f>IFERROR(IF($F$21="","",IF($K$5+ROW()-26&gt;$K$6,"",IF(INDEX('Raw Pressure Data'!$A:$ZZ,$K$5+ROW()-26+$H$21,MATCH($F$21,'Raw Pressure Data'!$1:$1,0))=-999,"",INDEX('Raw Pressure Data'!$A:$ZZ,$K$5+ROW()-26+$H$21,MATCH($F$21,'Raw Pressure Data'!$1:$1,0))+$G$21))),"")</f>
        <v/>
      </c>
      <c r="AE75" s="26">
        <f>IFERROR(IF($F$22="","",IF($K$5+ROW()-26&gt;$K$6,"",IF(INDEX('Raw Pressure Data'!$A:$ZZ,$K$5+ROW()-26+$H$22,MATCH($F$22,'Raw Pressure Data'!$1:$1,0))=-999,"",INDEX('Raw Pressure Data'!$A:$ZZ,$K$5+ROW()-26+$H$22,MATCH($F$22,'Raw Pressure Data'!$1:$1,0))+$G$22))),"")</f>
        <v/>
      </c>
    </row>
    <row r="76" ht="15" customHeight="1">
      <c r="A76" s="23">
        <f>IFERROR(IF($K$5+ROW()-26&gt;$K$6,"",IF(INDEX('Raw Flow Data'!$A:$A,$K$5+ROW()-26)="","",INDEX('Raw Flow Data'!$A:$A,$K$5+ROW()-26))),"")</f>
        <v/>
      </c>
      <c r="B76" s="24">
        <f>IFERROR(IF($B$3="","",IF($K$5+ROW()-26&gt;$K$6,"",IF(INDEX('Raw Flow Data'!$A:$ZZ,$K$5+ROW()-26+$D$3,MATCH($B$3,'Raw Flow Data'!$1:$1,0))=-999,"",INDEX('Raw Flow Data'!$A:$ZZ,$K$5+ROW()-26+$D$3,MATCH($B$3,'Raw Flow Data'!$1:$1,0))*$C$3))),"")</f>
        <v/>
      </c>
      <c r="C76" s="24">
        <f>IFERROR(IF($B$4="","",IF($K$5+ROW()-26&gt;$K$6,"",IF(INDEX('Raw Flow Data'!$A:$ZZ,$K$5+ROW()-26+$D$4,MATCH($B$4,'Raw Flow Data'!$1:$1,0))=-999,"",INDEX('Raw Flow Data'!$A:$ZZ,$K$5+ROW()-26+$D$4,MATCH($B$4,'Raw Flow Data'!$1:$1,0))*$C$4))),"")</f>
        <v/>
      </c>
      <c r="D76" s="24">
        <f>IFERROR(IF($B$5="","",IF($K$5+ROW()-26&gt;$K$6,"",IF(INDEX('Raw Flow Data'!$A:$ZZ,$K$5+ROW()-26+$D$5,MATCH($B$5,'Raw Flow Data'!$1:$1,0))=-999,"",INDEX('Raw Flow Data'!$A:$ZZ,$K$5+ROW()-26+$D$5,MATCH($B$5,'Raw Flow Data'!$1:$1,0))*$C$5))),"")</f>
        <v/>
      </c>
      <c r="E76" s="24">
        <f>IFERROR(IF($B$6="","",IF($K$5+ROW()-26&gt;$K$6,"",IF(INDEX('Raw Flow Data'!$A:$ZZ,$K$5+ROW()-26+$D$6,MATCH($B$6,'Raw Flow Data'!$1:$1,0))=-999,"",INDEX('Raw Flow Data'!$A:$ZZ,$K$5+ROW()-26+$D$6,MATCH($B$6,'Raw Flow Data'!$1:$1,0))*$C$6))),"")</f>
        <v/>
      </c>
      <c r="F76" s="24">
        <f>IFERROR(IF($B$7="","",IF($K$5+ROW()-26&gt;$K$6,"",IF(INDEX('Raw Flow Data'!$A:$ZZ,$K$5+ROW()-26+$D$7,MATCH($B$7,'Raw Flow Data'!$1:$1,0))=-999,"",INDEX('Raw Flow Data'!$A:$ZZ,$K$5+ROW()-26+$D$7,MATCH($B$7,'Raw Flow Data'!$1:$1,0))*$C$7))),"")</f>
        <v/>
      </c>
      <c r="G76" s="24">
        <f>IFERROR(IF($B$8="","",IF($K$5+ROW()-26&gt;$K$6,"",IF(INDEX('Raw Flow Data'!$A:$ZZ,$K$5+ROW()-26+$D$8,MATCH($B$8,'Raw Flow Data'!$1:$1,0))=-999,"",INDEX('Raw Flow Data'!$A:$ZZ,$K$5+ROW()-26+$D$8,MATCH($B$8,'Raw Flow Data'!$1:$1,0))*$C$8))),"")</f>
        <v/>
      </c>
      <c r="H76" s="24">
        <f>IFERROR(IF($B$9="","",IF($K$5+ROW()-26&gt;$K$6,"",IF(INDEX('Raw Flow Data'!$A:$ZZ,$K$5+ROW()-26+$D$9,MATCH($B$9,'Raw Flow Data'!$1:$1,0))=-999,"",INDEX('Raw Flow Data'!$A:$ZZ,$K$5+ROW()-26+$D$9,MATCH($B$9,'Raw Flow Data'!$1:$1,0))*$C$9))),"")</f>
        <v/>
      </c>
      <c r="I76" s="24">
        <f>IFERROR(IF($B$10="","",IF($K$5+ROW()-26&gt;$K$6,"",IF(INDEX('Raw Flow Data'!$A:$ZZ,$K$5+ROW()-26+$D$10,MATCH($B$10,'Raw Flow Data'!$1:$1,0))=-999,"",INDEX('Raw Flow Data'!$A:$ZZ,$K$5+ROW()-26+$D$10,MATCH($B$10,'Raw Flow Data'!$1:$1,0))*$C$10))),"")</f>
        <v/>
      </c>
      <c r="J76" s="24">
        <f>IFERROR(IF($B$11="","",IF($K$5+ROW()-26&gt;$K$6,"",IF(INDEX('Raw Flow Data'!$A:$ZZ,$K$5+ROW()-26+$D$11,MATCH($B$11,'Raw Flow Data'!$1:$1,0))=-999,"",INDEX('Raw Flow Data'!$A:$ZZ,$K$5+ROW()-26+$D$11,MATCH($B$11,'Raw Flow Data'!$1:$1,0))*$C$11))),"")</f>
        <v/>
      </c>
      <c r="K76" s="24">
        <f>IFERROR(IF($B$12="","",IF($K$5+ROW()-26&gt;$K$6,"",IF(INDEX('Raw Flow Data'!$A:$ZZ,$K$5+ROW()-26+$D$12,MATCH($B$12,'Raw Flow Data'!$1:$1,0))=-999,"",INDEX('Raw Flow Data'!$A:$ZZ,$K$5+ROW()-26+$D$12,MATCH($B$12,'Raw Flow Data'!$1:$1,0))*$C$12))),"")</f>
        <v/>
      </c>
      <c r="L76" s="24">
        <f>IFERROR(IF($F$3="","",IF($K$5+ROW()-26&gt;$K$6,"",IF(INDEX('Raw Pressure Data'!$A:$ZZ,$K$5+ROW()-26+$H$3,MATCH($F$3,'Raw Pressure Data'!$1:$1,0))=-999,"",INDEX('Raw Pressure Data'!$A:$ZZ,$K$5+ROW()-26+$H$3,MATCH($F$3,'Raw Pressure Data'!$1:$1,0))+$G$3))),"")</f>
        <v/>
      </c>
      <c r="M76" s="24">
        <f>IFERROR(IF($F$4="","",IF($K$5+ROW()-26&gt;$K$6,"",IF(INDEX('Raw Pressure Data'!$A:$ZZ,$K$5+ROW()-26+$H$4,MATCH($F$4,'Raw Pressure Data'!$1:$1,0))=-999,"",INDEX('Raw Pressure Data'!$A:$ZZ,$K$5+ROW()-26+$H$4,MATCH($F$4,'Raw Pressure Data'!$1:$1,0))+$G$4))),"")</f>
        <v/>
      </c>
      <c r="N76" s="24">
        <f>IFERROR(IF($F$5="","",IF($K$5+ROW()-26&gt;$K$6,"",IF(INDEX('Raw Pressure Data'!$A:$ZZ,$K$5+ROW()-26+$H$5,MATCH($F$5,'Raw Pressure Data'!$1:$1,0))=-999,"",INDEX('Raw Pressure Data'!$A:$ZZ,$K$5+ROW()-26+$H$5,MATCH($F$5,'Raw Pressure Data'!$1:$1,0))+$G$5))),"")</f>
        <v/>
      </c>
      <c r="O76" s="24">
        <f>IFERROR(IF($F$6="","",IF($K$5+ROW()-26&gt;$K$6,"",IF(INDEX('Raw Pressure Data'!$A:$ZZ,$K$5+ROW()-26+$H$6,MATCH($F$6,'Raw Pressure Data'!$1:$1,0))=-999,"",INDEX('Raw Pressure Data'!$A:$ZZ,$K$5+ROW()-26+$H$6,MATCH($F$6,'Raw Pressure Data'!$1:$1,0))+$G$6))),"")</f>
        <v/>
      </c>
      <c r="P76" s="24">
        <f>IFERROR(IF($F$7="","",IF($K$5+ROW()-26&gt;$K$6,"",IF(INDEX('Raw Pressure Data'!$A:$ZZ,$K$5+ROW()-26+$H$7,MATCH($F$7,'Raw Pressure Data'!$1:$1,0))=-999,"",INDEX('Raw Pressure Data'!$A:$ZZ,$K$5+ROW()-26+$H$7,MATCH($F$7,'Raw Pressure Data'!$1:$1,0))+$G$7))),"")</f>
        <v/>
      </c>
      <c r="Q76" s="24">
        <f>IFERROR(IF($F$8="","",IF($K$5+ROW()-26&gt;$K$6,"",IF(INDEX('Raw Pressure Data'!$A:$ZZ,$K$5+ROW()-26+$H$8,MATCH($F$8,'Raw Pressure Data'!$1:$1,0))=-999,"",INDEX('Raw Pressure Data'!$A:$ZZ,$K$5+ROW()-26+$H$8,MATCH($F$8,'Raw Pressure Data'!$1:$1,0))+$G$8))),"")</f>
        <v/>
      </c>
      <c r="R76" s="24">
        <f>IFERROR(IF($F$9="","",IF($K$5+ROW()-26&gt;$K$6,"",IF(INDEX('Raw Pressure Data'!$A:$ZZ,$K$5+ROW()-26+$H$9,MATCH($F$9,'Raw Pressure Data'!$1:$1,0))=-999,"",INDEX('Raw Pressure Data'!$A:$ZZ,$K$5+ROW()-26+$H$9,MATCH($F$9,'Raw Pressure Data'!$1:$1,0))+$G$9))),"")</f>
        <v/>
      </c>
      <c r="S76" s="24">
        <f>IFERROR(IF($F$10="","",IF($K$5+ROW()-26&gt;$K$6,"",IF(INDEX('Raw Pressure Data'!$A:$ZZ,$K$5+ROW()-26+$H$10,MATCH($F$10,'Raw Pressure Data'!$1:$1,0))=-999,"",INDEX('Raw Pressure Data'!$A:$ZZ,$K$5+ROW()-26+$H$10,MATCH($F$10,'Raw Pressure Data'!$1:$1,0))+$G$10))),"")</f>
        <v/>
      </c>
      <c r="T76" s="24">
        <f>IFERROR(IF($F$11="","",IF($K$5+ROW()-26&gt;$K$6,"",IF(INDEX('Raw Pressure Data'!$A:$ZZ,$K$5+ROW()-26+$H$11,MATCH($F$11,'Raw Pressure Data'!$1:$1,0))=-999,"",INDEX('Raw Pressure Data'!$A:$ZZ,$K$5+ROW()-26+$H$11,MATCH($F$11,'Raw Pressure Data'!$1:$1,0))+$G$11))),"")</f>
        <v/>
      </c>
      <c r="U76" s="24">
        <f>IFERROR(IF($F$12="","",IF($K$5+ROW()-26&gt;$K$6,"",IF(INDEX('Raw Pressure Data'!$A:$ZZ,$K$5+ROW()-26+$H$12,MATCH($F$12,'Raw Pressure Data'!$1:$1,0))=-999,"",INDEX('Raw Pressure Data'!$A:$ZZ,$K$5+ROW()-26+$H$12,MATCH($F$12,'Raw Pressure Data'!$1:$1,0))+$G$12))),"")</f>
        <v/>
      </c>
      <c r="V76" s="24">
        <f>IFERROR(IF($F$13="","",IF($K$5+ROW()-26&gt;$K$6,"",IF(INDEX('Raw Pressure Data'!$A:$ZZ,$K$5+ROW()-26+$H$13,MATCH($F$13,'Raw Pressure Data'!$1:$1,0))=-999,"",INDEX('Raw Pressure Data'!$A:$ZZ,$K$5+ROW()-26+$H$13,MATCH($F$13,'Raw Pressure Data'!$1:$1,0))+$G$13))),"")</f>
        <v/>
      </c>
      <c r="W76" s="24">
        <f>IFERROR(IF($F$14="","",IF($K$5+ROW()-26&gt;$K$6,"",IF(INDEX('Raw Pressure Data'!$A:$ZZ,$K$5+ROW()-26+$H$14,MATCH($F$14,'Raw Pressure Data'!$1:$1,0))=-999,"",INDEX('Raw Pressure Data'!$A:$ZZ,$K$5+ROW()-26+$H$14,MATCH($F$14,'Raw Pressure Data'!$1:$1,0))+$G$14))),"")</f>
        <v/>
      </c>
      <c r="X76" s="24">
        <f>IFERROR(IF($F$15="","",IF($K$5+ROW()-26&gt;$K$6,"",IF(INDEX('Raw Pressure Data'!$A:$ZZ,$K$5+ROW()-26+$H$15,MATCH($F$15,'Raw Pressure Data'!$1:$1,0))=-999,"",INDEX('Raw Pressure Data'!$A:$ZZ,$K$5+ROW()-26+$H$15,MATCH($F$15,'Raw Pressure Data'!$1:$1,0))+$G$15))),"")</f>
        <v/>
      </c>
      <c r="Y76" s="24">
        <f>IFERROR(IF($F$16="","",IF($K$5+ROW()-26&gt;$K$6,"",IF(INDEX('Raw Pressure Data'!$A:$ZZ,$K$5+ROW()-26+$H$16,MATCH($F$16,'Raw Pressure Data'!$1:$1,0))=-999,"",INDEX('Raw Pressure Data'!$A:$ZZ,$K$5+ROW()-26+$H$16,MATCH($F$16,'Raw Pressure Data'!$1:$1,0))+$G$16))),"")</f>
        <v/>
      </c>
      <c r="Z76" s="24">
        <f>IFERROR(IF($F$17="","",IF($K$5+ROW()-26&gt;$K$6,"",IF(INDEX('Raw Pressure Data'!$A:$ZZ,$K$5+ROW()-26+$H$17,MATCH($F$17,'Raw Pressure Data'!$1:$1,0))=-999,"",INDEX('Raw Pressure Data'!$A:$ZZ,$K$5+ROW()-26+$H$17,MATCH($F$17,'Raw Pressure Data'!$1:$1,0))+$G$17))),"")</f>
        <v/>
      </c>
      <c r="AA76" s="24">
        <f>IFERROR(IF($F$18="","",IF($K$5+ROW()-26&gt;$K$6,"",IF(INDEX('Raw Pressure Data'!$A:$ZZ,$K$5+ROW()-26+$H$18,MATCH($F$18,'Raw Pressure Data'!$1:$1,0))=-999,"",INDEX('Raw Pressure Data'!$A:$ZZ,$K$5+ROW()-26+$H$18,MATCH($F$18,'Raw Pressure Data'!$1:$1,0))+$G$18))),"")</f>
        <v/>
      </c>
      <c r="AB76" s="24">
        <f>IFERROR(IF($F$19="","",IF($K$5+ROW()-26&gt;$K$6,"",IF(INDEX('Raw Pressure Data'!$A:$ZZ,$K$5+ROW()-26+$H$19,MATCH($F$19,'Raw Pressure Data'!$1:$1,0))=-999,"",INDEX('Raw Pressure Data'!$A:$ZZ,$K$5+ROW()-26+$H$19,MATCH($F$19,'Raw Pressure Data'!$1:$1,0))+$G$19))),"")</f>
        <v/>
      </c>
      <c r="AC76" s="24">
        <f>IFERROR(IF($F$20="","",IF($K$5+ROW()-26&gt;$K$6,"",IF(INDEX('Raw Pressure Data'!$A:$ZZ,$K$5+ROW()-26+$H$20,MATCH($F$20,'Raw Pressure Data'!$1:$1,0))=-999,"",INDEX('Raw Pressure Data'!$A:$ZZ,$K$5+ROW()-26+$H$20,MATCH($F$20,'Raw Pressure Data'!$1:$1,0))+$G$20))),"")</f>
        <v/>
      </c>
      <c r="AD76" s="24">
        <f>IFERROR(IF($F$21="","",IF($K$5+ROW()-26&gt;$K$6,"",IF(INDEX('Raw Pressure Data'!$A:$ZZ,$K$5+ROW()-26+$H$21,MATCH($F$21,'Raw Pressure Data'!$1:$1,0))=-999,"",INDEX('Raw Pressure Data'!$A:$ZZ,$K$5+ROW()-26+$H$21,MATCH($F$21,'Raw Pressure Data'!$1:$1,0))+$G$21))),"")</f>
        <v/>
      </c>
      <c r="AE76" s="24">
        <f>IFERROR(IF($F$22="","",IF($K$5+ROW()-26&gt;$K$6,"",IF(INDEX('Raw Pressure Data'!$A:$ZZ,$K$5+ROW()-26+$H$22,MATCH($F$22,'Raw Pressure Data'!$1:$1,0))=-999,"",INDEX('Raw Pressure Data'!$A:$ZZ,$K$5+ROW()-26+$H$22,MATCH($F$22,'Raw Pressure Data'!$1:$1,0))+$G$22))),"")</f>
        <v/>
      </c>
    </row>
    <row r="77" ht="15" customHeight="1">
      <c r="A77" s="25">
        <f>IFERROR(IF($K$5+ROW()-26&gt;$K$6,"",IF(INDEX('Raw Flow Data'!$A:$A,$K$5+ROW()-26)="","",INDEX('Raw Flow Data'!$A:$A,$K$5+ROW()-26))),"")</f>
        <v/>
      </c>
      <c r="B77" s="26">
        <f>IFERROR(IF($B$3="","",IF($K$5+ROW()-26&gt;$K$6,"",IF(INDEX('Raw Flow Data'!$A:$ZZ,$K$5+ROW()-26+$D$3,MATCH($B$3,'Raw Flow Data'!$1:$1,0))=-999,"",INDEX('Raw Flow Data'!$A:$ZZ,$K$5+ROW()-26+$D$3,MATCH($B$3,'Raw Flow Data'!$1:$1,0))*$C$3))),"")</f>
        <v/>
      </c>
      <c r="C77" s="26">
        <f>IFERROR(IF($B$4="","",IF($K$5+ROW()-26&gt;$K$6,"",IF(INDEX('Raw Flow Data'!$A:$ZZ,$K$5+ROW()-26+$D$4,MATCH($B$4,'Raw Flow Data'!$1:$1,0))=-999,"",INDEX('Raw Flow Data'!$A:$ZZ,$K$5+ROW()-26+$D$4,MATCH($B$4,'Raw Flow Data'!$1:$1,0))*$C$4))),"")</f>
        <v/>
      </c>
      <c r="D77" s="26">
        <f>IFERROR(IF($B$5="","",IF($K$5+ROW()-26&gt;$K$6,"",IF(INDEX('Raw Flow Data'!$A:$ZZ,$K$5+ROW()-26+$D$5,MATCH($B$5,'Raw Flow Data'!$1:$1,0))=-999,"",INDEX('Raw Flow Data'!$A:$ZZ,$K$5+ROW()-26+$D$5,MATCH($B$5,'Raw Flow Data'!$1:$1,0))*$C$5))),"")</f>
        <v/>
      </c>
      <c r="E77" s="26">
        <f>IFERROR(IF($B$6="","",IF($K$5+ROW()-26&gt;$K$6,"",IF(INDEX('Raw Flow Data'!$A:$ZZ,$K$5+ROW()-26+$D$6,MATCH($B$6,'Raw Flow Data'!$1:$1,0))=-999,"",INDEX('Raw Flow Data'!$A:$ZZ,$K$5+ROW()-26+$D$6,MATCH($B$6,'Raw Flow Data'!$1:$1,0))*$C$6))),"")</f>
        <v/>
      </c>
      <c r="F77" s="26">
        <f>IFERROR(IF($B$7="","",IF($K$5+ROW()-26&gt;$K$6,"",IF(INDEX('Raw Flow Data'!$A:$ZZ,$K$5+ROW()-26+$D$7,MATCH($B$7,'Raw Flow Data'!$1:$1,0))=-999,"",INDEX('Raw Flow Data'!$A:$ZZ,$K$5+ROW()-26+$D$7,MATCH($B$7,'Raw Flow Data'!$1:$1,0))*$C$7))),"")</f>
        <v/>
      </c>
      <c r="G77" s="26">
        <f>IFERROR(IF($B$8="","",IF($K$5+ROW()-26&gt;$K$6,"",IF(INDEX('Raw Flow Data'!$A:$ZZ,$K$5+ROW()-26+$D$8,MATCH($B$8,'Raw Flow Data'!$1:$1,0))=-999,"",INDEX('Raw Flow Data'!$A:$ZZ,$K$5+ROW()-26+$D$8,MATCH($B$8,'Raw Flow Data'!$1:$1,0))*$C$8))),"")</f>
        <v/>
      </c>
      <c r="H77" s="26">
        <f>IFERROR(IF($B$9="","",IF($K$5+ROW()-26&gt;$K$6,"",IF(INDEX('Raw Flow Data'!$A:$ZZ,$K$5+ROW()-26+$D$9,MATCH($B$9,'Raw Flow Data'!$1:$1,0))=-999,"",INDEX('Raw Flow Data'!$A:$ZZ,$K$5+ROW()-26+$D$9,MATCH($B$9,'Raw Flow Data'!$1:$1,0))*$C$9))),"")</f>
        <v/>
      </c>
      <c r="I77" s="26">
        <f>IFERROR(IF($B$10="","",IF($K$5+ROW()-26&gt;$K$6,"",IF(INDEX('Raw Flow Data'!$A:$ZZ,$K$5+ROW()-26+$D$10,MATCH($B$10,'Raw Flow Data'!$1:$1,0))=-999,"",INDEX('Raw Flow Data'!$A:$ZZ,$K$5+ROW()-26+$D$10,MATCH($B$10,'Raw Flow Data'!$1:$1,0))*$C$10))),"")</f>
        <v/>
      </c>
      <c r="J77" s="26">
        <f>IFERROR(IF($B$11="","",IF($K$5+ROW()-26&gt;$K$6,"",IF(INDEX('Raw Flow Data'!$A:$ZZ,$K$5+ROW()-26+$D$11,MATCH($B$11,'Raw Flow Data'!$1:$1,0))=-999,"",INDEX('Raw Flow Data'!$A:$ZZ,$K$5+ROW()-26+$D$11,MATCH($B$11,'Raw Flow Data'!$1:$1,0))*$C$11))),"")</f>
        <v/>
      </c>
      <c r="K77" s="26">
        <f>IFERROR(IF($B$12="","",IF($K$5+ROW()-26&gt;$K$6,"",IF(INDEX('Raw Flow Data'!$A:$ZZ,$K$5+ROW()-26+$D$12,MATCH($B$12,'Raw Flow Data'!$1:$1,0))=-999,"",INDEX('Raw Flow Data'!$A:$ZZ,$K$5+ROW()-26+$D$12,MATCH($B$12,'Raw Flow Data'!$1:$1,0))*$C$12))),"")</f>
        <v/>
      </c>
      <c r="L77" s="26">
        <f>IFERROR(IF($F$3="","",IF($K$5+ROW()-26&gt;$K$6,"",IF(INDEX('Raw Pressure Data'!$A:$ZZ,$K$5+ROW()-26+$H$3,MATCH($F$3,'Raw Pressure Data'!$1:$1,0))=-999,"",INDEX('Raw Pressure Data'!$A:$ZZ,$K$5+ROW()-26+$H$3,MATCH($F$3,'Raw Pressure Data'!$1:$1,0))+$G$3))),"")</f>
        <v/>
      </c>
      <c r="M77" s="26">
        <f>IFERROR(IF($F$4="","",IF($K$5+ROW()-26&gt;$K$6,"",IF(INDEX('Raw Pressure Data'!$A:$ZZ,$K$5+ROW()-26+$H$4,MATCH($F$4,'Raw Pressure Data'!$1:$1,0))=-999,"",INDEX('Raw Pressure Data'!$A:$ZZ,$K$5+ROW()-26+$H$4,MATCH($F$4,'Raw Pressure Data'!$1:$1,0))+$G$4))),"")</f>
        <v/>
      </c>
      <c r="N77" s="26">
        <f>IFERROR(IF($F$5="","",IF($K$5+ROW()-26&gt;$K$6,"",IF(INDEX('Raw Pressure Data'!$A:$ZZ,$K$5+ROW()-26+$H$5,MATCH($F$5,'Raw Pressure Data'!$1:$1,0))=-999,"",INDEX('Raw Pressure Data'!$A:$ZZ,$K$5+ROW()-26+$H$5,MATCH($F$5,'Raw Pressure Data'!$1:$1,0))+$G$5))),"")</f>
        <v/>
      </c>
      <c r="O77" s="26">
        <f>IFERROR(IF($F$6="","",IF($K$5+ROW()-26&gt;$K$6,"",IF(INDEX('Raw Pressure Data'!$A:$ZZ,$K$5+ROW()-26+$H$6,MATCH($F$6,'Raw Pressure Data'!$1:$1,0))=-999,"",INDEX('Raw Pressure Data'!$A:$ZZ,$K$5+ROW()-26+$H$6,MATCH($F$6,'Raw Pressure Data'!$1:$1,0))+$G$6))),"")</f>
        <v/>
      </c>
      <c r="P77" s="26">
        <f>IFERROR(IF($F$7="","",IF($K$5+ROW()-26&gt;$K$6,"",IF(INDEX('Raw Pressure Data'!$A:$ZZ,$K$5+ROW()-26+$H$7,MATCH($F$7,'Raw Pressure Data'!$1:$1,0))=-999,"",INDEX('Raw Pressure Data'!$A:$ZZ,$K$5+ROW()-26+$H$7,MATCH($F$7,'Raw Pressure Data'!$1:$1,0))+$G$7))),"")</f>
        <v/>
      </c>
      <c r="Q77" s="26">
        <f>IFERROR(IF($F$8="","",IF($K$5+ROW()-26&gt;$K$6,"",IF(INDEX('Raw Pressure Data'!$A:$ZZ,$K$5+ROW()-26+$H$8,MATCH($F$8,'Raw Pressure Data'!$1:$1,0))=-999,"",INDEX('Raw Pressure Data'!$A:$ZZ,$K$5+ROW()-26+$H$8,MATCH($F$8,'Raw Pressure Data'!$1:$1,0))+$G$8))),"")</f>
        <v/>
      </c>
      <c r="R77" s="26">
        <f>IFERROR(IF($F$9="","",IF($K$5+ROW()-26&gt;$K$6,"",IF(INDEX('Raw Pressure Data'!$A:$ZZ,$K$5+ROW()-26+$H$9,MATCH($F$9,'Raw Pressure Data'!$1:$1,0))=-999,"",INDEX('Raw Pressure Data'!$A:$ZZ,$K$5+ROW()-26+$H$9,MATCH($F$9,'Raw Pressure Data'!$1:$1,0))+$G$9))),"")</f>
        <v/>
      </c>
      <c r="S77" s="26">
        <f>IFERROR(IF($F$10="","",IF($K$5+ROW()-26&gt;$K$6,"",IF(INDEX('Raw Pressure Data'!$A:$ZZ,$K$5+ROW()-26+$H$10,MATCH($F$10,'Raw Pressure Data'!$1:$1,0))=-999,"",INDEX('Raw Pressure Data'!$A:$ZZ,$K$5+ROW()-26+$H$10,MATCH($F$10,'Raw Pressure Data'!$1:$1,0))+$G$10))),"")</f>
        <v/>
      </c>
      <c r="T77" s="26">
        <f>IFERROR(IF($F$11="","",IF($K$5+ROW()-26&gt;$K$6,"",IF(INDEX('Raw Pressure Data'!$A:$ZZ,$K$5+ROW()-26+$H$11,MATCH($F$11,'Raw Pressure Data'!$1:$1,0))=-999,"",INDEX('Raw Pressure Data'!$A:$ZZ,$K$5+ROW()-26+$H$11,MATCH($F$11,'Raw Pressure Data'!$1:$1,0))+$G$11))),"")</f>
        <v/>
      </c>
      <c r="U77" s="26">
        <f>IFERROR(IF($F$12="","",IF($K$5+ROW()-26&gt;$K$6,"",IF(INDEX('Raw Pressure Data'!$A:$ZZ,$K$5+ROW()-26+$H$12,MATCH($F$12,'Raw Pressure Data'!$1:$1,0))=-999,"",INDEX('Raw Pressure Data'!$A:$ZZ,$K$5+ROW()-26+$H$12,MATCH($F$12,'Raw Pressure Data'!$1:$1,0))+$G$12))),"")</f>
        <v/>
      </c>
      <c r="V77" s="26">
        <f>IFERROR(IF($F$13="","",IF($K$5+ROW()-26&gt;$K$6,"",IF(INDEX('Raw Pressure Data'!$A:$ZZ,$K$5+ROW()-26+$H$13,MATCH($F$13,'Raw Pressure Data'!$1:$1,0))=-999,"",INDEX('Raw Pressure Data'!$A:$ZZ,$K$5+ROW()-26+$H$13,MATCH($F$13,'Raw Pressure Data'!$1:$1,0))+$G$13))),"")</f>
        <v/>
      </c>
      <c r="W77" s="26">
        <f>IFERROR(IF($F$14="","",IF($K$5+ROW()-26&gt;$K$6,"",IF(INDEX('Raw Pressure Data'!$A:$ZZ,$K$5+ROW()-26+$H$14,MATCH($F$14,'Raw Pressure Data'!$1:$1,0))=-999,"",INDEX('Raw Pressure Data'!$A:$ZZ,$K$5+ROW()-26+$H$14,MATCH($F$14,'Raw Pressure Data'!$1:$1,0))+$G$14))),"")</f>
        <v/>
      </c>
      <c r="X77" s="26">
        <f>IFERROR(IF($F$15="","",IF($K$5+ROW()-26&gt;$K$6,"",IF(INDEX('Raw Pressure Data'!$A:$ZZ,$K$5+ROW()-26+$H$15,MATCH($F$15,'Raw Pressure Data'!$1:$1,0))=-999,"",INDEX('Raw Pressure Data'!$A:$ZZ,$K$5+ROW()-26+$H$15,MATCH($F$15,'Raw Pressure Data'!$1:$1,0))+$G$15))),"")</f>
        <v/>
      </c>
      <c r="Y77" s="26">
        <f>IFERROR(IF($F$16="","",IF($K$5+ROW()-26&gt;$K$6,"",IF(INDEX('Raw Pressure Data'!$A:$ZZ,$K$5+ROW()-26+$H$16,MATCH($F$16,'Raw Pressure Data'!$1:$1,0))=-999,"",INDEX('Raw Pressure Data'!$A:$ZZ,$K$5+ROW()-26+$H$16,MATCH($F$16,'Raw Pressure Data'!$1:$1,0))+$G$16))),"")</f>
        <v/>
      </c>
      <c r="Z77" s="26">
        <f>IFERROR(IF($F$17="","",IF($K$5+ROW()-26&gt;$K$6,"",IF(INDEX('Raw Pressure Data'!$A:$ZZ,$K$5+ROW()-26+$H$17,MATCH($F$17,'Raw Pressure Data'!$1:$1,0))=-999,"",INDEX('Raw Pressure Data'!$A:$ZZ,$K$5+ROW()-26+$H$17,MATCH($F$17,'Raw Pressure Data'!$1:$1,0))+$G$17))),"")</f>
        <v/>
      </c>
      <c r="AA77" s="26">
        <f>IFERROR(IF($F$18="","",IF($K$5+ROW()-26&gt;$K$6,"",IF(INDEX('Raw Pressure Data'!$A:$ZZ,$K$5+ROW()-26+$H$18,MATCH($F$18,'Raw Pressure Data'!$1:$1,0))=-999,"",INDEX('Raw Pressure Data'!$A:$ZZ,$K$5+ROW()-26+$H$18,MATCH($F$18,'Raw Pressure Data'!$1:$1,0))+$G$18))),"")</f>
        <v/>
      </c>
      <c r="AB77" s="26">
        <f>IFERROR(IF($F$19="","",IF($K$5+ROW()-26&gt;$K$6,"",IF(INDEX('Raw Pressure Data'!$A:$ZZ,$K$5+ROW()-26+$H$19,MATCH($F$19,'Raw Pressure Data'!$1:$1,0))=-999,"",INDEX('Raw Pressure Data'!$A:$ZZ,$K$5+ROW()-26+$H$19,MATCH($F$19,'Raw Pressure Data'!$1:$1,0))+$G$19))),"")</f>
        <v/>
      </c>
      <c r="AC77" s="26">
        <f>IFERROR(IF($F$20="","",IF($K$5+ROW()-26&gt;$K$6,"",IF(INDEX('Raw Pressure Data'!$A:$ZZ,$K$5+ROW()-26+$H$20,MATCH($F$20,'Raw Pressure Data'!$1:$1,0))=-999,"",INDEX('Raw Pressure Data'!$A:$ZZ,$K$5+ROW()-26+$H$20,MATCH($F$20,'Raw Pressure Data'!$1:$1,0))+$G$20))),"")</f>
        <v/>
      </c>
      <c r="AD77" s="26">
        <f>IFERROR(IF($F$21="","",IF($K$5+ROW()-26&gt;$K$6,"",IF(INDEX('Raw Pressure Data'!$A:$ZZ,$K$5+ROW()-26+$H$21,MATCH($F$21,'Raw Pressure Data'!$1:$1,0))=-999,"",INDEX('Raw Pressure Data'!$A:$ZZ,$K$5+ROW()-26+$H$21,MATCH($F$21,'Raw Pressure Data'!$1:$1,0))+$G$21))),"")</f>
        <v/>
      </c>
      <c r="AE77" s="26">
        <f>IFERROR(IF($F$22="","",IF($K$5+ROW()-26&gt;$K$6,"",IF(INDEX('Raw Pressure Data'!$A:$ZZ,$K$5+ROW()-26+$H$22,MATCH($F$22,'Raw Pressure Data'!$1:$1,0))=-999,"",INDEX('Raw Pressure Data'!$A:$ZZ,$K$5+ROW()-26+$H$22,MATCH($F$22,'Raw Pressure Data'!$1:$1,0))+$G$22))),"")</f>
        <v/>
      </c>
    </row>
    <row r="78" ht="15" customHeight="1">
      <c r="A78" s="23">
        <f>IFERROR(IF($K$5+ROW()-26&gt;$K$6,"",IF(INDEX('Raw Flow Data'!$A:$A,$K$5+ROW()-26)="","",INDEX('Raw Flow Data'!$A:$A,$K$5+ROW()-26))),"")</f>
        <v/>
      </c>
      <c r="B78" s="24">
        <f>IFERROR(IF($B$3="","",IF($K$5+ROW()-26&gt;$K$6,"",IF(INDEX('Raw Flow Data'!$A:$ZZ,$K$5+ROW()-26+$D$3,MATCH($B$3,'Raw Flow Data'!$1:$1,0))=-999,"",INDEX('Raw Flow Data'!$A:$ZZ,$K$5+ROW()-26+$D$3,MATCH($B$3,'Raw Flow Data'!$1:$1,0))*$C$3))),"")</f>
        <v/>
      </c>
      <c r="C78" s="24">
        <f>IFERROR(IF($B$4="","",IF($K$5+ROW()-26&gt;$K$6,"",IF(INDEX('Raw Flow Data'!$A:$ZZ,$K$5+ROW()-26+$D$4,MATCH($B$4,'Raw Flow Data'!$1:$1,0))=-999,"",INDEX('Raw Flow Data'!$A:$ZZ,$K$5+ROW()-26+$D$4,MATCH($B$4,'Raw Flow Data'!$1:$1,0))*$C$4))),"")</f>
        <v/>
      </c>
      <c r="D78" s="24">
        <f>IFERROR(IF($B$5="","",IF($K$5+ROW()-26&gt;$K$6,"",IF(INDEX('Raw Flow Data'!$A:$ZZ,$K$5+ROW()-26+$D$5,MATCH($B$5,'Raw Flow Data'!$1:$1,0))=-999,"",INDEX('Raw Flow Data'!$A:$ZZ,$K$5+ROW()-26+$D$5,MATCH($B$5,'Raw Flow Data'!$1:$1,0))*$C$5))),"")</f>
        <v/>
      </c>
      <c r="E78" s="24">
        <f>IFERROR(IF($B$6="","",IF($K$5+ROW()-26&gt;$K$6,"",IF(INDEX('Raw Flow Data'!$A:$ZZ,$K$5+ROW()-26+$D$6,MATCH($B$6,'Raw Flow Data'!$1:$1,0))=-999,"",INDEX('Raw Flow Data'!$A:$ZZ,$K$5+ROW()-26+$D$6,MATCH($B$6,'Raw Flow Data'!$1:$1,0))*$C$6))),"")</f>
        <v/>
      </c>
      <c r="F78" s="24">
        <f>IFERROR(IF($B$7="","",IF($K$5+ROW()-26&gt;$K$6,"",IF(INDEX('Raw Flow Data'!$A:$ZZ,$K$5+ROW()-26+$D$7,MATCH($B$7,'Raw Flow Data'!$1:$1,0))=-999,"",INDEX('Raw Flow Data'!$A:$ZZ,$K$5+ROW()-26+$D$7,MATCH($B$7,'Raw Flow Data'!$1:$1,0))*$C$7))),"")</f>
        <v/>
      </c>
      <c r="G78" s="24">
        <f>IFERROR(IF($B$8="","",IF($K$5+ROW()-26&gt;$K$6,"",IF(INDEX('Raw Flow Data'!$A:$ZZ,$K$5+ROW()-26+$D$8,MATCH($B$8,'Raw Flow Data'!$1:$1,0))=-999,"",INDEX('Raw Flow Data'!$A:$ZZ,$K$5+ROW()-26+$D$8,MATCH($B$8,'Raw Flow Data'!$1:$1,0))*$C$8))),"")</f>
        <v/>
      </c>
      <c r="H78" s="24">
        <f>IFERROR(IF($B$9="","",IF($K$5+ROW()-26&gt;$K$6,"",IF(INDEX('Raw Flow Data'!$A:$ZZ,$K$5+ROW()-26+$D$9,MATCH($B$9,'Raw Flow Data'!$1:$1,0))=-999,"",INDEX('Raw Flow Data'!$A:$ZZ,$K$5+ROW()-26+$D$9,MATCH($B$9,'Raw Flow Data'!$1:$1,0))*$C$9))),"")</f>
        <v/>
      </c>
      <c r="I78" s="24">
        <f>IFERROR(IF($B$10="","",IF($K$5+ROW()-26&gt;$K$6,"",IF(INDEX('Raw Flow Data'!$A:$ZZ,$K$5+ROW()-26+$D$10,MATCH($B$10,'Raw Flow Data'!$1:$1,0))=-999,"",INDEX('Raw Flow Data'!$A:$ZZ,$K$5+ROW()-26+$D$10,MATCH($B$10,'Raw Flow Data'!$1:$1,0))*$C$10))),"")</f>
        <v/>
      </c>
      <c r="J78" s="24">
        <f>IFERROR(IF($B$11="","",IF($K$5+ROW()-26&gt;$K$6,"",IF(INDEX('Raw Flow Data'!$A:$ZZ,$K$5+ROW()-26+$D$11,MATCH($B$11,'Raw Flow Data'!$1:$1,0))=-999,"",INDEX('Raw Flow Data'!$A:$ZZ,$K$5+ROW()-26+$D$11,MATCH($B$11,'Raw Flow Data'!$1:$1,0))*$C$11))),"")</f>
        <v/>
      </c>
      <c r="K78" s="24">
        <f>IFERROR(IF($B$12="","",IF($K$5+ROW()-26&gt;$K$6,"",IF(INDEX('Raw Flow Data'!$A:$ZZ,$K$5+ROW()-26+$D$12,MATCH($B$12,'Raw Flow Data'!$1:$1,0))=-999,"",INDEX('Raw Flow Data'!$A:$ZZ,$K$5+ROW()-26+$D$12,MATCH($B$12,'Raw Flow Data'!$1:$1,0))*$C$12))),"")</f>
        <v/>
      </c>
      <c r="L78" s="24">
        <f>IFERROR(IF($F$3="","",IF($K$5+ROW()-26&gt;$K$6,"",IF(INDEX('Raw Pressure Data'!$A:$ZZ,$K$5+ROW()-26+$H$3,MATCH($F$3,'Raw Pressure Data'!$1:$1,0))=-999,"",INDEX('Raw Pressure Data'!$A:$ZZ,$K$5+ROW()-26+$H$3,MATCH($F$3,'Raw Pressure Data'!$1:$1,0))+$G$3))),"")</f>
        <v/>
      </c>
      <c r="M78" s="24">
        <f>IFERROR(IF($F$4="","",IF($K$5+ROW()-26&gt;$K$6,"",IF(INDEX('Raw Pressure Data'!$A:$ZZ,$K$5+ROW()-26+$H$4,MATCH($F$4,'Raw Pressure Data'!$1:$1,0))=-999,"",INDEX('Raw Pressure Data'!$A:$ZZ,$K$5+ROW()-26+$H$4,MATCH($F$4,'Raw Pressure Data'!$1:$1,0))+$G$4))),"")</f>
        <v/>
      </c>
      <c r="N78" s="24">
        <f>IFERROR(IF($F$5="","",IF($K$5+ROW()-26&gt;$K$6,"",IF(INDEX('Raw Pressure Data'!$A:$ZZ,$K$5+ROW()-26+$H$5,MATCH($F$5,'Raw Pressure Data'!$1:$1,0))=-999,"",INDEX('Raw Pressure Data'!$A:$ZZ,$K$5+ROW()-26+$H$5,MATCH($F$5,'Raw Pressure Data'!$1:$1,0))+$G$5))),"")</f>
        <v/>
      </c>
      <c r="O78" s="24">
        <f>IFERROR(IF($F$6="","",IF($K$5+ROW()-26&gt;$K$6,"",IF(INDEX('Raw Pressure Data'!$A:$ZZ,$K$5+ROW()-26+$H$6,MATCH($F$6,'Raw Pressure Data'!$1:$1,0))=-999,"",INDEX('Raw Pressure Data'!$A:$ZZ,$K$5+ROW()-26+$H$6,MATCH($F$6,'Raw Pressure Data'!$1:$1,0))+$G$6))),"")</f>
        <v/>
      </c>
      <c r="P78" s="24">
        <f>IFERROR(IF($F$7="","",IF($K$5+ROW()-26&gt;$K$6,"",IF(INDEX('Raw Pressure Data'!$A:$ZZ,$K$5+ROW()-26+$H$7,MATCH($F$7,'Raw Pressure Data'!$1:$1,0))=-999,"",INDEX('Raw Pressure Data'!$A:$ZZ,$K$5+ROW()-26+$H$7,MATCH($F$7,'Raw Pressure Data'!$1:$1,0))+$G$7))),"")</f>
        <v/>
      </c>
      <c r="Q78" s="24">
        <f>IFERROR(IF($F$8="","",IF($K$5+ROW()-26&gt;$K$6,"",IF(INDEX('Raw Pressure Data'!$A:$ZZ,$K$5+ROW()-26+$H$8,MATCH($F$8,'Raw Pressure Data'!$1:$1,0))=-999,"",INDEX('Raw Pressure Data'!$A:$ZZ,$K$5+ROW()-26+$H$8,MATCH($F$8,'Raw Pressure Data'!$1:$1,0))+$G$8))),"")</f>
        <v/>
      </c>
      <c r="R78" s="24">
        <f>IFERROR(IF($F$9="","",IF($K$5+ROW()-26&gt;$K$6,"",IF(INDEX('Raw Pressure Data'!$A:$ZZ,$K$5+ROW()-26+$H$9,MATCH($F$9,'Raw Pressure Data'!$1:$1,0))=-999,"",INDEX('Raw Pressure Data'!$A:$ZZ,$K$5+ROW()-26+$H$9,MATCH($F$9,'Raw Pressure Data'!$1:$1,0))+$G$9))),"")</f>
        <v/>
      </c>
      <c r="S78" s="24">
        <f>IFERROR(IF($F$10="","",IF($K$5+ROW()-26&gt;$K$6,"",IF(INDEX('Raw Pressure Data'!$A:$ZZ,$K$5+ROW()-26+$H$10,MATCH($F$10,'Raw Pressure Data'!$1:$1,0))=-999,"",INDEX('Raw Pressure Data'!$A:$ZZ,$K$5+ROW()-26+$H$10,MATCH($F$10,'Raw Pressure Data'!$1:$1,0))+$G$10))),"")</f>
        <v/>
      </c>
      <c r="T78" s="24">
        <f>IFERROR(IF($F$11="","",IF($K$5+ROW()-26&gt;$K$6,"",IF(INDEX('Raw Pressure Data'!$A:$ZZ,$K$5+ROW()-26+$H$11,MATCH($F$11,'Raw Pressure Data'!$1:$1,0))=-999,"",INDEX('Raw Pressure Data'!$A:$ZZ,$K$5+ROW()-26+$H$11,MATCH($F$11,'Raw Pressure Data'!$1:$1,0))+$G$11))),"")</f>
        <v/>
      </c>
      <c r="U78" s="24">
        <f>IFERROR(IF($F$12="","",IF($K$5+ROW()-26&gt;$K$6,"",IF(INDEX('Raw Pressure Data'!$A:$ZZ,$K$5+ROW()-26+$H$12,MATCH($F$12,'Raw Pressure Data'!$1:$1,0))=-999,"",INDEX('Raw Pressure Data'!$A:$ZZ,$K$5+ROW()-26+$H$12,MATCH($F$12,'Raw Pressure Data'!$1:$1,0))+$G$12))),"")</f>
        <v/>
      </c>
      <c r="V78" s="24">
        <f>IFERROR(IF($F$13="","",IF($K$5+ROW()-26&gt;$K$6,"",IF(INDEX('Raw Pressure Data'!$A:$ZZ,$K$5+ROW()-26+$H$13,MATCH($F$13,'Raw Pressure Data'!$1:$1,0))=-999,"",INDEX('Raw Pressure Data'!$A:$ZZ,$K$5+ROW()-26+$H$13,MATCH($F$13,'Raw Pressure Data'!$1:$1,0))+$G$13))),"")</f>
        <v/>
      </c>
      <c r="W78" s="24">
        <f>IFERROR(IF($F$14="","",IF($K$5+ROW()-26&gt;$K$6,"",IF(INDEX('Raw Pressure Data'!$A:$ZZ,$K$5+ROW()-26+$H$14,MATCH($F$14,'Raw Pressure Data'!$1:$1,0))=-999,"",INDEX('Raw Pressure Data'!$A:$ZZ,$K$5+ROW()-26+$H$14,MATCH($F$14,'Raw Pressure Data'!$1:$1,0))+$G$14))),"")</f>
        <v/>
      </c>
      <c r="X78" s="24">
        <f>IFERROR(IF($F$15="","",IF($K$5+ROW()-26&gt;$K$6,"",IF(INDEX('Raw Pressure Data'!$A:$ZZ,$K$5+ROW()-26+$H$15,MATCH($F$15,'Raw Pressure Data'!$1:$1,0))=-999,"",INDEX('Raw Pressure Data'!$A:$ZZ,$K$5+ROW()-26+$H$15,MATCH($F$15,'Raw Pressure Data'!$1:$1,0))+$G$15))),"")</f>
        <v/>
      </c>
      <c r="Y78" s="24">
        <f>IFERROR(IF($F$16="","",IF($K$5+ROW()-26&gt;$K$6,"",IF(INDEX('Raw Pressure Data'!$A:$ZZ,$K$5+ROW()-26+$H$16,MATCH($F$16,'Raw Pressure Data'!$1:$1,0))=-999,"",INDEX('Raw Pressure Data'!$A:$ZZ,$K$5+ROW()-26+$H$16,MATCH($F$16,'Raw Pressure Data'!$1:$1,0))+$G$16))),"")</f>
        <v/>
      </c>
      <c r="Z78" s="24">
        <f>IFERROR(IF($F$17="","",IF($K$5+ROW()-26&gt;$K$6,"",IF(INDEX('Raw Pressure Data'!$A:$ZZ,$K$5+ROW()-26+$H$17,MATCH($F$17,'Raw Pressure Data'!$1:$1,0))=-999,"",INDEX('Raw Pressure Data'!$A:$ZZ,$K$5+ROW()-26+$H$17,MATCH($F$17,'Raw Pressure Data'!$1:$1,0))+$G$17))),"")</f>
        <v/>
      </c>
      <c r="AA78" s="24">
        <f>IFERROR(IF($F$18="","",IF($K$5+ROW()-26&gt;$K$6,"",IF(INDEX('Raw Pressure Data'!$A:$ZZ,$K$5+ROW()-26+$H$18,MATCH($F$18,'Raw Pressure Data'!$1:$1,0))=-999,"",INDEX('Raw Pressure Data'!$A:$ZZ,$K$5+ROW()-26+$H$18,MATCH($F$18,'Raw Pressure Data'!$1:$1,0))+$G$18))),"")</f>
        <v/>
      </c>
      <c r="AB78" s="24">
        <f>IFERROR(IF($F$19="","",IF($K$5+ROW()-26&gt;$K$6,"",IF(INDEX('Raw Pressure Data'!$A:$ZZ,$K$5+ROW()-26+$H$19,MATCH($F$19,'Raw Pressure Data'!$1:$1,0))=-999,"",INDEX('Raw Pressure Data'!$A:$ZZ,$K$5+ROW()-26+$H$19,MATCH($F$19,'Raw Pressure Data'!$1:$1,0))+$G$19))),"")</f>
        <v/>
      </c>
      <c r="AC78" s="24">
        <f>IFERROR(IF($F$20="","",IF($K$5+ROW()-26&gt;$K$6,"",IF(INDEX('Raw Pressure Data'!$A:$ZZ,$K$5+ROW()-26+$H$20,MATCH($F$20,'Raw Pressure Data'!$1:$1,0))=-999,"",INDEX('Raw Pressure Data'!$A:$ZZ,$K$5+ROW()-26+$H$20,MATCH($F$20,'Raw Pressure Data'!$1:$1,0))+$G$20))),"")</f>
        <v/>
      </c>
      <c r="AD78" s="24">
        <f>IFERROR(IF($F$21="","",IF($K$5+ROW()-26&gt;$K$6,"",IF(INDEX('Raw Pressure Data'!$A:$ZZ,$K$5+ROW()-26+$H$21,MATCH($F$21,'Raw Pressure Data'!$1:$1,0))=-999,"",INDEX('Raw Pressure Data'!$A:$ZZ,$K$5+ROW()-26+$H$21,MATCH($F$21,'Raw Pressure Data'!$1:$1,0))+$G$21))),"")</f>
        <v/>
      </c>
      <c r="AE78" s="24">
        <f>IFERROR(IF($F$22="","",IF($K$5+ROW()-26&gt;$K$6,"",IF(INDEX('Raw Pressure Data'!$A:$ZZ,$K$5+ROW()-26+$H$22,MATCH($F$22,'Raw Pressure Data'!$1:$1,0))=-999,"",INDEX('Raw Pressure Data'!$A:$ZZ,$K$5+ROW()-26+$H$22,MATCH($F$22,'Raw Pressure Data'!$1:$1,0))+$G$22))),"")</f>
        <v/>
      </c>
    </row>
    <row r="79" ht="15" customHeight="1">
      <c r="A79" s="25">
        <f>IFERROR(IF($K$5+ROW()-26&gt;$K$6,"",IF(INDEX('Raw Flow Data'!$A:$A,$K$5+ROW()-26)="","",INDEX('Raw Flow Data'!$A:$A,$K$5+ROW()-26))),"")</f>
        <v/>
      </c>
      <c r="B79" s="26">
        <f>IFERROR(IF($B$3="","",IF($K$5+ROW()-26&gt;$K$6,"",IF(INDEX('Raw Flow Data'!$A:$ZZ,$K$5+ROW()-26+$D$3,MATCH($B$3,'Raw Flow Data'!$1:$1,0))=-999,"",INDEX('Raw Flow Data'!$A:$ZZ,$K$5+ROW()-26+$D$3,MATCH($B$3,'Raw Flow Data'!$1:$1,0))*$C$3))),"")</f>
        <v/>
      </c>
      <c r="C79" s="26">
        <f>IFERROR(IF($B$4="","",IF($K$5+ROW()-26&gt;$K$6,"",IF(INDEX('Raw Flow Data'!$A:$ZZ,$K$5+ROW()-26+$D$4,MATCH($B$4,'Raw Flow Data'!$1:$1,0))=-999,"",INDEX('Raw Flow Data'!$A:$ZZ,$K$5+ROW()-26+$D$4,MATCH($B$4,'Raw Flow Data'!$1:$1,0))*$C$4))),"")</f>
        <v/>
      </c>
      <c r="D79" s="26">
        <f>IFERROR(IF($B$5="","",IF($K$5+ROW()-26&gt;$K$6,"",IF(INDEX('Raw Flow Data'!$A:$ZZ,$K$5+ROW()-26+$D$5,MATCH($B$5,'Raw Flow Data'!$1:$1,0))=-999,"",INDEX('Raw Flow Data'!$A:$ZZ,$K$5+ROW()-26+$D$5,MATCH($B$5,'Raw Flow Data'!$1:$1,0))*$C$5))),"")</f>
        <v/>
      </c>
      <c r="E79" s="26">
        <f>IFERROR(IF($B$6="","",IF($K$5+ROW()-26&gt;$K$6,"",IF(INDEX('Raw Flow Data'!$A:$ZZ,$K$5+ROW()-26+$D$6,MATCH($B$6,'Raw Flow Data'!$1:$1,0))=-999,"",INDEX('Raw Flow Data'!$A:$ZZ,$K$5+ROW()-26+$D$6,MATCH($B$6,'Raw Flow Data'!$1:$1,0))*$C$6))),"")</f>
        <v/>
      </c>
      <c r="F79" s="26">
        <f>IFERROR(IF($B$7="","",IF($K$5+ROW()-26&gt;$K$6,"",IF(INDEX('Raw Flow Data'!$A:$ZZ,$K$5+ROW()-26+$D$7,MATCH($B$7,'Raw Flow Data'!$1:$1,0))=-999,"",INDEX('Raw Flow Data'!$A:$ZZ,$K$5+ROW()-26+$D$7,MATCH($B$7,'Raw Flow Data'!$1:$1,0))*$C$7))),"")</f>
        <v/>
      </c>
      <c r="G79" s="26">
        <f>IFERROR(IF($B$8="","",IF($K$5+ROW()-26&gt;$K$6,"",IF(INDEX('Raw Flow Data'!$A:$ZZ,$K$5+ROW()-26+$D$8,MATCH($B$8,'Raw Flow Data'!$1:$1,0))=-999,"",INDEX('Raw Flow Data'!$A:$ZZ,$K$5+ROW()-26+$D$8,MATCH($B$8,'Raw Flow Data'!$1:$1,0))*$C$8))),"")</f>
        <v/>
      </c>
      <c r="H79" s="26">
        <f>IFERROR(IF($B$9="","",IF($K$5+ROW()-26&gt;$K$6,"",IF(INDEX('Raw Flow Data'!$A:$ZZ,$K$5+ROW()-26+$D$9,MATCH($B$9,'Raw Flow Data'!$1:$1,0))=-999,"",INDEX('Raw Flow Data'!$A:$ZZ,$K$5+ROW()-26+$D$9,MATCH($B$9,'Raw Flow Data'!$1:$1,0))*$C$9))),"")</f>
        <v/>
      </c>
      <c r="I79" s="26">
        <f>IFERROR(IF($B$10="","",IF($K$5+ROW()-26&gt;$K$6,"",IF(INDEX('Raw Flow Data'!$A:$ZZ,$K$5+ROW()-26+$D$10,MATCH($B$10,'Raw Flow Data'!$1:$1,0))=-999,"",INDEX('Raw Flow Data'!$A:$ZZ,$K$5+ROW()-26+$D$10,MATCH($B$10,'Raw Flow Data'!$1:$1,0))*$C$10))),"")</f>
        <v/>
      </c>
      <c r="J79" s="26">
        <f>IFERROR(IF($B$11="","",IF($K$5+ROW()-26&gt;$K$6,"",IF(INDEX('Raw Flow Data'!$A:$ZZ,$K$5+ROW()-26+$D$11,MATCH($B$11,'Raw Flow Data'!$1:$1,0))=-999,"",INDEX('Raw Flow Data'!$A:$ZZ,$K$5+ROW()-26+$D$11,MATCH($B$11,'Raw Flow Data'!$1:$1,0))*$C$11))),"")</f>
        <v/>
      </c>
      <c r="K79" s="26">
        <f>IFERROR(IF($B$12="","",IF($K$5+ROW()-26&gt;$K$6,"",IF(INDEX('Raw Flow Data'!$A:$ZZ,$K$5+ROW()-26+$D$12,MATCH($B$12,'Raw Flow Data'!$1:$1,0))=-999,"",INDEX('Raw Flow Data'!$A:$ZZ,$K$5+ROW()-26+$D$12,MATCH($B$12,'Raw Flow Data'!$1:$1,0))*$C$12))),"")</f>
        <v/>
      </c>
      <c r="L79" s="26">
        <f>IFERROR(IF($F$3="","",IF($K$5+ROW()-26&gt;$K$6,"",IF(INDEX('Raw Pressure Data'!$A:$ZZ,$K$5+ROW()-26+$H$3,MATCH($F$3,'Raw Pressure Data'!$1:$1,0))=-999,"",INDEX('Raw Pressure Data'!$A:$ZZ,$K$5+ROW()-26+$H$3,MATCH($F$3,'Raw Pressure Data'!$1:$1,0))+$G$3))),"")</f>
        <v/>
      </c>
      <c r="M79" s="26">
        <f>IFERROR(IF($F$4="","",IF($K$5+ROW()-26&gt;$K$6,"",IF(INDEX('Raw Pressure Data'!$A:$ZZ,$K$5+ROW()-26+$H$4,MATCH($F$4,'Raw Pressure Data'!$1:$1,0))=-999,"",INDEX('Raw Pressure Data'!$A:$ZZ,$K$5+ROW()-26+$H$4,MATCH($F$4,'Raw Pressure Data'!$1:$1,0))+$G$4))),"")</f>
        <v/>
      </c>
      <c r="N79" s="26">
        <f>IFERROR(IF($F$5="","",IF($K$5+ROW()-26&gt;$K$6,"",IF(INDEX('Raw Pressure Data'!$A:$ZZ,$K$5+ROW()-26+$H$5,MATCH($F$5,'Raw Pressure Data'!$1:$1,0))=-999,"",INDEX('Raw Pressure Data'!$A:$ZZ,$K$5+ROW()-26+$H$5,MATCH($F$5,'Raw Pressure Data'!$1:$1,0))+$G$5))),"")</f>
        <v/>
      </c>
      <c r="O79" s="26">
        <f>IFERROR(IF($F$6="","",IF($K$5+ROW()-26&gt;$K$6,"",IF(INDEX('Raw Pressure Data'!$A:$ZZ,$K$5+ROW()-26+$H$6,MATCH($F$6,'Raw Pressure Data'!$1:$1,0))=-999,"",INDEX('Raw Pressure Data'!$A:$ZZ,$K$5+ROW()-26+$H$6,MATCH($F$6,'Raw Pressure Data'!$1:$1,0))+$G$6))),"")</f>
        <v/>
      </c>
      <c r="P79" s="26">
        <f>IFERROR(IF($F$7="","",IF($K$5+ROW()-26&gt;$K$6,"",IF(INDEX('Raw Pressure Data'!$A:$ZZ,$K$5+ROW()-26+$H$7,MATCH($F$7,'Raw Pressure Data'!$1:$1,0))=-999,"",INDEX('Raw Pressure Data'!$A:$ZZ,$K$5+ROW()-26+$H$7,MATCH($F$7,'Raw Pressure Data'!$1:$1,0))+$G$7))),"")</f>
        <v/>
      </c>
      <c r="Q79" s="26">
        <f>IFERROR(IF($F$8="","",IF($K$5+ROW()-26&gt;$K$6,"",IF(INDEX('Raw Pressure Data'!$A:$ZZ,$K$5+ROW()-26+$H$8,MATCH($F$8,'Raw Pressure Data'!$1:$1,0))=-999,"",INDEX('Raw Pressure Data'!$A:$ZZ,$K$5+ROW()-26+$H$8,MATCH($F$8,'Raw Pressure Data'!$1:$1,0))+$G$8))),"")</f>
        <v/>
      </c>
      <c r="R79" s="26">
        <f>IFERROR(IF($F$9="","",IF($K$5+ROW()-26&gt;$K$6,"",IF(INDEX('Raw Pressure Data'!$A:$ZZ,$K$5+ROW()-26+$H$9,MATCH($F$9,'Raw Pressure Data'!$1:$1,0))=-999,"",INDEX('Raw Pressure Data'!$A:$ZZ,$K$5+ROW()-26+$H$9,MATCH($F$9,'Raw Pressure Data'!$1:$1,0))+$G$9))),"")</f>
        <v/>
      </c>
      <c r="S79" s="26">
        <f>IFERROR(IF($F$10="","",IF($K$5+ROW()-26&gt;$K$6,"",IF(INDEX('Raw Pressure Data'!$A:$ZZ,$K$5+ROW()-26+$H$10,MATCH($F$10,'Raw Pressure Data'!$1:$1,0))=-999,"",INDEX('Raw Pressure Data'!$A:$ZZ,$K$5+ROW()-26+$H$10,MATCH($F$10,'Raw Pressure Data'!$1:$1,0))+$G$10))),"")</f>
        <v/>
      </c>
      <c r="T79" s="26">
        <f>IFERROR(IF($F$11="","",IF($K$5+ROW()-26&gt;$K$6,"",IF(INDEX('Raw Pressure Data'!$A:$ZZ,$K$5+ROW()-26+$H$11,MATCH($F$11,'Raw Pressure Data'!$1:$1,0))=-999,"",INDEX('Raw Pressure Data'!$A:$ZZ,$K$5+ROW()-26+$H$11,MATCH($F$11,'Raw Pressure Data'!$1:$1,0))+$G$11))),"")</f>
        <v/>
      </c>
      <c r="U79" s="26">
        <f>IFERROR(IF($F$12="","",IF($K$5+ROW()-26&gt;$K$6,"",IF(INDEX('Raw Pressure Data'!$A:$ZZ,$K$5+ROW()-26+$H$12,MATCH($F$12,'Raw Pressure Data'!$1:$1,0))=-999,"",INDEX('Raw Pressure Data'!$A:$ZZ,$K$5+ROW()-26+$H$12,MATCH($F$12,'Raw Pressure Data'!$1:$1,0))+$G$12))),"")</f>
        <v/>
      </c>
      <c r="V79" s="26">
        <f>IFERROR(IF($F$13="","",IF($K$5+ROW()-26&gt;$K$6,"",IF(INDEX('Raw Pressure Data'!$A:$ZZ,$K$5+ROW()-26+$H$13,MATCH($F$13,'Raw Pressure Data'!$1:$1,0))=-999,"",INDEX('Raw Pressure Data'!$A:$ZZ,$K$5+ROW()-26+$H$13,MATCH($F$13,'Raw Pressure Data'!$1:$1,0))+$G$13))),"")</f>
        <v/>
      </c>
      <c r="W79" s="26">
        <f>IFERROR(IF($F$14="","",IF($K$5+ROW()-26&gt;$K$6,"",IF(INDEX('Raw Pressure Data'!$A:$ZZ,$K$5+ROW()-26+$H$14,MATCH($F$14,'Raw Pressure Data'!$1:$1,0))=-999,"",INDEX('Raw Pressure Data'!$A:$ZZ,$K$5+ROW()-26+$H$14,MATCH($F$14,'Raw Pressure Data'!$1:$1,0))+$G$14))),"")</f>
        <v/>
      </c>
      <c r="X79" s="26">
        <f>IFERROR(IF($F$15="","",IF($K$5+ROW()-26&gt;$K$6,"",IF(INDEX('Raw Pressure Data'!$A:$ZZ,$K$5+ROW()-26+$H$15,MATCH($F$15,'Raw Pressure Data'!$1:$1,0))=-999,"",INDEX('Raw Pressure Data'!$A:$ZZ,$K$5+ROW()-26+$H$15,MATCH($F$15,'Raw Pressure Data'!$1:$1,0))+$G$15))),"")</f>
        <v/>
      </c>
      <c r="Y79" s="26">
        <f>IFERROR(IF($F$16="","",IF($K$5+ROW()-26&gt;$K$6,"",IF(INDEX('Raw Pressure Data'!$A:$ZZ,$K$5+ROW()-26+$H$16,MATCH($F$16,'Raw Pressure Data'!$1:$1,0))=-999,"",INDEX('Raw Pressure Data'!$A:$ZZ,$K$5+ROW()-26+$H$16,MATCH($F$16,'Raw Pressure Data'!$1:$1,0))+$G$16))),"")</f>
        <v/>
      </c>
      <c r="Z79" s="26">
        <f>IFERROR(IF($F$17="","",IF($K$5+ROW()-26&gt;$K$6,"",IF(INDEX('Raw Pressure Data'!$A:$ZZ,$K$5+ROW()-26+$H$17,MATCH($F$17,'Raw Pressure Data'!$1:$1,0))=-999,"",INDEX('Raw Pressure Data'!$A:$ZZ,$K$5+ROW()-26+$H$17,MATCH($F$17,'Raw Pressure Data'!$1:$1,0))+$G$17))),"")</f>
        <v/>
      </c>
      <c r="AA79" s="26">
        <f>IFERROR(IF($F$18="","",IF($K$5+ROW()-26&gt;$K$6,"",IF(INDEX('Raw Pressure Data'!$A:$ZZ,$K$5+ROW()-26+$H$18,MATCH($F$18,'Raw Pressure Data'!$1:$1,0))=-999,"",INDEX('Raw Pressure Data'!$A:$ZZ,$K$5+ROW()-26+$H$18,MATCH($F$18,'Raw Pressure Data'!$1:$1,0))+$G$18))),"")</f>
        <v/>
      </c>
      <c r="AB79" s="26">
        <f>IFERROR(IF($F$19="","",IF($K$5+ROW()-26&gt;$K$6,"",IF(INDEX('Raw Pressure Data'!$A:$ZZ,$K$5+ROW()-26+$H$19,MATCH($F$19,'Raw Pressure Data'!$1:$1,0))=-999,"",INDEX('Raw Pressure Data'!$A:$ZZ,$K$5+ROW()-26+$H$19,MATCH($F$19,'Raw Pressure Data'!$1:$1,0))+$G$19))),"")</f>
        <v/>
      </c>
      <c r="AC79" s="26">
        <f>IFERROR(IF($F$20="","",IF($K$5+ROW()-26&gt;$K$6,"",IF(INDEX('Raw Pressure Data'!$A:$ZZ,$K$5+ROW()-26+$H$20,MATCH($F$20,'Raw Pressure Data'!$1:$1,0))=-999,"",INDEX('Raw Pressure Data'!$A:$ZZ,$K$5+ROW()-26+$H$20,MATCH($F$20,'Raw Pressure Data'!$1:$1,0))+$G$20))),"")</f>
        <v/>
      </c>
      <c r="AD79" s="26">
        <f>IFERROR(IF($F$21="","",IF($K$5+ROW()-26&gt;$K$6,"",IF(INDEX('Raw Pressure Data'!$A:$ZZ,$K$5+ROW()-26+$H$21,MATCH($F$21,'Raw Pressure Data'!$1:$1,0))=-999,"",INDEX('Raw Pressure Data'!$A:$ZZ,$K$5+ROW()-26+$H$21,MATCH($F$21,'Raw Pressure Data'!$1:$1,0))+$G$21))),"")</f>
        <v/>
      </c>
      <c r="AE79" s="26">
        <f>IFERROR(IF($F$22="","",IF($K$5+ROW()-26&gt;$K$6,"",IF(INDEX('Raw Pressure Data'!$A:$ZZ,$K$5+ROW()-26+$H$22,MATCH($F$22,'Raw Pressure Data'!$1:$1,0))=-999,"",INDEX('Raw Pressure Data'!$A:$ZZ,$K$5+ROW()-26+$H$22,MATCH($F$22,'Raw Pressure Data'!$1:$1,0))+$G$22))),"")</f>
        <v/>
      </c>
    </row>
    <row r="80" ht="15" customHeight="1">
      <c r="A80" s="23">
        <f>IFERROR(IF($K$5+ROW()-26&gt;$K$6,"",IF(INDEX('Raw Flow Data'!$A:$A,$K$5+ROW()-26)="","",INDEX('Raw Flow Data'!$A:$A,$K$5+ROW()-26))),"")</f>
        <v/>
      </c>
      <c r="B80" s="24">
        <f>IFERROR(IF($B$3="","",IF($K$5+ROW()-26&gt;$K$6,"",IF(INDEX('Raw Flow Data'!$A:$ZZ,$K$5+ROW()-26+$D$3,MATCH($B$3,'Raw Flow Data'!$1:$1,0))=-999,"",INDEX('Raw Flow Data'!$A:$ZZ,$K$5+ROW()-26+$D$3,MATCH($B$3,'Raw Flow Data'!$1:$1,0))*$C$3))),"")</f>
        <v/>
      </c>
      <c r="C80" s="24">
        <f>IFERROR(IF($B$4="","",IF($K$5+ROW()-26&gt;$K$6,"",IF(INDEX('Raw Flow Data'!$A:$ZZ,$K$5+ROW()-26+$D$4,MATCH($B$4,'Raw Flow Data'!$1:$1,0))=-999,"",INDEX('Raw Flow Data'!$A:$ZZ,$K$5+ROW()-26+$D$4,MATCH($B$4,'Raw Flow Data'!$1:$1,0))*$C$4))),"")</f>
        <v/>
      </c>
      <c r="D80" s="24">
        <f>IFERROR(IF($B$5="","",IF($K$5+ROW()-26&gt;$K$6,"",IF(INDEX('Raw Flow Data'!$A:$ZZ,$K$5+ROW()-26+$D$5,MATCH($B$5,'Raw Flow Data'!$1:$1,0))=-999,"",INDEX('Raw Flow Data'!$A:$ZZ,$K$5+ROW()-26+$D$5,MATCH($B$5,'Raw Flow Data'!$1:$1,0))*$C$5))),"")</f>
        <v/>
      </c>
      <c r="E80" s="24">
        <f>IFERROR(IF($B$6="","",IF($K$5+ROW()-26&gt;$K$6,"",IF(INDEX('Raw Flow Data'!$A:$ZZ,$K$5+ROW()-26+$D$6,MATCH($B$6,'Raw Flow Data'!$1:$1,0))=-999,"",INDEX('Raw Flow Data'!$A:$ZZ,$K$5+ROW()-26+$D$6,MATCH($B$6,'Raw Flow Data'!$1:$1,0))*$C$6))),"")</f>
        <v/>
      </c>
      <c r="F80" s="24">
        <f>IFERROR(IF($B$7="","",IF($K$5+ROW()-26&gt;$K$6,"",IF(INDEX('Raw Flow Data'!$A:$ZZ,$K$5+ROW()-26+$D$7,MATCH($B$7,'Raw Flow Data'!$1:$1,0))=-999,"",INDEX('Raw Flow Data'!$A:$ZZ,$K$5+ROW()-26+$D$7,MATCH($B$7,'Raw Flow Data'!$1:$1,0))*$C$7))),"")</f>
        <v/>
      </c>
      <c r="G80" s="24">
        <f>IFERROR(IF($B$8="","",IF($K$5+ROW()-26&gt;$K$6,"",IF(INDEX('Raw Flow Data'!$A:$ZZ,$K$5+ROW()-26+$D$8,MATCH($B$8,'Raw Flow Data'!$1:$1,0))=-999,"",INDEX('Raw Flow Data'!$A:$ZZ,$K$5+ROW()-26+$D$8,MATCH($B$8,'Raw Flow Data'!$1:$1,0))*$C$8))),"")</f>
        <v/>
      </c>
      <c r="H80" s="24">
        <f>IFERROR(IF($B$9="","",IF($K$5+ROW()-26&gt;$K$6,"",IF(INDEX('Raw Flow Data'!$A:$ZZ,$K$5+ROW()-26+$D$9,MATCH($B$9,'Raw Flow Data'!$1:$1,0))=-999,"",INDEX('Raw Flow Data'!$A:$ZZ,$K$5+ROW()-26+$D$9,MATCH($B$9,'Raw Flow Data'!$1:$1,0))*$C$9))),"")</f>
        <v/>
      </c>
      <c r="I80" s="24">
        <f>IFERROR(IF($B$10="","",IF($K$5+ROW()-26&gt;$K$6,"",IF(INDEX('Raw Flow Data'!$A:$ZZ,$K$5+ROW()-26+$D$10,MATCH($B$10,'Raw Flow Data'!$1:$1,0))=-999,"",INDEX('Raw Flow Data'!$A:$ZZ,$K$5+ROW()-26+$D$10,MATCH($B$10,'Raw Flow Data'!$1:$1,0))*$C$10))),"")</f>
        <v/>
      </c>
      <c r="J80" s="24">
        <f>IFERROR(IF($B$11="","",IF($K$5+ROW()-26&gt;$K$6,"",IF(INDEX('Raw Flow Data'!$A:$ZZ,$K$5+ROW()-26+$D$11,MATCH($B$11,'Raw Flow Data'!$1:$1,0))=-999,"",INDEX('Raw Flow Data'!$A:$ZZ,$K$5+ROW()-26+$D$11,MATCH($B$11,'Raw Flow Data'!$1:$1,0))*$C$11))),"")</f>
        <v/>
      </c>
      <c r="K80" s="24">
        <f>IFERROR(IF($B$12="","",IF($K$5+ROW()-26&gt;$K$6,"",IF(INDEX('Raw Flow Data'!$A:$ZZ,$K$5+ROW()-26+$D$12,MATCH($B$12,'Raw Flow Data'!$1:$1,0))=-999,"",INDEX('Raw Flow Data'!$A:$ZZ,$K$5+ROW()-26+$D$12,MATCH($B$12,'Raw Flow Data'!$1:$1,0))*$C$12))),"")</f>
        <v/>
      </c>
      <c r="L80" s="24">
        <f>IFERROR(IF($F$3="","",IF($K$5+ROW()-26&gt;$K$6,"",IF(INDEX('Raw Pressure Data'!$A:$ZZ,$K$5+ROW()-26+$H$3,MATCH($F$3,'Raw Pressure Data'!$1:$1,0))=-999,"",INDEX('Raw Pressure Data'!$A:$ZZ,$K$5+ROW()-26+$H$3,MATCH($F$3,'Raw Pressure Data'!$1:$1,0))+$G$3))),"")</f>
        <v/>
      </c>
      <c r="M80" s="24">
        <f>IFERROR(IF($F$4="","",IF($K$5+ROW()-26&gt;$K$6,"",IF(INDEX('Raw Pressure Data'!$A:$ZZ,$K$5+ROW()-26+$H$4,MATCH($F$4,'Raw Pressure Data'!$1:$1,0))=-999,"",INDEX('Raw Pressure Data'!$A:$ZZ,$K$5+ROW()-26+$H$4,MATCH($F$4,'Raw Pressure Data'!$1:$1,0))+$G$4))),"")</f>
        <v/>
      </c>
      <c r="N80" s="24">
        <f>IFERROR(IF($F$5="","",IF($K$5+ROW()-26&gt;$K$6,"",IF(INDEX('Raw Pressure Data'!$A:$ZZ,$K$5+ROW()-26+$H$5,MATCH($F$5,'Raw Pressure Data'!$1:$1,0))=-999,"",INDEX('Raw Pressure Data'!$A:$ZZ,$K$5+ROW()-26+$H$5,MATCH($F$5,'Raw Pressure Data'!$1:$1,0))+$G$5))),"")</f>
        <v/>
      </c>
      <c r="O80" s="24">
        <f>IFERROR(IF($F$6="","",IF($K$5+ROW()-26&gt;$K$6,"",IF(INDEX('Raw Pressure Data'!$A:$ZZ,$K$5+ROW()-26+$H$6,MATCH($F$6,'Raw Pressure Data'!$1:$1,0))=-999,"",INDEX('Raw Pressure Data'!$A:$ZZ,$K$5+ROW()-26+$H$6,MATCH($F$6,'Raw Pressure Data'!$1:$1,0))+$G$6))),"")</f>
        <v/>
      </c>
      <c r="P80" s="24">
        <f>IFERROR(IF($F$7="","",IF($K$5+ROW()-26&gt;$K$6,"",IF(INDEX('Raw Pressure Data'!$A:$ZZ,$K$5+ROW()-26+$H$7,MATCH($F$7,'Raw Pressure Data'!$1:$1,0))=-999,"",INDEX('Raw Pressure Data'!$A:$ZZ,$K$5+ROW()-26+$H$7,MATCH($F$7,'Raw Pressure Data'!$1:$1,0))+$G$7))),"")</f>
        <v/>
      </c>
      <c r="Q80" s="24">
        <f>IFERROR(IF($F$8="","",IF($K$5+ROW()-26&gt;$K$6,"",IF(INDEX('Raw Pressure Data'!$A:$ZZ,$K$5+ROW()-26+$H$8,MATCH($F$8,'Raw Pressure Data'!$1:$1,0))=-999,"",INDEX('Raw Pressure Data'!$A:$ZZ,$K$5+ROW()-26+$H$8,MATCH($F$8,'Raw Pressure Data'!$1:$1,0))+$G$8))),"")</f>
        <v/>
      </c>
      <c r="R80" s="24">
        <f>IFERROR(IF($F$9="","",IF($K$5+ROW()-26&gt;$K$6,"",IF(INDEX('Raw Pressure Data'!$A:$ZZ,$K$5+ROW()-26+$H$9,MATCH($F$9,'Raw Pressure Data'!$1:$1,0))=-999,"",INDEX('Raw Pressure Data'!$A:$ZZ,$K$5+ROW()-26+$H$9,MATCH($F$9,'Raw Pressure Data'!$1:$1,0))+$G$9))),"")</f>
        <v/>
      </c>
      <c r="S80" s="24">
        <f>IFERROR(IF($F$10="","",IF($K$5+ROW()-26&gt;$K$6,"",IF(INDEX('Raw Pressure Data'!$A:$ZZ,$K$5+ROW()-26+$H$10,MATCH($F$10,'Raw Pressure Data'!$1:$1,0))=-999,"",INDEX('Raw Pressure Data'!$A:$ZZ,$K$5+ROW()-26+$H$10,MATCH($F$10,'Raw Pressure Data'!$1:$1,0))+$G$10))),"")</f>
        <v/>
      </c>
      <c r="T80" s="24">
        <f>IFERROR(IF($F$11="","",IF($K$5+ROW()-26&gt;$K$6,"",IF(INDEX('Raw Pressure Data'!$A:$ZZ,$K$5+ROW()-26+$H$11,MATCH($F$11,'Raw Pressure Data'!$1:$1,0))=-999,"",INDEX('Raw Pressure Data'!$A:$ZZ,$K$5+ROW()-26+$H$11,MATCH($F$11,'Raw Pressure Data'!$1:$1,0))+$G$11))),"")</f>
        <v/>
      </c>
      <c r="U80" s="24">
        <f>IFERROR(IF($F$12="","",IF($K$5+ROW()-26&gt;$K$6,"",IF(INDEX('Raw Pressure Data'!$A:$ZZ,$K$5+ROW()-26+$H$12,MATCH($F$12,'Raw Pressure Data'!$1:$1,0))=-999,"",INDEX('Raw Pressure Data'!$A:$ZZ,$K$5+ROW()-26+$H$12,MATCH($F$12,'Raw Pressure Data'!$1:$1,0))+$G$12))),"")</f>
        <v/>
      </c>
      <c r="V80" s="24">
        <f>IFERROR(IF($F$13="","",IF($K$5+ROW()-26&gt;$K$6,"",IF(INDEX('Raw Pressure Data'!$A:$ZZ,$K$5+ROW()-26+$H$13,MATCH($F$13,'Raw Pressure Data'!$1:$1,0))=-999,"",INDEX('Raw Pressure Data'!$A:$ZZ,$K$5+ROW()-26+$H$13,MATCH($F$13,'Raw Pressure Data'!$1:$1,0))+$G$13))),"")</f>
        <v/>
      </c>
      <c r="W80" s="24">
        <f>IFERROR(IF($F$14="","",IF($K$5+ROW()-26&gt;$K$6,"",IF(INDEX('Raw Pressure Data'!$A:$ZZ,$K$5+ROW()-26+$H$14,MATCH($F$14,'Raw Pressure Data'!$1:$1,0))=-999,"",INDEX('Raw Pressure Data'!$A:$ZZ,$K$5+ROW()-26+$H$14,MATCH($F$14,'Raw Pressure Data'!$1:$1,0))+$G$14))),"")</f>
        <v/>
      </c>
      <c r="X80" s="24">
        <f>IFERROR(IF($F$15="","",IF($K$5+ROW()-26&gt;$K$6,"",IF(INDEX('Raw Pressure Data'!$A:$ZZ,$K$5+ROW()-26+$H$15,MATCH($F$15,'Raw Pressure Data'!$1:$1,0))=-999,"",INDEX('Raw Pressure Data'!$A:$ZZ,$K$5+ROW()-26+$H$15,MATCH($F$15,'Raw Pressure Data'!$1:$1,0))+$G$15))),"")</f>
        <v/>
      </c>
      <c r="Y80" s="24">
        <f>IFERROR(IF($F$16="","",IF($K$5+ROW()-26&gt;$K$6,"",IF(INDEX('Raw Pressure Data'!$A:$ZZ,$K$5+ROW()-26+$H$16,MATCH($F$16,'Raw Pressure Data'!$1:$1,0))=-999,"",INDEX('Raw Pressure Data'!$A:$ZZ,$K$5+ROW()-26+$H$16,MATCH($F$16,'Raw Pressure Data'!$1:$1,0))+$G$16))),"")</f>
        <v/>
      </c>
      <c r="Z80" s="24">
        <f>IFERROR(IF($F$17="","",IF($K$5+ROW()-26&gt;$K$6,"",IF(INDEX('Raw Pressure Data'!$A:$ZZ,$K$5+ROW()-26+$H$17,MATCH($F$17,'Raw Pressure Data'!$1:$1,0))=-999,"",INDEX('Raw Pressure Data'!$A:$ZZ,$K$5+ROW()-26+$H$17,MATCH($F$17,'Raw Pressure Data'!$1:$1,0))+$G$17))),"")</f>
        <v/>
      </c>
      <c r="AA80" s="24">
        <f>IFERROR(IF($F$18="","",IF($K$5+ROW()-26&gt;$K$6,"",IF(INDEX('Raw Pressure Data'!$A:$ZZ,$K$5+ROW()-26+$H$18,MATCH($F$18,'Raw Pressure Data'!$1:$1,0))=-999,"",INDEX('Raw Pressure Data'!$A:$ZZ,$K$5+ROW()-26+$H$18,MATCH($F$18,'Raw Pressure Data'!$1:$1,0))+$G$18))),"")</f>
        <v/>
      </c>
      <c r="AB80" s="24">
        <f>IFERROR(IF($F$19="","",IF($K$5+ROW()-26&gt;$K$6,"",IF(INDEX('Raw Pressure Data'!$A:$ZZ,$K$5+ROW()-26+$H$19,MATCH($F$19,'Raw Pressure Data'!$1:$1,0))=-999,"",INDEX('Raw Pressure Data'!$A:$ZZ,$K$5+ROW()-26+$H$19,MATCH($F$19,'Raw Pressure Data'!$1:$1,0))+$G$19))),"")</f>
        <v/>
      </c>
      <c r="AC80" s="24">
        <f>IFERROR(IF($F$20="","",IF($K$5+ROW()-26&gt;$K$6,"",IF(INDEX('Raw Pressure Data'!$A:$ZZ,$K$5+ROW()-26+$H$20,MATCH($F$20,'Raw Pressure Data'!$1:$1,0))=-999,"",INDEX('Raw Pressure Data'!$A:$ZZ,$K$5+ROW()-26+$H$20,MATCH($F$20,'Raw Pressure Data'!$1:$1,0))+$G$20))),"")</f>
        <v/>
      </c>
      <c r="AD80" s="24">
        <f>IFERROR(IF($F$21="","",IF($K$5+ROW()-26&gt;$K$6,"",IF(INDEX('Raw Pressure Data'!$A:$ZZ,$K$5+ROW()-26+$H$21,MATCH($F$21,'Raw Pressure Data'!$1:$1,0))=-999,"",INDEX('Raw Pressure Data'!$A:$ZZ,$K$5+ROW()-26+$H$21,MATCH($F$21,'Raw Pressure Data'!$1:$1,0))+$G$21))),"")</f>
        <v/>
      </c>
      <c r="AE80" s="24">
        <f>IFERROR(IF($F$22="","",IF($K$5+ROW()-26&gt;$K$6,"",IF(INDEX('Raw Pressure Data'!$A:$ZZ,$K$5+ROW()-26+$H$22,MATCH($F$22,'Raw Pressure Data'!$1:$1,0))=-999,"",INDEX('Raw Pressure Data'!$A:$ZZ,$K$5+ROW()-26+$H$22,MATCH($F$22,'Raw Pressure Data'!$1:$1,0))+$G$22))),"")</f>
        <v/>
      </c>
    </row>
    <row r="81" ht="15" customHeight="1">
      <c r="A81" s="25">
        <f>IFERROR(IF($K$5+ROW()-26&gt;$K$6,"",IF(INDEX('Raw Flow Data'!$A:$A,$K$5+ROW()-26)="","",INDEX('Raw Flow Data'!$A:$A,$K$5+ROW()-26))),"")</f>
        <v/>
      </c>
      <c r="B81" s="26">
        <f>IFERROR(IF($B$3="","",IF($K$5+ROW()-26&gt;$K$6,"",IF(INDEX('Raw Flow Data'!$A:$ZZ,$K$5+ROW()-26+$D$3,MATCH($B$3,'Raw Flow Data'!$1:$1,0))=-999,"",INDEX('Raw Flow Data'!$A:$ZZ,$K$5+ROW()-26+$D$3,MATCH($B$3,'Raw Flow Data'!$1:$1,0))*$C$3))),"")</f>
        <v/>
      </c>
      <c r="C81" s="26">
        <f>IFERROR(IF($B$4="","",IF($K$5+ROW()-26&gt;$K$6,"",IF(INDEX('Raw Flow Data'!$A:$ZZ,$K$5+ROW()-26+$D$4,MATCH($B$4,'Raw Flow Data'!$1:$1,0))=-999,"",INDEX('Raw Flow Data'!$A:$ZZ,$K$5+ROW()-26+$D$4,MATCH($B$4,'Raw Flow Data'!$1:$1,0))*$C$4))),"")</f>
        <v/>
      </c>
      <c r="D81" s="26">
        <f>IFERROR(IF($B$5="","",IF($K$5+ROW()-26&gt;$K$6,"",IF(INDEX('Raw Flow Data'!$A:$ZZ,$K$5+ROW()-26+$D$5,MATCH($B$5,'Raw Flow Data'!$1:$1,0))=-999,"",INDEX('Raw Flow Data'!$A:$ZZ,$K$5+ROW()-26+$D$5,MATCH($B$5,'Raw Flow Data'!$1:$1,0))*$C$5))),"")</f>
        <v/>
      </c>
      <c r="E81" s="26">
        <f>IFERROR(IF($B$6="","",IF($K$5+ROW()-26&gt;$K$6,"",IF(INDEX('Raw Flow Data'!$A:$ZZ,$K$5+ROW()-26+$D$6,MATCH($B$6,'Raw Flow Data'!$1:$1,0))=-999,"",INDEX('Raw Flow Data'!$A:$ZZ,$K$5+ROW()-26+$D$6,MATCH($B$6,'Raw Flow Data'!$1:$1,0))*$C$6))),"")</f>
        <v/>
      </c>
      <c r="F81" s="26">
        <f>IFERROR(IF($B$7="","",IF($K$5+ROW()-26&gt;$K$6,"",IF(INDEX('Raw Flow Data'!$A:$ZZ,$K$5+ROW()-26+$D$7,MATCH($B$7,'Raw Flow Data'!$1:$1,0))=-999,"",INDEX('Raw Flow Data'!$A:$ZZ,$K$5+ROW()-26+$D$7,MATCH($B$7,'Raw Flow Data'!$1:$1,0))*$C$7))),"")</f>
        <v/>
      </c>
      <c r="G81" s="26">
        <f>IFERROR(IF($B$8="","",IF($K$5+ROW()-26&gt;$K$6,"",IF(INDEX('Raw Flow Data'!$A:$ZZ,$K$5+ROW()-26+$D$8,MATCH($B$8,'Raw Flow Data'!$1:$1,0))=-999,"",INDEX('Raw Flow Data'!$A:$ZZ,$K$5+ROW()-26+$D$8,MATCH($B$8,'Raw Flow Data'!$1:$1,0))*$C$8))),"")</f>
        <v/>
      </c>
      <c r="H81" s="26">
        <f>IFERROR(IF($B$9="","",IF($K$5+ROW()-26&gt;$K$6,"",IF(INDEX('Raw Flow Data'!$A:$ZZ,$K$5+ROW()-26+$D$9,MATCH($B$9,'Raw Flow Data'!$1:$1,0))=-999,"",INDEX('Raw Flow Data'!$A:$ZZ,$K$5+ROW()-26+$D$9,MATCH($B$9,'Raw Flow Data'!$1:$1,0))*$C$9))),"")</f>
        <v/>
      </c>
      <c r="I81" s="26">
        <f>IFERROR(IF($B$10="","",IF($K$5+ROW()-26&gt;$K$6,"",IF(INDEX('Raw Flow Data'!$A:$ZZ,$K$5+ROW()-26+$D$10,MATCH($B$10,'Raw Flow Data'!$1:$1,0))=-999,"",INDEX('Raw Flow Data'!$A:$ZZ,$K$5+ROW()-26+$D$10,MATCH($B$10,'Raw Flow Data'!$1:$1,0))*$C$10))),"")</f>
        <v/>
      </c>
      <c r="J81" s="26">
        <f>IFERROR(IF($B$11="","",IF($K$5+ROW()-26&gt;$K$6,"",IF(INDEX('Raw Flow Data'!$A:$ZZ,$K$5+ROW()-26+$D$11,MATCH($B$11,'Raw Flow Data'!$1:$1,0))=-999,"",INDEX('Raw Flow Data'!$A:$ZZ,$K$5+ROW()-26+$D$11,MATCH($B$11,'Raw Flow Data'!$1:$1,0))*$C$11))),"")</f>
        <v/>
      </c>
      <c r="K81" s="26">
        <f>IFERROR(IF($B$12="","",IF($K$5+ROW()-26&gt;$K$6,"",IF(INDEX('Raw Flow Data'!$A:$ZZ,$K$5+ROW()-26+$D$12,MATCH($B$12,'Raw Flow Data'!$1:$1,0))=-999,"",INDEX('Raw Flow Data'!$A:$ZZ,$K$5+ROW()-26+$D$12,MATCH($B$12,'Raw Flow Data'!$1:$1,0))*$C$12))),"")</f>
        <v/>
      </c>
      <c r="L81" s="26">
        <f>IFERROR(IF($F$3="","",IF($K$5+ROW()-26&gt;$K$6,"",IF(INDEX('Raw Pressure Data'!$A:$ZZ,$K$5+ROW()-26+$H$3,MATCH($F$3,'Raw Pressure Data'!$1:$1,0))=-999,"",INDEX('Raw Pressure Data'!$A:$ZZ,$K$5+ROW()-26+$H$3,MATCH($F$3,'Raw Pressure Data'!$1:$1,0))+$G$3))),"")</f>
        <v/>
      </c>
      <c r="M81" s="26">
        <f>IFERROR(IF($F$4="","",IF($K$5+ROW()-26&gt;$K$6,"",IF(INDEX('Raw Pressure Data'!$A:$ZZ,$K$5+ROW()-26+$H$4,MATCH($F$4,'Raw Pressure Data'!$1:$1,0))=-999,"",INDEX('Raw Pressure Data'!$A:$ZZ,$K$5+ROW()-26+$H$4,MATCH($F$4,'Raw Pressure Data'!$1:$1,0))+$G$4))),"")</f>
        <v/>
      </c>
      <c r="N81" s="26">
        <f>IFERROR(IF($F$5="","",IF($K$5+ROW()-26&gt;$K$6,"",IF(INDEX('Raw Pressure Data'!$A:$ZZ,$K$5+ROW()-26+$H$5,MATCH($F$5,'Raw Pressure Data'!$1:$1,0))=-999,"",INDEX('Raw Pressure Data'!$A:$ZZ,$K$5+ROW()-26+$H$5,MATCH($F$5,'Raw Pressure Data'!$1:$1,0))+$G$5))),"")</f>
        <v/>
      </c>
      <c r="O81" s="26">
        <f>IFERROR(IF($F$6="","",IF($K$5+ROW()-26&gt;$K$6,"",IF(INDEX('Raw Pressure Data'!$A:$ZZ,$K$5+ROW()-26+$H$6,MATCH($F$6,'Raw Pressure Data'!$1:$1,0))=-999,"",INDEX('Raw Pressure Data'!$A:$ZZ,$K$5+ROW()-26+$H$6,MATCH($F$6,'Raw Pressure Data'!$1:$1,0))+$G$6))),"")</f>
        <v/>
      </c>
      <c r="P81" s="26">
        <f>IFERROR(IF($F$7="","",IF($K$5+ROW()-26&gt;$K$6,"",IF(INDEX('Raw Pressure Data'!$A:$ZZ,$K$5+ROW()-26+$H$7,MATCH($F$7,'Raw Pressure Data'!$1:$1,0))=-999,"",INDEX('Raw Pressure Data'!$A:$ZZ,$K$5+ROW()-26+$H$7,MATCH($F$7,'Raw Pressure Data'!$1:$1,0))+$G$7))),"")</f>
        <v/>
      </c>
      <c r="Q81" s="26">
        <f>IFERROR(IF($F$8="","",IF($K$5+ROW()-26&gt;$K$6,"",IF(INDEX('Raw Pressure Data'!$A:$ZZ,$K$5+ROW()-26+$H$8,MATCH($F$8,'Raw Pressure Data'!$1:$1,0))=-999,"",INDEX('Raw Pressure Data'!$A:$ZZ,$K$5+ROW()-26+$H$8,MATCH($F$8,'Raw Pressure Data'!$1:$1,0))+$G$8))),"")</f>
        <v/>
      </c>
      <c r="R81" s="26">
        <f>IFERROR(IF($F$9="","",IF($K$5+ROW()-26&gt;$K$6,"",IF(INDEX('Raw Pressure Data'!$A:$ZZ,$K$5+ROW()-26+$H$9,MATCH($F$9,'Raw Pressure Data'!$1:$1,0))=-999,"",INDEX('Raw Pressure Data'!$A:$ZZ,$K$5+ROW()-26+$H$9,MATCH($F$9,'Raw Pressure Data'!$1:$1,0))+$G$9))),"")</f>
        <v/>
      </c>
      <c r="S81" s="26">
        <f>IFERROR(IF($F$10="","",IF($K$5+ROW()-26&gt;$K$6,"",IF(INDEX('Raw Pressure Data'!$A:$ZZ,$K$5+ROW()-26+$H$10,MATCH($F$10,'Raw Pressure Data'!$1:$1,0))=-999,"",INDEX('Raw Pressure Data'!$A:$ZZ,$K$5+ROW()-26+$H$10,MATCH($F$10,'Raw Pressure Data'!$1:$1,0))+$G$10))),"")</f>
        <v/>
      </c>
      <c r="T81" s="26">
        <f>IFERROR(IF($F$11="","",IF($K$5+ROW()-26&gt;$K$6,"",IF(INDEX('Raw Pressure Data'!$A:$ZZ,$K$5+ROW()-26+$H$11,MATCH($F$11,'Raw Pressure Data'!$1:$1,0))=-999,"",INDEX('Raw Pressure Data'!$A:$ZZ,$K$5+ROW()-26+$H$11,MATCH($F$11,'Raw Pressure Data'!$1:$1,0))+$G$11))),"")</f>
        <v/>
      </c>
      <c r="U81" s="26">
        <f>IFERROR(IF($F$12="","",IF($K$5+ROW()-26&gt;$K$6,"",IF(INDEX('Raw Pressure Data'!$A:$ZZ,$K$5+ROW()-26+$H$12,MATCH($F$12,'Raw Pressure Data'!$1:$1,0))=-999,"",INDEX('Raw Pressure Data'!$A:$ZZ,$K$5+ROW()-26+$H$12,MATCH($F$12,'Raw Pressure Data'!$1:$1,0))+$G$12))),"")</f>
        <v/>
      </c>
      <c r="V81" s="26">
        <f>IFERROR(IF($F$13="","",IF($K$5+ROW()-26&gt;$K$6,"",IF(INDEX('Raw Pressure Data'!$A:$ZZ,$K$5+ROW()-26+$H$13,MATCH($F$13,'Raw Pressure Data'!$1:$1,0))=-999,"",INDEX('Raw Pressure Data'!$A:$ZZ,$K$5+ROW()-26+$H$13,MATCH($F$13,'Raw Pressure Data'!$1:$1,0))+$G$13))),"")</f>
        <v/>
      </c>
      <c r="W81" s="26">
        <f>IFERROR(IF($F$14="","",IF($K$5+ROW()-26&gt;$K$6,"",IF(INDEX('Raw Pressure Data'!$A:$ZZ,$K$5+ROW()-26+$H$14,MATCH($F$14,'Raw Pressure Data'!$1:$1,0))=-999,"",INDEX('Raw Pressure Data'!$A:$ZZ,$K$5+ROW()-26+$H$14,MATCH($F$14,'Raw Pressure Data'!$1:$1,0))+$G$14))),"")</f>
        <v/>
      </c>
      <c r="X81" s="26">
        <f>IFERROR(IF($F$15="","",IF($K$5+ROW()-26&gt;$K$6,"",IF(INDEX('Raw Pressure Data'!$A:$ZZ,$K$5+ROW()-26+$H$15,MATCH($F$15,'Raw Pressure Data'!$1:$1,0))=-999,"",INDEX('Raw Pressure Data'!$A:$ZZ,$K$5+ROW()-26+$H$15,MATCH($F$15,'Raw Pressure Data'!$1:$1,0))+$G$15))),"")</f>
        <v/>
      </c>
      <c r="Y81" s="26">
        <f>IFERROR(IF($F$16="","",IF($K$5+ROW()-26&gt;$K$6,"",IF(INDEX('Raw Pressure Data'!$A:$ZZ,$K$5+ROW()-26+$H$16,MATCH($F$16,'Raw Pressure Data'!$1:$1,0))=-999,"",INDEX('Raw Pressure Data'!$A:$ZZ,$K$5+ROW()-26+$H$16,MATCH($F$16,'Raw Pressure Data'!$1:$1,0))+$G$16))),"")</f>
        <v/>
      </c>
      <c r="Z81" s="26">
        <f>IFERROR(IF($F$17="","",IF($K$5+ROW()-26&gt;$K$6,"",IF(INDEX('Raw Pressure Data'!$A:$ZZ,$K$5+ROW()-26+$H$17,MATCH($F$17,'Raw Pressure Data'!$1:$1,0))=-999,"",INDEX('Raw Pressure Data'!$A:$ZZ,$K$5+ROW()-26+$H$17,MATCH($F$17,'Raw Pressure Data'!$1:$1,0))+$G$17))),"")</f>
        <v/>
      </c>
      <c r="AA81" s="26">
        <f>IFERROR(IF($F$18="","",IF($K$5+ROW()-26&gt;$K$6,"",IF(INDEX('Raw Pressure Data'!$A:$ZZ,$K$5+ROW()-26+$H$18,MATCH($F$18,'Raw Pressure Data'!$1:$1,0))=-999,"",INDEX('Raw Pressure Data'!$A:$ZZ,$K$5+ROW()-26+$H$18,MATCH($F$18,'Raw Pressure Data'!$1:$1,0))+$G$18))),"")</f>
        <v/>
      </c>
      <c r="AB81" s="26">
        <f>IFERROR(IF($F$19="","",IF($K$5+ROW()-26&gt;$K$6,"",IF(INDEX('Raw Pressure Data'!$A:$ZZ,$K$5+ROW()-26+$H$19,MATCH($F$19,'Raw Pressure Data'!$1:$1,0))=-999,"",INDEX('Raw Pressure Data'!$A:$ZZ,$K$5+ROW()-26+$H$19,MATCH($F$19,'Raw Pressure Data'!$1:$1,0))+$G$19))),"")</f>
        <v/>
      </c>
      <c r="AC81" s="26">
        <f>IFERROR(IF($F$20="","",IF($K$5+ROW()-26&gt;$K$6,"",IF(INDEX('Raw Pressure Data'!$A:$ZZ,$K$5+ROW()-26+$H$20,MATCH($F$20,'Raw Pressure Data'!$1:$1,0))=-999,"",INDEX('Raw Pressure Data'!$A:$ZZ,$K$5+ROW()-26+$H$20,MATCH($F$20,'Raw Pressure Data'!$1:$1,0))+$G$20))),"")</f>
        <v/>
      </c>
      <c r="AD81" s="26">
        <f>IFERROR(IF($F$21="","",IF($K$5+ROW()-26&gt;$K$6,"",IF(INDEX('Raw Pressure Data'!$A:$ZZ,$K$5+ROW()-26+$H$21,MATCH($F$21,'Raw Pressure Data'!$1:$1,0))=-999,"",INDEX('Raw Pressure Data'!$A:$ZZ,$K$5+ROW()-26+$H$21,MATCH($F$21,'Raw Pressure Data'!$1:$1,0))+$G$21))),"")</f>
        <v/>
      </c>
      <c r="AE81" s="26">
        <f>IFERROR(IF($F$22="","",IF($K$5+ROW()-26&gt;$K$6,"",IF(INDEX('Raw Pressure Data'!$A:$ZZ,$K$5+ROW()-26+$H$22,MATCH($F$22,'Raw Pressure Data'!$1:$1,0))=-999,"",INDEX('Raw Pressure Data'!$A:$ZZ,$K$5+ROW()-26+$H$22,MATCH($F$22,'Raw Pressure Data'!$1:$1,0))+$G$22))),"")</f>
        <v/>
      </c>
    </row>
    <row r="82" ht="15" customHeight="1">
      <c r="A82" s="23">
        <f>IFERROR(IF($K$5+ROW()-26&gt;$K$6,"",IF(INDEX('Raw Flow Data'!$A:$A,$K$5+ROW()-26)="","",INDEX('Raw Flow Data'!$A:$A,$K$5+ROW()-26))),"")</f>
        <v/>
      </c>
      <c r="B82" s="24">
        <f>IFERROR(IF($B$3="","",IF($K$5+ROW()-26&gt;$K$6,"",IF(INDEX('Raw Flow Data'!$A:$ZZ,$K$5+ROW()-26+$D$3,MATCH($B$3,'Raw Flow Data'!$1:$1,0))=-999,"",INDEX('Raw Flow Data'!$A:$ZZ,$K$5+ROW()-26+$D$3,MATCH($B$3,'Raw Flow Data'!$1:$1,0))*$C$3))),"")</f>
        <v/>
      </c>
      <c r="C82" s="24">
        <f>IFERROR(IF($B$4="","",IF($K$5+ROW()-26&gt;$K$6,"",IF(INDEX('Raw Flow Data'!$A:$ZZ,$K$5+ROW()-26+$D$4,MATCH($B$4,'Raw Flow Data'!$1:$1,0))=-999,"",INDEX('Raw Flow Data'!$A:$ZZ,$K$5+ROW()-26+$D$4,MATCH($B$4,'Raw Flow Data'!$1:$1,0))*$C$4))),"")</f>
        <v/>
      </c>
      <c r="D82" s="24">
        <f>IFERROR(IF($B$5="","",IF($K$5+ROW()-26&gt;$K$6,"",IF(INDEX('Raw Flow Data'!$A:$ZZ,$K$5+ROW()-26+$D$5,MATCH($B$5,'Raw Flow Data'!$1:$1,0))=-999,"",INDEX('Raw Flow Data'!$A:$ZZ,$K$5+ROW()-26+$D$5,MATCH($B$5,'Raw Flow Data'!$1:$1,0))*$C$5))),"")</f>
        <v/>
      </c>
      <c r="E82" s="24">
        <f>IFERROR(IF($B$6="","",IF($K$5+ROW()-26&gt;$K$6,"",IF(INDEX('Raw Flow Data'!$A:$ZZ,$K$5+ROW()-26+$D$6,MATCH($B$6,'Raw Flow Data'!$1:$1,0))=-999,"",INDEX('Raw Flow Data'!$A:$ZZ,$K$5+ROW()-26+$D$6,MATCH($B$6,'Raw Flow Data'!$1:$1,0))*$C$6))),"")</f>
        <v/>
      </c>
      <c r="F82" s="24">
        <f>IFERROR(IF($B$7="","",IF($K$5+ROW()-26&gt;$K$6,"",IF(INDEX('Raw Flow Data'!$A:$ZZ,$K$5+ROW()-26+$D$7,MATCH($B$7,'Raw Flow Data'!$1:$1,0))=-999,"",INDEX('Raw Flow Data'!$A:$ZZ,$K$5+ROW()-26+$D$7,MATCH($B$7,'Raw Flow Data'!$1:$1,0))*$C$7))),"")</f>
        <v/>
      </c>
      <c r="G82" s="24">
        <f>IFERROR(IF($B$8="","",IF($K$5+ROW()-26&gt;$K$6,"",IF(INDEX('Raw Flow Data'!$A:$ZZ,$K$5+ROW()-26+$D$8,MATCH($B$8,'Raw Flow Data'!$1:$1,0))=-999,"",INDEX('Raw Flow Data'!$A:$ZZ,$K$5+ROW()-26+$D$8,MATCH($B$8,'Raw Flow Data'!$1:$1,0))*$C$8))),"")</f>
        <v/>
      </c>
      <c r="H82" s="24">
        <f>IFERROR(IF($B$9="","",IF($K$5+ROW()-26&gt;$K$6,"",IF(INDEX('Raw Flow Data'!$A:$ZZ,$K$5+ROW()-26+$D$9,MATCH($B$9,'Raw Flow Data'!$1:$1,0))=-999,"",INDEX('Raw Flow Data'!$A:$ZZ,$K$5+ROW()-26+$D$9,MATCH($B$9,'Raw Flow Data'!$1:$1,0))*$C$9))),"")</f>
        <v/>
      </c>
      <c r="I82" s="24">
        <f>IFERROR(IF($B$10="","",IF($K$5+ROW()-26&gt;$K$6,"",IF(INDEX('Raw Flow Data'!$A:$ZZ,$K$5+ROW()-26+$D$10,MATCH($B$10,'Raw Flow Data'!$1:$1,0))=-999,"",INDEX('Raw Flow Data'!$A:$ZZ,$K$5+ROW()-26+$D$10,MATCH($B$10,'Raw Flow Data'!$1:$1,0))*$C$10))),"")</f>
        <v/>
      </c>
      <c r="J82" s="24">
        <f>IFERROR(IF($B$11="","",IF($K$5+ROW()-26&gt;$K$6,"",IF(INDEX('Raw Flow Data'!$A:$ZZ,$K$5+ROW()-26+$D$11,MATCH($B$11,'Raw Flow Data'!$1:$1,0))=-999,"",INDEX('Raw Flow Data'!$A:$ZZ,$K$5+ROW()-26+$D$11,MATCH($B$11,'Raw Flow Data'!$1:$1,0))*$C$11))),"")</f>
        <v/>
      </c>
      <c r="K82" s="24">
        <f>IFERROR(IF($B$12="","",IF($K$5+ROW()-26&gt;$K$6,"",IF(INDEX('Raw Flow Data'!$A:$ZZ,$K$5+ROW()-26+$D$12,MATCH($B$12,'Raw Flow Data'!$1:$1,0))=-999,"",INDEX('Raw Flow Data'!$A:$ZZ,$K$5+ROW()-26+$D$12,MATCH($B$12,'Raw Flow Data'!$1:$1,0))*$C$12))),"")</f>
        <v/>
      </c>
      <c r="L82" s="24">
        <f>IFERROR(IF($F$3="","",IF($K$5+ROW()-26&gt;$K$6,"",IF(INDEX('Raw Pressure Data'!$A:$ZZ,$K$5+ROW()-26+$H$3,MATCH($F$3,'Raw Pressure Data'!$1:$1,0))=-999,"",INDEX('Raw Pressure Data'!$A:$ZZ,$K$5+ROW()-26+$H$3,MATCH($F$3,'Raw Pressure Data'!$1:$1,0))+$G$3))),"")</f>
        <v/>
      </c>
      <c r="M82" s="24">
        <f>IFERROR(IF($F$4="","",IF($K$5+ROW()-26&gt;$K$6,"",IF(INDEX('Raw Pressure Data'!$A:$ZZ,$K$5+ROW()-26+$H$4,MATCH($F$4,'Raw Pressure Data'!$1:$1,0))=-999,"",INDEX('Raw Pressure Data'!$A:$ZZ,$K$5+ROW()-26+$H$4,MATCH($F$4,'Raw Pressure Data'!$1:$1,0))+$G$4))),"")</f>
        <v/>
      </c>
      <c r="N82" s="24">
        <f>IFERROR(IF($F$5="","",IF($K$5+ROW()-26&gt;$K$6,"",IF(INDEX('Raw Pressure Data'!$A:$ZZ,$K$5+ROW()-26+$H$5,MATCH($F$5,'Raw Pressure Data'!$1:$1,0))=-999,"",INDEX('Raw Pressure Data'!$A:$ZZ,$K$5+ROW()-26+$H$5,MATCH($F$5,'Raw Pressure Data'!$1:$1,0))+$G$5))),"")</f>
        <v/>
      </c>
      <c r="O82" s="24">
        <f>IFERROR(IF($F$6="","",IF($K$5+ROW()-26&gt;$K$6,"",IF(INDEX('Raw Pressure Data'!$A:$ZZ,$K$5+ROW()-26+$H$6,MATCH($F$6,'Raw Pressure Data'!$1:$1,0))=-999,"",INDEX('Raw Pressure Data'!$A:$ZZ,$K$5+ROW()-26+$H$6,MATCH($F$6,'Raw Pressure Data'!$1:$1,0))+$G$6))),"")</f>
        <v/>
      </c>
      <c r="P82" s="24">
        <f>IFERROR(IF($F$7="","",IF($K$5+ROW()-26&gt;$K$6,"",IF(INDEX('Raw Pressure Data'!$A:$ZZ,$K$5+ROW()-26+$H$7,MATCH($F$7,'Raw Pressure Data'!$1:$1,0))=-999,"",INDEX('Raw Pressure Data'!$A:$ZZ,$K$5+ROW()-26+$H$7,MATCH($F$7,'Raw Pressure Data'!$1:$1,0))+$G$7))),"")</f>
        <v/>
      </c>
      <c r="Q82" s="24">
        <f>IFERROR(IF($F$8="","",IF($K$5+ROW()-26&gt;$K$6,"",IF(INDEX('Raw Pressure Data'!$A:$ZZ,$K$5+ROW()-26+$H$8,MATCH($F$8,'Raw Pressure Data'!$1:$1,0))=-999,"",INDEX('Raw Pressure Data'!$A:$ZZ,$K$5+ROW()-26+$H$8,MATCH($F$8,'Raw Pressure Data'!$1:$1,0))+$G$8))),"")</f>
        <v/>
      </c>
      <c r="R82" s="24">
        <f>IFERROR(IF($F$9="","",IF($K$5+ROW()-26&gt;$K$6,"",IF(INDEX('Raw Pressure Data'!$A:$ZZ,$K$5+ROW()-26+$H$9,MATCH($F$9,'Raw Pressure Data'!$1:$1,0))=-999,"",INDEX('Raw Pressure Data'!$A:$ZZ,$K$5+ROW()-26+$H$9,MATCH($F$9,'Raw Pressure Data'!$1:$1,0))+$G$9))),"")</f>
        <v/>
      </c>
      <c r="S82" s="24">
        <f>IFERROR(IF($F$10="","",IF($K$5+ROW()-26&gt;$K$6,"",IF(INDEX('Raw Pressure Data'!$A:$ZZ,$K$5+ROW()-26+$H$10,MATCH($F$10,'Raw Pressure Data'!$1:$1,0))=-999,"",INDEX('Raw Pressure Data'!$A:$ZZ,$K$5+ROW()-26+$H$10,MATCH($F$10,'Raw Pressure Data'!$1:$1,0))+$G$10))),"")</f>
        <v/>
      </c>
      <c r="T82" s="24">
        <f>IFERROR(IF($F$11="","",IF($K$5+ROW()-26&gt;$K$6,"",IF(INDEX('Raw Pressure Data'!$A:$ZZ,$K$5+ROW()-26+$H$11,MATCH($F$11,'Raw Pressure Data'!$1:$1,0))=-999,"",INDEX('Raw Pressure Data'!$A:$ZZ,$K$5+ROW()-26+$H$11,MATCH($F$11,'Raw Pressure Data'!$1:$1,0))+$G$11))),"")</f>
        <v/>
      </c>
      <c r="U82" s="24">
        <f>IFERROR(IF($F$12="","",IF($K$5+ROW()-26&gt;$K$6,"",IF(INDEX('Raw Pressure Data'!$A:$ZZ,$K$5+ROW()-26+$H$12,MATCH($F$12,'Raw Pressure Data'!$1:$1,0))=-999,"",INDEX('Raw Pressure Data'!$A:$ZZ,$K$5+ROW()-26+$H$12,MATCH($F$12,'Raw Pressure Data'!$1:$1,0))+$G$12))),"")</f>
        <v/>
      </c>
      <c r="V82" s="24">
        <f>IFERROR(IF($F$13="","",IF($K$5+ROW()-26&gt;$K$6,"",IF(INDEX('Raw Pressure Data'!$A:$ZZ,$K$5+ROW()-26+$H$13,MATCH($F$13,'Raw Pressure Data'!$1:$1,0))=-999,"",INDEX('Raw Pressure Data'!$A:$ZZ,$K$5+ROW()-26+$H$13,MATCH($F$13,'Raw Pressure Data'!$1:$1,0))+$G$13))),"")</f>
        <v/>
      </c>
      <c r="W82" s="24">
        <f>IFERROR(IF($F$14="","",IF($K$5+ROW()-26&gt;$K$6,"",IF(INDEX('Raw Pressure Data'!$A:$ZZ,$K$5+ROW()-26+$H$14,MATCH($F$14,'Raw Pressure Data'!$1:$1,0))=-999,"",INDEX('Raw Pressure Data'!$A:$ZZ,$K$5+ROW()-26+$H$14,MATCH($F$14,'Raw Pressure Data'!$1:$1,0))+$G$14))),"")</f>
        <v/>
      </c>
      <c r="X82" s="24">
        <f>IFERROR(IF($F$15="","",IF($K$5+ROW()-26&gt;$K$6,"",IF(INDEX('Raw Pressure Data'!$A:$ZZ,$K$5+ROW()-26+$H$15,MATCH($F$15,'Raw Pressure Data'!$1:$1,0))=-999,"",INDEX('Raw Pressure Data'!$A:$ZZ,$K$5+ROW()-26+$H$15,MATCH($F$15,'Raw Pressure Data'!$1:$1,0))+$G$15))),"")</f>
        <v/>
      </c>
      <c r="Y82" s="24">
        <f>IFERROR(IF($F$16="","",IF($K$5+ROW()-26&gt;$K$6,"",IF(INDEX('Raw Pressure Data'!$A:$ZZ,$K$5+ROW()-26+$H$16,MATCH($F$16,'Raw Pressure Data'!$1:$1,0))=-999,"",INDEX('Raw Pressure Data'!$A:$ZZ,$K$5+ROW()-26+$H$16,MATCH($F$16,'Raw Pressure Data'!$1:$1,0))+$G$16))),"")</f>
        <v/>
      </c>
      <c r="Z82" s="24">
        <f>IFERROR(IF($F$17="","",IF($K$5+ROW()-26&gt;$K$6,"",IF(INDEX('Raw Pressure Data'!$A:$ZZ,$K$5+ROW()-26+$H$17,MATCH($F$17,'Raw Pressure Data'!$1:$1,0))=-999,"",INDEX('Raw Pressure Data'!$A:$ZZ,$K$5+ROW()-26+$H$17,MATCH($F$17,'Raw Pressure Data'!$1:$1,0))+$G$17))),"")</f>
        <v/>
      </c>
      <c r="AA82" s="24">
        <f>IFERROR(IF($F$18="","",IF($K$5+ROW()-26&gt;$K$6,"",IF(INDEX('Raw Pressure Data'!$A:$ZZ,$K$5+ROW()-26+$H$18,MATCH($F$18,'Raw Pressure Data'!$1:$1,0))=-999,"",INDEX('Raw Pressure Data'!$A:$ZZ,$K$5+ROW()-26+$H$18,MATCH($F$18,'Raw Pressure Data'!$1:$1,0))+$G$18))),"")</f>
        <v/>
      </c>
      <c r="AB82" s="24">
        <f>IFERROR(IF($F$19="","",IF($K$5+ROW()-26&gt;$K$6,"",IF(INDEX('Raw Pressure Data'!$A:$ZZ,$K$5+ROW()-26+$H$19,MATCH($F$19,'Raw Pressure Data'!$1:$1,0))=-999,"",INDEX('Raw Pressure Data'!$A:$ZZ,$K$5+ROW()-26+$H$19,MATCH($F$19,'Raw Pressure Data'!$1:$1,0))+$G$19))),"")</f>
        <v/>
      </c>
      <c r="AC82" s="24">
        <f>IFERROR(IF($F$20="","",IF($K$5+ROW()-26&gt;$K$6,"",IF(INDEX('Raw Pressure Data'!$A:$ZZ,$K$5+ROW()-26+$H$20,MATCH($F$20,'Raw Pressure Data'!$1:$1,0))=-999,"",INDEX('Raw Pressure Data'!$A:$ZZ,$K$5+ROW()-26+$H$20,MATCH($F$20,'Raw Pressure Data'!$1:$1,0))+$G$20))),"")</f>
        <v/>
      </c>
      <c r="AD82" s="24">
        <f>IFERROR(IF($F$21="","",IF($K$5+ROW()-26&gt;$K$6,"",IF(INDEX('Raw Pressure Data'!$A:$ZZ,$K$5+ROW()-26+$H$21,MATCH($F$21,'Raw Pressure Data'!$1:$1,0))=-999,"",INDEX('Raw Pressure Data'!$A:$ZZ,$K$5+ROW()-26+$H$21,MATCH($F$21,'Raw Pressure Data'!$1:$1,0))+$G$21))),"")</f>
        <v/>
      </c>
      <c r="AE82" s="24">
        <f>IFERROR(IF($F$22="","",IF($K$5+ROW()-26&gt;$K$6,"",IF(INDEX('Raw Pressure Data'!$A:$ZZ,$K$5+ROW()-26+$H$22,MATCH($F$22,'Raw Pressure Data'!$1:$1,0))=-999,"",INDEX('Raw Pressure Data'!$A:$ZZ,$K$5+ROW()-26+$H$22,MATCH($F$22,'Raw Pressure Data'!$1:$1,0))+$G$22))),"")</f>
        <v/>
      </c>
    </row>
    <row r="83" ht="15" customHeight="1">
      <c r="A83" s="25">
        <f>IFERROR(IF($K$5+ROW()-26&gt;$K$6,"",IF(INDEX('Raw Flow Data'!$A:$A,$K$5+ROW()-26)="","",INDEX('Raw Flow Data'!$A:$A,$K$5+ROW()-26))),"")</f>
        <v/>
      </c>
      <c r="B83" s="26">
        <f>IFERROR(IF($B$3="","",IF($K$5+ROW()-26&gt;$K$6,"",IF(INDEX('Raw Flow Data'!$A:$ZZ,$K$5+ROW()-26+$D$3,MATCH($B$3,'Raw Flow Data'!$1:$1,0))=-999,"",INDEX('Raw Flow Data'!$A:$ZZ,$K$5+ROW()-26+$D$3,MATCH($B$3,'Raw Flow Data'!$1:$1,0))*$C$3))),"")</f>
        <v/>
      </c>
      <c r="C83" s="26">
        <f>IFERROR(IF($B$4="","",IF($K$5+ROW()-26&gt;$K$6,"",IF(INDEX('Raw Flow Data'!$A:$ZZ,$K$5+ROW()-26+$D$4,MATCH($B$4,'Raw Flow Data'!$1:$1,0))=-999,"",INDEX('Raw Flow Data'!$A:$ZZ,$K$5+ROW()-26+$D$4,MATCH($B$4,'Raw Flow Data'!$1:$1,0))*$C$4))),"")</f>
        <v/>
      </c>
      <c r="D83" s="26">
        <f>IFERROR(IF($B$5="","",IF($K$5+ROW()-26&gt;$K$6,"",IF(INDEX('Raw Flow Data'!$A:$ZZ,$K$5+ROW()-26+$D$5,MATCH($B$5,'Raw Flow Data'!$1:$1,0))=-999,"",INDEX('Raw Flow Data'!$A:$ZZ,$K$5+ROW()-26+$D$5,MATCH($B$5,'Raw Flow Data'!$1:$1,0))*$C$5))),"")</f>
        <v/>
      </c>
      <c r="E83" s="26">
        <f>IFERROR(IF($B$6="","",IF($K$5+ROW()-26&gt;$K$6,"",IF(INDEX('Raw Flow Data'!$A:$ZZ,$K$5+ROW()-26+$D$6,MATCH($B$6,'Raw Flow Data'!$1:$1,0))=-999,"",INDEX('Raw Flow Data'!$A:$ZZ,$K$5+ROW()-26+$D$6,MATCH($B$6,'Raw Flow Data'!$1:$1,0))*$C$6))),"")</f>
        <v/>
      </c>
      <c r="F83" s="26">
        <f>IFERROR(IF($B$7="","",IF($K$5+ROW()-26&gt;$K$6,"",IF(INDEX('Raw Flow Data'!$A:$ZZ,$K$5+ROW()-26+$D$7,MATCH($B$7,'Raw Flow Data'!$1:$1,0))=-999,"",INDEX('Raw Flow Data'!$A:$ZZ,$K$5+ROW()-26+$D$7,MATCH($B$7,'Raw Flow Data'!$1:$1,0))*$C$7))),"")</f>
        <v/>
      </c>
      <c r="G83" s="26">
        <f>IFERROR(IF($B$8="","",IF($K$5+ROW()-26&gt;$K$6,"",IF(INDEX('Raw Flow Data'!$A:$ZZ,$K$5+ROW()-26+$D$8,MATCH($B$8,'Raw Flow Data'!$1:$1,0))=-999,"",INDEX('Raw Flow Data'!$A:$ZZ,$K$5+ROW()-26+$D$8,MATCH($B$8,'Raw Flow Data'!$1:$1,0))*$C$8))),"")</f>
        <v/>
      </c>
      <c r="H83" s="26">
        <f>IFERROR(IF($B$9="","",IF($K$5+ROW()-26&gt;$K$6,"",IF(INDEX('Raw Flow Data'!$A:$ZZ,$K$5+ROW()-26+$D$9,MATCH($B$9,'Raw Flow Data'!$1:$1,0))=-999,"",INDEX('Raw Flow Data'!$A:$ZZ,$K$5+ROW()-26+$D$9,MATCH($B$9,'Raw Flow Data'!$1:$1,0))*$C$9))),"")</f>
        <v/>
      </c>
      <c r="I83" s="26">
        <f>IFERROR(IF($B$10="","",IF($K$5+ROW()-26&gt;$K$6,"",IF(INDEX('Raw Flow Data'!$A:$ZZ,$K$5+ROW()-26+$D$10,MATCH($B$10,'Raw Flow Data'!$1:$1,0))=-999,"",INDEX('Raw Flow Data'!$A:$ZZ,$K$5+ROW()-26+$D$10,MATCH($B$10,'Raw Flow Data'!$1:$1,0))*$C$10))),"")</f>
        <v/>
      </c>
      <c r="J83" s="26">
        <f>IFERROR(IF($B$11="","",IF($K$5+ROW()-26&gt;$K$6,"",IF(INDEX('Raw Flow Data'!$A:$ZZ,$K$5+ROW()-26+$D$11,MATCH($B$11,'Raw Flow Data'!$1:$1,0))=-999,"",INDEX('Raw Flow Data'!$A:$ZZ,$K$5+ROW()-26+$D$11,MATCH($B$11,'Raw Flow Data'!$1:$1,0))*$C$11))),"")</f>
        <v/>
      </c>
      <c r="K83" s="26">
        <f>IFERROR(IF($B$12="","",IF($K$5+ROW()-26&gt;$K$6,"",IF(INDEX('Raw Flow Data'!$A:$ZZ,$K$5+ROW()-26+$D$12,MATCH($B$12,'Raw Flow Data'!$1:$1,0))=-999,"",INDEX('Raw Flow Data'!$A:$ZZ,$K$5+ROW()-26+$D$12,MATCH($B$12,'Raw Flow Data'!$1:$1,0))*$C$12))),"")</f>
        <v/>
      </c>
      <c r="L83" s="26">
        <f>IFERROR(IF($F$3="","",IF($K$5+ROW()-26&gt;$K$6,"",IF(INDEX('Raw Pressure Data'!$A:$ZZ,$K$5+ROW()-26+$H$3,MATCH($F$3,'Raw Pressure Data'!$1:$1,0))=-999,"",INDEX('Raw Pressure Data'!$A:$ZZ,$K$5+ROW()-26+$H$3,MATCH($F$3,'Raw Pressure Data'!$1:$1,0))+$G$3))),"")</f>
        <v/>
      </c>
      <c r="M83" s="26">
        <f>IFERROR(IF($F$4="","",IF($K$5+ROW()-26&gt;$K$6,"",IF(INDEX('Raw Pressure Data'!$A:$ZZ,$K$5+ROW()-26+$H$4,MATCH($F$4,'Raw Pressure Data'!$1:$1,0))=-999,"",INDEX('Raw Pressure Data'!$A:$ZZ,$K$5+ROW()-26+$H$4,MATCH($F$4,'Raw Pressure Data'!$1:$1,0))+$G$4))),"")</f>
        <v/>
      </c>
      <c r="N83" s="26">
        <f>IFERROR(IF($F$5="","",IF($K$5+ROW()-26&gt;$K$6,"",IF(INDEX('Raw Pressure Data'!$A:$ZZ,$K$5+ROW()-26+$H$5,MATCH($F$5,'Raw Pressure Data'!$1:$1,0))=-999,"",INDEX('Raw Pressure Data'!$A:$ZZ,$K$5+ROW()-26+$H$5,MATCH($F$5,'Raw Pressure Data'!$1:$1,0))+$G$5))),"")</f>
        <v/>
      </c>
      <c r="O83" s="26">
        <f>IFERROR(IF($F$6="","",IF($K$5+ROW()-26&gt;$K$6,"",IF(INDEX('Raw Pressure Data'!$A:$ZZ,$K$5+ROW()-26+$H$6,MATCH($F$6,'Raw Pressure Data'!$1:$1,0))=-999,"",INDEX('Raw Pressure Data'!$A:$ZZ,$K$5+ROW()-26+$H$6,MATCH($F$6,'Raw Pressure Data'!$1:$1,0))+$G$6))),"")</f>
        <v/>
      </c>
      <c r="P83" s="26">
        <f>IFERROR(IF($F$7="","",IF($K$5+ROW()-26&gt;$K$6,"",IF(INDEX('Raw Pressure Data'!$A:$ZZ,$K$5+ROW()-26+$H$7,MATCH($F$7,'Raw Pressure Data'!$1:$1,0))=-999,"",INDEX('Raw Pressure Data'!$A:$ZZ,$K$5+ROW()-26+$H$7,MATCH($F$7,'Raw Pressure Data'!$1:$1,0))+$G$7))),"")</f>
        <v/>
      </c>
      <c r="Q83" s="26">
        <f>IFERROR(IF($F$8="","",IF($K$5+ROW()-26&gt;$K$6,"",IF(INDEX('Raw Pressure Data'!$A:$ZZ,$K$5+ROW()-26+$H$8,MATCH($F$8,'Raw Pressure Data'!$1:$1,0))=-999,"",INDEX('Raw Pressure Data'!$A:$ZZ,$K$5+ROW()-26+$H$8,MATCH($F$8,'Raw Pressure Data'!$1:$1,0))+$G$8))),"")</f>
        <v/>
      </c>
      <c r="R83" s="26">
        <f>IFERROR(IF($F$9="","",IF($K$5+ROW()-26&gt;$K$6,"",IF(INDEX('Raw Pressure Data'!$A:$ZZ,$K$5+ROW()-26+$H$9,MATCH($F$9,'Raw Pressure Data'!$1:$1,0))=-999,"",INDEX('Raw Pressure Data'!$A:$ZZ,$K$5+ROW()-26+$H$9,MATCH($F$9,'Raw Pressure Data'!$1:$1,0))+$G$9))),"")</f>
        <v/>
      </c>
      <c r="S83" s="26">
        <f>IFERROR(IF($F$10="","",IF($K$5+ROW()-26&gt;$K$6,"",IF(INDEX('Raw Pressure Data'!$A:$ZZ,$K$5+ROW()-26+$H$10,MATCH($F$10,'Raw Pressure Data'!$1:$1,0))=-999,"",INDEX('Raw Pressure Data'!$A:$ZZ,$K$5+ROW()-26+$H$10,MATCH($F$10,'Raw Pressure Data'!$1:$1,0))+$G$10))),"")</f>
        <v/>
      </c>
      <c r="T83" s="26">
        <f>IFERROR(IF($F$11="","",IF($K$5+ROW()-26&gt;$K$6,"",IF(INDEX('Raw Pressure Data'!$A:$ZZ,$K$5+ROW()-26+$H$11,MATCH($F$11,'Raw Pressure Data'!$1:$1,0))=-999,"",INDEX('Raw Pressure Data'!$A:$ZZ,$K$5+ROW()-26+$H$11,MATCH($F$11,'Raw Pressure Data'!$1:$1,0))+$G$11))),"")</f>
        <v/>
      </c>
      <c r="U83" s="26">
        <f>IFERROR(IF($F$12="","",IF($K$5+ROW()-26&gt;$K$6,"",IF(INDEX('Raw Pressure Data'!$A:$ZZ,$K$5+ROW()-26+$H$12,MATCH($F$12,'Raw Pressure Data'!$1:$1,0))=-999,"",INDEX('Raw Pressure Data'!$A:$ZZ,$K$5+ROW()-26+$H$12,MATCH($F$12,'Raw Pressure Data'!$1:$1,0))+$G$12))),"")</f>
        <v/>
      </c>
      <c r="V83" s="26">
        <f>IFERROR(IF($F$13="","",IF($K$5+ROW()-26&gt;$K$6,"",IF(INDEX('Raw Pressure Data'!$A:$ZZ,$K$5+ROW()-26+$H$13,MATCH($F$13,'Raw Pressure Data'!$1:$1,0))=-999,"",INDEX('Raw Pressure Data'!$A:$ZZ,$K$5+ROW()-26+$H$13,MATCH($F$13,'Raw Pressure Data'!$1:$1,0))+$G$13))),"")</f>
        <v/>
      </c>
      <c r="W83" s="26">
        <f>IFERROR(IF($F$14="","",IF($K$5+ROW()-26&gt;$K$6,"",IF(INDEX('Raw Pressure Data'!$A:$ZZ,$K$5+ROW()-26+$H$14,MATCH($F$14,'Raw Pressure Data'!$1:$1,0))=-999,"",INDEX('Raw Pressure Data'!$A:$ZZ,$K$5+ROW()-26+$H$14,MATCH($F$14,'Raw Pressure Data'!$1:$1,0))+$G$14))),"")</f>
        <v/>
      </c>
      <c r="X83" s="26">
        <f>IFERROR(IF($F$15="","",IF($K$5+ROW()-26&gt;$K$6,"",IF(INDEX('Raw Pressure Data'!$A:$ZZ,$K$5+ROW()-26+$H$15,MATCH($F$15,'Raw Pressure Data'!$1:$1,0))=-999,"",INDEX('Raw Pressure Data'!$A:$ZZ,$K$5+ROW()-26+$H$15,MATCH($F$15,'Raw Pressure Data'!$1:$1,0))+$G$15))),"")</f>
        <v/>
      </c>
      <c r="Y83" s="26">
        <f>IFERROR(IF($F$16="","",IF($K$5+ROW()-26&gt;$K$6,"",IF(INDEX('Raw Pressure Data'!$A:$ZZ,$K$5+ROW()-26+$H$16,MATCH($F$16,'Raw Pressure Data'!$1:$1,0))=-999,"",INDEX('Raw Pressure Data'!$A:$ZZ,$K$5+ROW()-26+$H$16,MATCH($F$16,'Raw Pressure Data'!$1:$1,0))+$G$16))),"")</f>
        <v/>
      </c>
      <c r="Z83" s="26">
        <f>IFERROR(IF($F$17="","",IF($K$5+ROW()-26&gt;$K$6,"",IF(INDEX('Raw Pressure Data'!$A:$ZZ,$K$5+ROW()-26+$H$17,MATCH($F$17,'Raw Pressure Data'!$1:$1,0))=-999,"",INDEX('Raw Pressure Data'!$A:$ZZ,$K$5+ROW()-26+$H$17,MATCH($F$17,'Raw Pressure Data'!$1:$1,0))+$G$17))),"")</f>
        <v/>
      </c>
      <c r="AA83" s="26">
        <f>IFERROR(IF($F$18="","",IF($K$5+ROW()-26&gt;$K$6,"",IF(INDEX('Raw Pressure Data'!$A:$ZZ,$K$5+ROW()-26+$H$18,MATCH($F$18,'Raw Pressure Data'!$1:$1,0))=-999,"",INDEX('Raw Pressure Data'!$A:$ZZ,$K$5+ROW()-26+$H$18,MATCH($F$18,'Raw Pressure Data'!$1:$1,0))+$G$18))),"")</f>
        <v/>
      </c>
      <c r="AB83" s="26">
        <f>IFERROR(IF($F$19="","",IF($K$5+ROW()-26&gt;$K$6,"",IF(INDEX('Raw Pressure Data'!$A:$ZZ,$K$5+ROW()-26+$H$19,MATCH($F$19,'Raw Pressure Data'!$1:$1,0))=-999,"",INDEX('Raw Pressure Data'!$A:$ZZ,$K$5+ROW()-26+$H$19,MATCH($F$19,'Raw Pressure Data'!$1:$1,0))+$G$19))),"")</f>
        <v/>
      </c>
      <c r="AC83" s="26">
        <f>IFERROR(IF($F$20="","",IF($K$5+ROW()-26&gt;$K$6,"",IF(INDEX('Raw Pressure Data'!$A:$ZZ,$K$5+ROW()-26+$H$20,MATCH($F$20,'Raw Pressure Data'!$1:$1,0))=-999,"",INDEX('Raw Pressure Data'!$A:$ZZ,$K$5+ROW()-26+$H$20,MATCH($F$20,'Raw Pressure Data'!$1:$1,0))+$G$20))),"")</f>
        <v/>
      </c>
      <c r="AD83" s="26">
        <f>IFERROR(IF($F$21="","",IF($K$5+ROW()-26&gt;$K$6,"",IF(INDEX('Raw Pressure Data'!$A:$ZZ,$K$5+ROW()-26+$H$21,MATCH($F$21,'Raw Pressure Data'!$1:$1,0))=-999,"",INDEX('Raw Pressure Data'!$A:$ZZ,$K$5+ROW()-26+$H$21,MATCH($F$21,'Raw Pressure Data'!$1:$1,0))+$G$21))),"")</f>
        <v/>
      </c>
      <c r="AE83" s="26">
        <f>IFERROR(IF($F$22="","",IF($K$5+ROW()-26&gt;$K$6,"",IF(INDEX('Raw Pressure Data'!$A:$ZZ,$K$5+ROW()-26+$H$22,MATCH($F$22,'Raw Pressure Data'!$1:$1,0))=-999,"",INDEX('Raw Pressure Data'!$A:$ZZ,$K$5+ROW()-26+$H$22,MATCH($F$22,'Raw Pressure Data'!$1:$1,0))+$G$22))),"")</f>
        <v/>
      </c>
    </row>
    <row r="84" ht="15" customHeight="1">
      <c r="A84" s="23">
        <f>IFERROR(IF($K$5+ROW()-26&gt;$K$6,"",IF(INDEX('Raw Flow Data'!$A:$A,$K$5+ROW()-26)="","",INDEX('Raw Flow Data'!$A:$A,$K$5+ROW()-26))),"")</f>
        <v/>
      </c>
      <c r="B84" s="24">
        <f>IFERROR(IF($B$3="","",IF($K$5+ROW()-26&gt;$K$6,"",IF(INDEX('Raw Flow Data'!$A:$ZZ,$K$5+ROW()-26+$D$3,MATCH($B$3,'Raw Flow Data'!$1:$1,0))=-999,"",INDEX('Raw Flow Data'!$A:$ZZ,$K$5+ROW()-26+$D$3,MATCH($B$3,'Raw Flow Data'!$1:$1,0))*$C$3))),"")</f>
        <v/>
      </c>
      <c r="C84" s="24">
        <f>IFERROR(IF($B$4="","",IF($K$5+ROW()-26&gt;$K$6,"",IF(INDEX('Raw Flow Data'!$A:$ZZ,$K$5+ROW()-26+$D$4,MATCH($B$4,'Raw Flow Data'!$1:$1,0))=-999,"",INDEX('Raw Flow Data'!$A:$ZZ,$K$5+ROW()-26+$D$4,MATCH($B$4,'Raw Flow Data'!$1:$1,0))*$C$4))),"")</f>
        <v/>
      </c>
      <c r="D84" s="24">
        <f>IFERROR(IF($B$5="","",IF($K$5+ROW()-26&gt;$K$6,"",IF(INDEX('Raw Flow Data'!$A:$ZZ,$K$5+ROW()-26+$D$5,MATCH($B$5,'Raw Flow Data'!$1:$1,0))=-999,"",INDEX('Raw Flow Data'!$A:$ZZ,$K$5+ROW()-26+$D$5,MATCH($B$5,'Raw Flow Data'!$1:$1,0))*$C$5))),"")</f>
        <v/>
      </c>
      <c r="E84" s="24">
        <f>IFERROR(IF($B$6="","",IF($K$5+ROW()-26&gt;$K$6,"",IF(INDEX('Raw Flow Data'!$A:$ZZ,$K$5+ROW()-26+$D$6,MATCH($B$6,'Raw Flow Data'!$1:$1,0))=-999,"",INDEX('Raw Flow Data'!$A:$ZZ,$K$5+ROW()-26+$D$6,MATCH($B$6,'Raw Flow Data'!$1:$1,0))*$C$6))),"")</f>
        <v/>
      </c>
      <c r="F84" s="24">
        <f>IFERROR(IF($B$7="","",IF($K$5+ROW()-26&gt;$K$6,"",IF(INDEX('Raw Flow Data'!$A:$ZZ,$K$5+ROW()-26+$D$7,MATCH($B$7,'Raw Flow Data'!$1:$1,0))=-999,"",INDEX('Raw Flow Data'!$A:$ZZ,$K$5+ROW()-26+$D$7,MATCH($B$7,'Raw Flow Data'!$1:$1,0))*$C$7))),"")</f>
        <v/>
      </c>
      <c r="G84" s="24">
        <f>IFERROR(IF($B$8="","",IF($K$5+ROW()-26&gt;$K$6,"",IF(INDEX('Raw Flow Data'!$A:$ZZ,$K$5+ROW()-26+$D$8,MATCH($B$8,'Raw Flow Data'!$1:$1,0))=-999,"",INDEX('Raw Flow Data'!$A:$ZZ,$K$5+ROW()-26+$D$8,MATCH($B$8,'Raw Flow Data'!$1:$1,0))*$C$8))),"")</f>
        <v/>
      </c>
      <c r="H84" s="24">
        <f>IFERROR(IF($B$9="","",IF($K$5+ROW()-26&gt;$K$6,"",IF(INDEX('Raw Flow Data'!$A:$ZZ,$K$5+ROW()-26+$D$9,MATCH($B$9,'Raw Flow Data'!$1:$1,0))=-999,"",INDEX('Raw Flow Data'!$A:$ZZ,$K$5+ROW()-26+$D$9,MATCH($B$9,'Raw Flow Data'!$1:$1,0))*$C$9))),"")</f>
        <v/>
      </c>
      <c r="I84" s="24">
        <f>IFERROR(IF($B$10="","",IF($K$5+ROW()-26&gt;$K$6,"",IF(INDEX('Raw Flow Data'!$A:$ZZ,$K$5+ROW()-26+$D$10,MATCH($B$10,'Raw Flow Data'!$1:$1,0))=-999,"",INDEX('Raw Flow Data'!$A:$ZZ,$K$5+ROW()-26+$D$10,MATCH($B$10,'Raw Flow Data'!$1:$1,0))*$C$10))),"")</f>
        <v/>
      </c>
      <c r="J84" s="24">
        <f>IFERROR(IF($B$11="","",IF($K$5+ROW()-26&gt;$K$6,"",IF(INDEX('Raw Flow Data'!$A:$ZZ,$K$5+ROW()-26+$D$11,MATCH($B$11,'Raw Flow Data'!$1:$1,0))=-999,"",INDEX('Raw Flow Data'!$A:$ZZ,$K$5+ROW()-26+$D$11,MATCH($B$11,'Raw Flow Data'!$1:$1,0))*$C$11))),"")</f>
        <v/>
      </c>
      <c r="K84" s="24">
        <f>IFERROR(IF($B$12="","",IF($K$5+ROW()-26&gt;$K$6,"",IF(INDEX('Raw Flow Data'!$A:$ZZ,$K$5+ROW()-26+$D$12,MATCH($B$12,'Raw Flow Data'!$1:$1,0))=-999,"",INDEX('Raw Flow Data'!$A:$ZZ,$K$5+ROW()-26+$D$12,MATCH($B$12,'Raw Flow Data'!$1:$1,0))*$C$12))),"")</f>
        <v/>
      </c>
      <c r="L84" s="24">
        <f>IFERROR(IF($F$3="","",IF($K$5+ROW()-26&gt;$K$6,"",IF(INDEX('Raw Pressure Data'!$A:$ZZ,$K$5+ROW()-26+$H$3,MATCH($F$3,'Raw Pressure Data'!$1:$1,0))=-999,"",INDEX('Raw Pressure Data'!$A:$ZZ,$K$5+ROW()-26+$H$3,MATCH($F$3,'Raw Pressure Data'!$1:$1,0))+$G$3))),"")</f>
        <v/>
      </c>
      <c r="M84" s="24">
        <f>IFERROR(IF($F$4="","",IF($K$5+ROW()-26&gt;$K$6,"",IF(INDEX('Raw Pressure Data'!$A:$ZZ,$K$5+ROW()-26+$H$4,MATCH($F$4,'Raw Pressure Data'!$1:$1,0))=-999,"",INDEX('Raw Pressure Data'!$A:$ZZ,$K$5+ROW()-26+$H$4,MATCH($F$4,'Raw Pressure Data'!$1:$1,0))+$G$4))),"")</f>
        <v/>
      </c>
      <c r="N84" s="24">
        <f>IFERROR(IF($F$5="","",IF($K$5+ROW()-26&gt;$K$6,"",IF(INDEX('Raw Pressure Data'!$A:$ZZ,$K$5+ROW()-26+$H$5,MATCH($F$5,'Raw Pressure Data'!$1:$1,0))=-999,"",INDEX('Raw Pressure Data'!$A:$ZZ,$K$5+ROW()-26+$H$5,MATCH($F$5,'Raw Pressure Data'!$1:$1,0))+$G$5))),"")</f>
        <v/>
      </c>
      <c r="O84" s="24">
        <f>IFERROR(IF($F$6="","",IF($K$5+ROW()-26&gt;$K$6,"",IF(INDEX('Raw Pressure Data'!$A:$ZZ,$K$5+ROW()-26+$H$6,MATCH($F$6,'Raw Pressure Data'!$1:$1,0))=-999,"",INDEX('Raw Pressure Data'!$A:$ZZ,$K$5+ROW()-26+$H$6,MATCH($F$6,'Raw Pressure Data'!$1:$1,0))+$G$6))),"")</f>
        <v/>
      </c>
      <c r="P84" s="24">
        <f>IFERROR(IF($F$7="","",IF($K$5+ROW()-26&gt;$K$6,"",IF(INDEX('Raw Pressure Data'!$A:$ZZ,$K$5+ROW()-26+$H$7,MATCH($F$7,'Raw Pressure Data'!$1:$1,0))=-999,"",INDEX('Raw Pressure Data'!$A:$ZZ,$K$5+ROW()-26+$H$7,MATCH($F$7,'Raw Pressure Data'!$1:$1,0))+$G$7))),"")</f>
        <v/>
      </c>
      <c r="Q84" s="24">
        <f>IFERROR(IF($F$8="","",IF($K$5+ROW()-26&gt;$K$6,"",IF(INDEX('Raw Pressure Data'!$A:$ZZ,$K$5+ROW()-26+$H$8,MATCH($F$8,'Raw Pressure Data'!$1:$1,0))=-999,"",INDEX('Raw Pressure Data'!$A:$ZZ,$K$5+ROW()-26+$H$8,MATCH($F$8,'Raw Pressure Data'!$1:$1,0))+$G$8))),"")</f>
        <v/>
      </c>
      <c r="R84" s="24">
        <f>IFERROR(IF($F$9="","",IF($K$5+ROW()-26&gt;$K$6,"",IF(INDEX('Raw Pressure Data'!$A:$ZZ,$K$5+ROW()-26+$H$9,MATCH($F$9,'Raw Pressure Data'!$1:$1,0))=-999,"",INDEX('Raw Pressure Data'!$A:$ZZ,$K$5+ROW()-26+$H$9,MATCH($F$9,'Raw Pressure Data'!$1:$1,0))+$G$9))),"")</f>
        <v/>
      </c>
      <c r="S84" s="24">
        <f>IFERROR(IF($F$10="","",IF($K$5+ROW()-26&gt;$K$6,"",IF(INDEX('Raw Pressure Data'!$A:$ZZ,$K$5+ROW()-26+$H$10,MATCH($F$10,'Raw Pressure Data'!$1:$1,0))=-999,"",INDEX('Raw Pressure Data'!$A:$ZZ,$K$5+ROW()-26+$H$10,MATCH($F$10,'Raw Pressure Data'!$1:$1,0))+$G$10))),"")</f>
        <v/>
      </c>
      <c r="T84" s="24">
        <f>IFERROR(IF($F$11="","",IF($K$5+ROW()-26&gt;$K$6,"",IF(INDEX('Raw Pressure Data'!$A:$ZZ,$K$5+ROW()-26+$H$11,MATCH($F$11,'Raw Pressure Data'!$1:$1,0))=-999,"",INDEX('Raw Pressure Data'!$A:$ZZ,$K$5+ROW()-26+$H$11,MATCH($F$11,'Raw Pressure Data'!$1:$1,0))+$G$11))),"")</f>
        <v/>
      </c>
      <c r="U84" s="24">
        <f>IFERROR(IF($F$12="","",IF($K$5+ROW()-26&gt;$K$6,"",IF(INDEX('Raw Pressure Data'!$A:$ZZ,$K$5+ROW()-26+$H$12,MATCH($F$12,'Raw Pressure Data'!$1:$1,0))=-999,"",INDEX('Raw Pressure Data'!$A:$ZZ,$K$5+ROW()-26+$H$12,MATCH($F$12,'Raw Pressure Data'!$1:$1,0))+$G$12))),"")</f>
        <v/>
      </c>
      <c r="V84" s="24">
        <f>IFERROR(IF($F$13="","",IF($K$5+ROW()-26&gt;$K$6,"",IF(INDEX('Raw Pressure Data'!$A:$ZZ,$K$5+ROW()-26+$H$13,MATCH($F$13,'Raw Pressure Data'!$1:$1,0))=-999,"",INDEX('Raw Pressure Data'!$A:$ZZ,$K$5+ROW()-26+$H$13,MATCH($F$13,'Raw Pressure Data'!$1:$1,0))+$G$13))),"")</f>
        <v/>
      </c>
      <c r="W84" s="24">
        <f>IFERROR(IF($F$14="","",IF($K$5+ROW()-26&gt;$K$6,"",IF(INDEX('Raw Pressure Data'!$A:$ZZ,$K$5+ROW()-26+$H$14,MATCH($F$14,'Raw Pressure Data'!$1:$1,0))=-999,"",INDEX('Raw Pressure Data'!$A:$ZZ,$K$5+ROW()-26+$H$14,MATCH($F$14,'Raw Pressure Data'!$1:$1,0))+$G$14))),"")</f>
        <v/>
      </c>
      <c r="X84" s="24">
        <f>IFERROR(IF($F$15="","",IF($K$5+ROW()-26&gt;$K$6,"",IF(INDEX('Raw Pressure Data'!$A:$ZZ,$K$5+ROW()-26+$H$15,MATCH($F$15,'Raw Pressure Data'!$1:$1,0))=-999,"",INDEX('Raw Pressure Data'!$A:$ZZ,$K$5+ROW()-26+$H$15,MATCH($F$15,'Raw Pressure Data'!$1:$1,0))+$G$15))),"")</f>
        <v/>
      </c>
      <c r="Y84" s="24">
        <f>IFERROR(IF($F$16="","",IF($K$5+ROW()-26&gt;$K$6,"",IF(INDEX('Raw Pressure Data'!$A:$ZZ,$K$5+ROW()-26+$H$16,MATCH($F$16,'Raw Pressure Data'!$1:$1,0))=-999,"",INDEX('Raw Pressure Data'!$A:$ZZ,$K$5+ROW()-26+$H$16,MATCH($F$16,'Raw Pressure Data'!$1:$1,0))+$G$16))),"")</f>
        <v/>
      </c>
      <c r="Z84" s="24">
        <f>IFERROR(IF($F$17="","",IF($K$5+ROW()-26&gt;$K$6,"",IF(INDEX('Raw Pressure Data'!$A:$ZZ,$K$5+ROW()-26+$H$17,MATCH($F$17,'Raw Pressure Data'!$1:$1,0))=-999,"",INDEX('Raw Pressure Data'!$A:$ZZ,$K$5+ROW()-26+$H$17,MATCH($F$17,'Raw Pressure Data'!$1:$1,0))+$G$17))),"")</f>
        <v/>
      </c>
      <c r="AA84" s="24">
        <f>IFERROR(IF($F$18="","",IF($K$5+ROW()-26&gt;$K$6,"",IF(INDEX('Raw Pressure Data'!$A:$ZZ,$K$5+ROW()-26+$H$18,MATCH($F$18,'Raw Pressure Data'!$1:$1,0))=-999,"",INDEX('Raw Pressure Data'!$A:$ZZ,$K$5+ROW()-26+$H$18,MATCH($F$18,'Raw Pressure Data'!$1:$1,0))+$G$18))),"")</f>
        <v/>
      </c>
      <c r="AB84" s="24">
        <f>IFERROR(IF($F$19="","",IF($K$5+ROW()-26&gt;$K$6,"",IF(INDEX('Raw Pressure Data'!$A:$ZZ,$K$5+ROW()-26+$H$19,MATCH($F$19,'Raw Pressure Data'!$1:$1,0))=-999,"",INDEX('Raw Pressure Data'!$A:$ZZ,$K$5+ROW()-26+$H$19,MATCH($F$19,'Raw Pressure Data'!$1:$1,0))+$G$19))),"")</f>
        <v/>
      </c>
      <c r="AC84" s="24">
        <f>IFERROR(IF($F$20="","",IF($K$5+ROW()-26&gt;$K$6,"",IF(INDEX('Raw Pressure Data'!$A:$ZZ,$K$5+ROW()-26+$H$20,MATCH($F$20,'Raw Pressure Data'!$1:$1,0))=-999,"",INDEX('Raw Pressure Data'!$A:$ZZ,$K$5+ROW()-26+$H$20,MATCH($F$20,'Raw Pressure Data'!$1:$1,0))+$G$20))),"")</f>
        <v/>
      </c>
      <c r="AD84" s="24">
        <f>IFERROR(IF($F$21="","",IF($K$5+ROW()-26&gt;$K$6,"",IF(INDEX('Raw Pressure Data'!$A:$ZZ,$K$5+ROW()-26+$H$21,MATCH($F$21,'Raw Pressure Data'!$1:$1,0))=-999,"",INDEX('Raw Pressure Data'!$A:$ZZ,$K$5+ROW()-26+$H$21,MATCH($F$21,'Raw Pressure Data'!$1:$1,0))+$G$21))),"")</f>
        <v/>
      </c>
      <c r="AE84" s="24">
        <f>IFERROR(IF($F$22="","",IF($K$5+ROW()-26&gt;$K$6,"",IF(INDEX('Raw Pressure Data'!$A:$ZZ,$K$5+ROW()-26+$H$22,MATCH($F$22,'Raw Pressure Data'!$1:$1,0))=-999,"",INDEX('Raw Pressure Data'!$A:$ZZ,$K$5+ROW()-26+$H$22,MATCH($F$22,'Raw Pressure Data'!$1:$1,0))+$G$22))),"")</f>
        <v/>
      </c>
    </row>
    <row r="85" ht="15" customHeight="1">
      <c r="A85" s="25">
        <f>IFERROR(IF($K$5+ROW()-26&gt;$K$6,"",IF(INDEX('Raw Flow Data'!$A:$A,$K$5+ROW()-26)="","",INDEX('Raw Flow Data'!$A:$A,$K$5+ROW()-26))),"")</f>
        <v/>
      </c>
      <c r="B85" s="26">
        <f>IFERROR(IF($B$3="","",IF($K$5+ROW()-26&gt;$K$6,"",IF(INDEX('Raw Flow Data'!$A:$ZZ,$K$5+ROW()-26+$D$3,MATCH($B$3,'Raw Flow Data'!$1:$1,0))=-999,"",INDEX('Raw Flow Data'!$A:$ZZ,$K$5+ROW()-26+$D$3,MATCH($B$3,'Raw Flow Data'!$1:$1,0))*$C$3))),"")</f>
        <v/>
      </c>
      <c r="C85" s="26">
        <f>IFERROR(IF($B$4="","",IF($K$5+ROW()-26&gt;$K$6,"",IF(INDEX('Raw Flow Data'!$A:$ZZ,$K$5+ROW()-26+$D$4,MATCH($B$4,'Raw Flow Data'!$1:$1,0))=-999,"",INDEX('Raw Flow Data'!$A:$ZZ,$K$5+ROW()-26+$D$4,MATCH($B$4,'Raw Flow Data'!$1:$1,0))*$C$4))),"")</f>
        <v/>
      </c>
      <c r="D85" s="26">
        <f>IFERROR(IF($B$5="","",IF($K$5+ROW()-26&gt;$K$6,"",IF(INDEX('Raw Flow Data'!$A:$ZZ,$K$5+ROW()-26+$D$5,MATCH($B$5,'Raw Flow Data'!$1:$1,0))=-999,"",INDEX('Raw Flow Data'!$A:$ZZ,$K$5+ROW()-26+$D$5,MATCH($B$5,'Raw Flow Data'!$1:$1,0))*$C$5))),"")</f>
        <v/>
      </c>
      <c r="E85" s="26">
        <f>IFERROR(IF($B$6="","",IF($K$5+ROW()-26&gt;$K$6,"",IF(INDEX('Raw Flow Data'!$A:$ZZ,$K$5+ROW()-26+$D$6,MATCH($B$6,'Raw Flow Data'!$1:$1,0))=-999,"",INDEX('Raw Flow Data'!$A:$ZZ,$K$5+ROW()-26+$D$6,MATCH($B$6,'Raw Flow Data'!$1:$1,0))*$C$6))),"")</f>
        <v/>
      </c>
      <c r="F85" s="26">
        <f>IFERROR(IF($B$7="","",IF($K$5+ROW()-26&gt;$K$6,"",IF(INDEX('Raw Flow Data'!$A:$ZZ,$K$5+ROW()-26+$D$7,MATCH($B$7,'Raw Flow Data'!$1:$1,0))=-999,"",INDEX('Raw Flow Data'!$A:$ZZ,$K$5+ROW()-26+$D$7,MATCH($B$7,'Raw Flow Data'!$1:$1,0))*$C$7))),"")</f>
        <v/>
      </c>
      <c r="G85" s="26">
        <f>IFERROR(IF($B$8="","",IF($K$5+ROW()-26&gt;$K$6,"",IF(INDEX('Raw Flow Data'!$A:$ZZ,$K$5+ROW()-26+$D$8,MATCH($B$8,'Raw Flow Data'!$1:$1,0))=-999,"",INDEX('Raw Flow Data'!$A:$ZZ,$K$5+ROW()-26+$D$8,MATCH($B$8,'Raw Flow Data'!$1:$1,0))*$C$8))),"")</f>
        <v/>
      </c>
      <c r="H85" s="26">
        <f>IFERROR(IF($B$9="","",IF($K$5+ROW()-26&gt;$K$6,"",IF(INDEX('Raw Flow Data'!$A:$ZZ,$K$5+ROW()-26+$D$9,MATCH($B$9,'Raw Flow Data'!$1:$1,0))=-999,"",INDEX('Raw Flow Data'!$A:$ZZ,$K$5+ROW()-26+$D$9,MATCH($B$9,'Raw Flow Data'!$1:$1,0))*$C$9))),"")</f>
        <v/>
      </c>
      <c r="I85" s="26">
        <f>IFERROR(IF($B$10="","",IF($K$5+ROW()-26&gt;$K$6,"",IF(INDEX('Raw Flow Data'!$A:$ZZ,$K$5+ROW()-26+$D$10,MATCH($B$10,'Raw Flow Data'!$1:$1,0))=-999,"",INDEX('Raw Flow Data'!$A:$ZZ,$K$5+ROW()-26+$D$10,MATCH($B$10,'Raw Flow Data'!$1:$1,0))*$C$10))),"")</f>
        <v/>
      </c>
      <c r="J85" s="26">
        <f>IFERROR(IF($B$11="","",IF($K$5+ROW()-26&gt;$K$6,"",IF(INDEX('Raw Flow Data'!$A:$ZZ,$K$5+ROW()-26+$D$11,MATCH($B$11,'Raw Flow Data'!$1:$1,0))=-999,"",INDEX('Raw Flow Data'!$A:$ZZ,$K$5+ROW()-26+$D$11,MATCH($B$11,'Raw Flow Data'!$1:$1,0))*$C$11))),"")</f>
        <v/>
      </c>
      <c r="K85" s="26">
        <f>IFERROR(IF($B$12="","",IF($K$5+ROW()-26&gt;$K$6,"",IF(INDEX('Raw Flow Data'!$A:$ZZ,$K$5+ROW()-26+$D$12,MATCH($B$12,'Raw Flow Data'!$1:$1,0))=-999,"",INDEX('Raw Flow Data'!$A:$ZZ,$K$5+ROW()-26+$D$12,MATCH($B$12,'Raw Flow Data'!$1:$1,0))*$C$12))),"")</f>
        <v/>
      </c>
      <c r="L85" s="26">
        <f>IFERROR(IF($F$3="","",IF($K$5+ROW()-26&gt;$K$6,"",IF(INDEX('Raw Pressure Data'!$A:$ZZ,$K$5+ROW()-26+$H$3,MATCH($F$3,'Raw Pressure Data'!$1:$1,0))=-999,"",INDEX('Raw Pressure Data'!$A:$ZZ,$K$5+ROW()-26+$H$3,MATCH($F$3,'Raw Pressure Data'!$1:$1,0))+$G$3))),"")</f>
        <v/>
      </c>
      <c r="M85" s="26">
        <f>IFERROR(IF($F$4="","",IF($K$5+ROW()-26&gt;$K$6,"",IF(INDEX('Raw Pressure Data'!$A:$ZZ,$K$5+ROW()-26+$H$4,MATCH($F$4,'Raw Pressure Data'!$1:$1,0))=-999,"",INDEX('Raw Pressure Data'!$A:$ZZ,$K$5+ROW()-26+$H$4,MATCH($F$4,'Raw Pressure Data'!$1:$1,0))+$G$4))),"")</f>
        <v/>
      </c>
      <c r="N85" s="26">
        <f>IFERROR(IF($F$5="","",IF($K$5+ROW()-26&gt;$K$6,"",IF(INDEX('Raw Pressure Data'!$A:$ZZ,$K$5+ROW()-26+$H$5,MATCH($F$5,'Raw Pressure Data'!$1:$1,0))=-999,"",INDEX('Raw Pressure Data'!$A:$ZZ,$K$5+ROW()-26+$H$5,MATCH($F$5,'Raw Pressure Data'!$1:$1,0))+$G$5))),"")</f>
        <v/>
      </c>
      <c r="O85" s="26">
        <f>IFERROR(IF($F$6="","",IF($K$5+ROW()-26&gt;$K$6,"",IF(INDEX('Raw Pressure Data'!$A:$ZZ,$K$5+ROW()-26+$H$6,MATCH($F$6,'Raw Pressure Data'!$1:$1,0))=-999,"",INDEX('Raw Pressure Data'!$A:$ZZ,$K$5+ROW()-26+$H$6,MATCH($F$6,'Raw Pressure Data'!$1:$1,0))+$G$6))),"")</f>
        <v/>
      </c>
      <c r="P85" s="26">
        <f>IFERROR(IF($F$7="","",IF($K$5+ROW()-26&gt;$K$6,"",IF(INDEX('Raw Pressure Data'!$A:$ZZ,$K$5+ROW()-26+$H$7,MATCH($F$7,'Raw Pressure Data'!$1:$1,0))=-999,"",INDEX('Raw Pressure Data'!$A:$ZZ,$K$5+ROW()-26+$H$7,MATCH($F$7,'Raw Pressure Data'!$1:$1,0))+$G$7))),"")</f>
        <v/>
      </c>
      <c r="Q85" s="26">
        <f>IFERROR(IF($F$8="","",IF($K$5+ROW()-26&gt;$K$6,"",IF(INDEX('Raw Pressure Data'!$A:$ZZ,$K$5+ROW()-26+$H$8,MATCH($F$8,'Raw Pressure Data'!$1:$1,0))=-999,"",INDEX('Raw Pressure Data'!$A:$ZZ,$K$5+ROW()-26+$H$8,MATCH($F$8,'Raw Pressure Data'!$1:$1,0))+$G$8))),"")</f>
        <v/>
      </c>
      <c r="R85" s="26">
        <f>IFERROR(IF($F$9="","",IF($K$5+ROW()-26&gt;$K$6,"",IF(INDEX('Raw Pressure Data'!$A:$ZZ,$K$5+ROW()-26+$H$9,MATCH($F$9,'Raw Pressure Data'!$1:$1,0))=-999,"",INDEX('Raw Pressure Data'!$A:$ZZ,$K$5+ROW()-26+$H$9,MATCH($F$9,'Raw Pressure Data'!$1:$1,0))+$G$9))),"")</f>
        <v/>
      </c>
      <c r="S85" s="26">
        <f>IFERROR(IF($F$10="","",IF($K$5+ROW()-26&gt;$K$6,"",IF(INDEX('Raw Pressure Data'!$A:$ZZ,$K$5+ROW()-26+$H$10,MATCH($F$10,'Raw Pressure Data'!$1:$1,0))=-999,"",INDEX('Raw Pressure Data'!$A:$ZZ,$K$5+ROW()-26+$H$10,MATCH($F$10,'Raw Pressure Data'!$1:$1,0))+$G$10))),"")</f>
        <v/>
      </c>
      <c r="T85" s="26">
        <f>IFERROR(IF($F$11="","",IF($K$5+ROW()-26&gt;$K$6,"",IF(INDEX('Raw Pressure Data'!$A:$ZZ,$K$5+ROW()-26+$H$11,MATCH($F$11,'Raw Pressure Data'!$1:$1,0))=-999,"",INDEX('Raw Pressure Data'!$A:$ZZ,$K$5+ROW()-26+$H$11,MATCH($F$11,'Raw Pressure Data'!$1:$1,0))+$G$11))),"")</f>
        <v/>
      </c>
      <c r="U85" s="26">
        <f>IFERROR(IF($F$12="","",IF($K$5+ROW()-26&gt;$K$6,"",IF(INDEX('Raw Pressure Data'!$A:$ZZ,$K$5+ROW()-26+$H$12,MATCH($F$12,'Raw Pressure Data'!$1:$1,0))=-999,"",INDEX('Raw Pressure Data'!$A:$ZZ,$K$5+ROW()-26+$H$12,MATCH($F$12,'Raw Pressure Data'!$1:$1,0))+$G$12))),"")</f>
        <v/>
      </c>
      <c r="V85" s="26">
        <f>IFERROR(IF($F$13="","",IF($K$5+ROW()-26&gt;$K$6,"",IF(INDEX('Raw Pressure Data'!$A:$ZZ,$K$5+ROW()-26+$H$13,MATCH($F$13,'Raw Pressure Data'!$1:$1,0))=-999,"",INDEX('Raw Pressure Data'!$A:$ZZ,$K$5+ROW()-26+$H$13,MATCH($F$13,'Raw Pressure Data'!$1:$1,0))+$G$13))),"")</f>
        <v/>
      </c>
      <c r="W85" s="26">
        <f>IFERROR(IF($F$14="","",IF($K$5+ROW()-26&gt;$K$6,"",IF(INDEX('Raw Pressure Data'!$A:$ZZ,$K$5+ROW()-26+$H$14,MATCH($F$14,'Raw Pressure Data'!$1:$1,0))=-999,"",INDEX('Raw Pressure Data'!$A:$ZZ,$K$5+ROW()-26+$H$14,MATCH($F$14,'Raw Pressure Data'!$1:$1,0))+$G$14))),"")</f>
        <v/>
      </c>
      <c r="X85" s="26">
        <f>IFERROR(IF($F$15="","",IF($K$5+ROW()-26&gt;$K$6,"",IF(INDEX('Raw Pressure Data'!$A:$ZZ,$K$5+ROW()-26+$H$15,MATCH($F$15,'Raw Pressure Data'!$1:$1,0))=-999,"",INDEX('Raw Pressure Data'!$A:$ZZ,$K$5+ROW()-26+$H$15,MATCH($F$15,'Raw Pressure Data'!$1:$1,0))+$G$15))),"")</f>
        <v/>
      </c>
      <c r="Y85" s="26">
        <f>IFERROR(IF($F$16="","",IF($K$5+ROW()-26&gt;$K$6,"",IF(INDEX('Raw Pressure Data'!$A:$ZZ,$K$5+ROW()-26+$H$16,MATCH($F$16,'Raw Pressure Data'!$1:$1,0))=-999,"",INDEX('Raw Pressure Data'!$A:$ZZ,$K$5+ROW()-26+$H$16,MATCH($F$16,'Raw Pressure Data'!$1:$1,0))+$G$16))),"")</f>
        <v/>
      </c>
      <c r="Z85" s="26">
        <f>IFERROR(IF($F$17="","",IF($K$5+ROW()-26&gt;$K$6,"",IF(INDEX('Raw Pressure Data'!$A:$ZZ,$K$5+ROW()-26+$H$17,MATCH($F$17,'Raw Pressure Data'!$1:$1,0))=-999,"",INDEX('Raw Pressure Data'!$A:$ZZ,$K$5+ROW()-26+$H$17,MATCH($F$17,'Raw Pressure Data'!$1:$1,0))+$G$17))),"")</f>
        <v/>
      </c>
      <c r="AA85" s="26">
        <f>IFERROR(IF($F$18="","",IF($K$5+ROW()-26&gt;$K$6,"",IF(INDEX('Raw Pressure Data'!$A:$ZZ,$K$5+ROW()-26+$H$18,MATCH($F$18,'Raw Pressure Data'!$1:$1,0))=-999,"",INDEX('Raw Pressure Data'!$A:$ZZ,$K$5+ROW()-26+$H$18,MATCH($F$18,'Raw Pressure Data'!$1:$1,0))+$G$18))),"")</f>
        <v/>
      </c>
      <c r="AB85" s="26">
        <f>IFERROR(IF($F$19="","",IF($K$5+ROW()-26&gt;$K$6,"",IF(INDEX('Raw Pressure Data'!$A:$ZZ,$K$5+ROW()-26+$H$19,MATCH($F$19,'Raw Pressure Data'!$1:$1,0))=-999,"",INDEX('Raw Pressure Data'!$A:$ZZ,$K$5+ROW()-26+$H$19,MATCH($F$19,'Raw Pressure Data'!$1:$1,0))+$G$19))),"")</f>
        <v/>
      </c>
      <c r="AC85" s="26">
        <f>IFERROR(IF($F$20="","",IF($K$5+ROW()-26&gt;$K$6,"",IF(INDEX('Raw Pressure Data'!$A:$ZZ,$K$5+ROW()-26+$H$20,MATCH($F$20,'Raw Pressure Data'!$1:$1,0))=-999,"",INDEX('Raw Pressure Data'!$A:$ZZ,$K$5+ROW()-26+$H$20,MATCH($F$20,'Raw Pressure Data'!$1:$1,0))+$G$20))),"")</f>
        <v/>
      </c>
      <c r="AD85" s="26">
        <f>IFERROR(IF($F$21="","",IF($K$5+ROW()-26&gt;$K$6,"",IF(INDEX('Raw Pressure Data'!$A:$ZZ,$K$5+ROW()-26+$H$21,MATCH($F$21,'Raw Pressure Data'!$1:$1,0))=-999,"",INDEX('Raw Pressure Data'!$A:$ZZ,$K$5+ROW()-26+$H$21,MATCH($F$21,'Raw Pressure Data'!$1:$1,0))+$G$21))),"")</f>
        <v/>
      </c>
      <c r="AE85" s="26">
        <f>IFERROR(IF($F$22="","",IF($K$5+ROW()-26&gt;$K$6,"",IF(INDEX('Raw Pressure Data'!$A:$ZZ,$K$5+ROW()-26+$H$22,MATCH($F$22,'Raw Pressure Data'!$1:$1,0))=-999,"",INDEX('Raw Pressure Data'!$A:$ZZ,$K$5+ROW()-26+$H$22,MATCH($F$22,'Raw Pressure Data'!$1:$1,0))+$G$22))),"")</f>
        <v/>
      </c>
    </row>
    <row r="86" ht="15" customHeight="1">
      <c r="A86" s="23">
        <f>IFERROR(IF($K$5+ROW()-26&gt;$K$6,"",IF(INDEX('Raw Flow Data'!$A:$A,$K$5+ROW()-26)="","",INDEX('Raw Flow Data'!$A:$A,$K$5+ROW()-26))),"")</f>
        <v/>
      </c>
      <c r="B86" s="24">
        <f>IFERROR(IF($B$3="","",IF($K$5+ROW()-26&gt;$K$6,"",IF(INDEX('Raw Flow Data'!$A:$ZZ,$K$5+ROW()-26+$D$3,MATCH($B$3,'Raw Flow Data'!$1:$1,0))=-999,"",INDEX('Raw Flow Data'!$A:$ZZ,$K$5+ROW()-26+$D$3,MATCH($B$3,'Raw Flow Data'!$1:$1,0))*$C$3))),"")</f>
        <v/>
      </c>
      <c r="C86" s="24">
        <f>IFERROR(IF($B$4="","",IF($K$5+ROW()-26&gt;$K$6,"",IF(INDEX('Raw Flow Data'!$A:$ZZ,$K$5+ROW()-26+$D$4,MATCH($B$4,'Raw Flow Data'!$1:$1,0))=-999,"",INDEX('Raw Flow Data'!$A:$ZZ,$K$5+ROW()-26+$D$4,MATCH($B$4,'Raw Flow Data'!$1:$1,0))*$C$4))),"")</f>
        <v/>
      </c>
      <c r="D86" s="24">
        <f>IFERROR(IF($B$5="","",IF($K$5+ROW()-26&gt;$K$6,"",IF(INDEX('Raw Flow Data'!$A:$ZZ,$K$5+ROW()-26+$D$5,MATCH($B$5,'Raw Flow Data'!$1:$1,0))=-999,"",INDEX('Raw Flow Data'!$A:$ZZ,$K$5+ROW()-26+$D$5,MATCH($B$5,'Raw Flow Data'!$1:$1,0))*$C$5))),"")</f>
        <v/>
      </c>
      <c r="E86" s="24">
        <f>IFERROR(IF($B$6="","",IF($K$5+ROW()-26&gt;$K$6,"",IF(INDEX('Raw Flow Data'!$A:$ZZ,$K$5+ROW()-26+$D$6,MATCH($B$6,'Raw Flow Data'!$1:$1,0))=-999,"",INDEX('Raw Flow Data'!$A:$ZZ,$K$5+ROW()-26+$D$6,MATCH($B$6,'Raw Flow Data'!$1:$1,0))*$C$6))),"")</f>
        <v/>
      </c>
      <c r="F86" s="24">
        <f>IFERROR(IF($B$7="","",IF($K$5+ROW()-26&gt;$K$6,"",IF(INDEX('Raw Flow Data'!$A:$ZZ,$K$5+ROW()-26+$D$7,MATCH($B$7,'Raw Flow Data'!$1:$1,0))=-999,"",INDEX('Raw Flow Data'!$A:$ZZ,$K$5+ROW()-26+$D$7,MATCH($B$7,'Raw Flow Data'!$1:$1,0))*$C$7))),"")</f>
        <v/>
      </c>
      <c r="G86" s="24">
        <f>IFERROR(IF($B$8="","",IF($K$5+ROW()-26&gt;$K$6,"",IF(INDEX('Raw Flow Data'!$A:$ZZ,$K$5+ROW()-26+$D$8,MATCH($B$8,'Raw Flow Data'!$1:$1,0))=-999,"",INDEX('Raw Flow Data'!$A:$ZZ,$K$5+ROW()-26+$D$8,MATCH($B$8,'Raw Flow Data'!$1:$1,0))*$C$8))),"")</f>
        <v/>
      </c>
      <c r="H86" s="24">
        <f>IFERROR(IF($B$9="","",IF($K$5+ROW()-26&gt;$K$6,"",IF(INDEX('Raw Flow Data'!$A:$ZZ,$K$5+ROW()-26+$D$9,MATCH($B$9,'Raw Flow Data'!$1:$1,0))=-999,"",INDEX('Raw Flow Data'!$A:$ZZ,$K$5+ROW()-26+$D$9,MATCH($B$9,'Raw Flow Data'!$1:$1,0))*$C$9))),"")</f>
        <v/>
      </c>
      <c r="I86" s="24">
        <f>IFERROR(IF($B$10="","",IF($K$5+ROW()-26&gt;$K$6,"",IF(INDEX('Raw Flow Data'!$A:$ZZ,$K$5+ROW()-26+$D$10,MATCH($B$10,'Raw Flow Data'!$1:$1,0))=-999,"",INDEX('Raw Flow Data'!$A:$ZZ,$K$5+ROW()-26+$D$10,MATCH($B$10,'Raw Flow Data'!$1:$1,0))*$C$10))),"")</f>
        <v/>
      </c>
      <c r="J86" s="24">
        <f>IFERROR(IF($B$11="","",IF($K$5+ROW()-26&gt;$K$6,"",IF(INDEX('Raw Flow Data'!$A:$ZZ,$K$5+ROW()-26+$D$11,MATCH($B$11,'Raw Flow Data'!$1:$1,0))=-999,"",INDEX('Raw Flow Data'!$A:$ZZ,$K$5+ROW()-26+$D$11,MATCH($B$11,'Raw Flow Data'!$1:$1,0))*$C$11))),"")</f>
        <v/>
      </c>
      <c r="K86" s="24">
        <f>IFERROR(IF($B$12="","",IF($K$5+ROW()-26&gt;$K$6,"",IF(INDEX('Raw Flow Data'!$A:$ZZ,$K$5+ROW()-26+$D$12,MATCH($B$12,'Raw Flow Data'!$1:$1,0))=-999,"",INDEX('Raw Flow Data'!$A:$ZZ,$K$5+ROW()-26+$D$12,MATCH($B$12,'Raw Flow Data'!$1:$1,0))*$C$12))),"")</f>
        <v/>
      </c>
      <c r="L86" s="24">
        <f>IFERROR(IF($F$3="","",IF($K$5+ROW()-26&gt;$K$6,"",IF(INDEX('Raw Pressure Data'!$A:$ZZ,$K$5+ROW()-26+$H$3,MATCH($F$3,'Raw Pressure Data'!$1:$1,0))=-999,"",INDEX('Raw Pressure Data'!$A:$ZZ,$K$5+ROW()-26+$H$3,MATCH($F$3,'Raw Pressure Data'!$1:$1,0))+$G$3))),"")</f>
        <v/>
      </c>
      <c r="M86" s="24">
        <f>IFERROR(IF($F$4="","",IF($K$5+ROW()-26&gt;$K$6,"",IF(INDEX('Raw Pressure Data'!$A:$ZZ,$K$5+ROW()-26+$H$4,MATCH($F$4,'Raw Pressure Data'!$1:$1,0))=-999,"",INDEX('Raw Pressure Data'!$A:$ZZ,$K$5+ROW()-26+$H$4,MATCH($F$4,'Raw Pressure Data'!$1:$1,0))+$G$4))),"")</f>
        <v/>
      </c>
      <c r="N86" s="24">
        <f>IFERROR(IF($F$5="","",IF($K$5+ROW()-26&gt;$K$6,"",IF(INDEX('Raw Pressure Data'!$A:$ZZ,$K$5+ROW()-26+$H$5,MATCH($F$5,'Raw Pressure Data'!$1:$1,0))=-999,"",INDEX('Raw Pressure Data'!$A:$ZZ,$K$5+ROW()-26+$H$5,MATCH($F$5,'Raw Pressure Data'!$1:$1,0))+$G$5))),"")</f>
        <v/>
      </c>
      <c r="O86" s="24">
        <f>IFERROR(IF($F$6="","",IF($K$5+ROW()-26&gt;$K$6,"",IF(INDEX('Raw Pressure Data'!$A:$ZZ,$K$5+ROW()-26+$H$6,MATCH($F$6,'Raw Pressure Data'!$1:$1,0))=-999,"",INDEX('Raw Pressure Data'!$A:$ZZ,$K$5+ROW()-26+$H$6,MATCH($F$6,'Raw Pressure Data'!$1:$1,0))+$G$6))),"")</f>
        <v/>
      </c>
      <c r="P86" s="24">
        <f>IFERROR(IF($F$7="","",IF($K$5+ROW()-26&gt;$K$6,"",IF(INDEX('Raw Pressure Data'!$A:$ZZ,$K$5+ROW()-26+$H$7,MATCH($F$7,'Raw Pressure Data'!$1:$1,0))=-999,"",INDEX('Raw Pressure Data'!$A:$ZZ,$K$5+ROW()-26+$H$7,MATCH($F$7,'Raw Pressure Data'!$1:$1,0))+$G$7))),"")</f>
        <v/>
      </c>
      <c r="Q86" s="24">
        <f>IFERROR(IF($F$8="","",IF($K$5+ROW()-26&gt;$K$6,"",IF(INDEX('Raw Pressure Data'!$A:$ZZ,$K$5+ROW()-26+$H$8,MATCH($F$8,'Raw Pressure Data'!$1:$1,0))=-999,"",INDEX('Raw Pressure Data'!$A:$ZZ,$K$5+ROW()-26+$H$8,MATCH($F$8,'Raw Pressure Data'!$1:$1,0))+$G$8))),"")</f>
        <v/>
      </c>
      <c r="R86" s="24">
        <f>IFERROR(IF($F$9="","",IF($K$5+ROW()-26&gt;$K$6,"",IF(INDEX('Raw Pressure Data'!$A:$ZZ,$K$5+ROW()-26+$H$9,MATCH($F$9,'Raw Pressure Data'!$1:$1,0))=-999,"",INDEX('Raw Pressure Data'!$A:$ZZ,$K$5+ROW()-26+$H$9,MATCH($F$9,'Raw Pressure Data'!$1:$1,0))+$G$9))),"")</f>
        <v/>
      </c>
      <c r="S86" s="24">
        <f>IFERROR(IF($F$10="","",IF($K$5+ROW()-26&gt;$K$6,"",IF(INDEX('Raw Pressure Data'!$A:$ZZ,$K$5+ROW()-26+$H$10,MATCH($F$10,'Raw Pressure Data'!$1:$1,0))=-999,"",INDEX('Raw Pressure Data'!$A:$ZZ,$K$5+ROW()-26+$H$10,MATCH($F$10,'Raw Pressure Data'!$1:$1,0))+$G$10))),"")</f>
        <v/>
      </c>
      <c r="T86" s="24">
        <f>IFERROR(IF($F$11="","",IF($K$5+ROW()-26&gt;$K$6,"",IF(INDEX('Raw Pressure Data'!$A:$ZZ,$K$5+ROW()-26+$H$11,MATCH($F$11,'Raw Pressure Data'!$1:$1,0))=-999,"",INDEX('Raw Pressure Data'!$A:$ZZ,$K$5+ROW()-26+$H$11,MATCH($F$11,'Raw Pressure Data'!$1:$1,0))+$G$11))),"")</f>
        <v/>
      </c>
      <c r="U86" s="24">
        <f>IFERROR(IF($F$12="","",IF($K$5+ROW()-26&gt;$K$6,"",IF(INDEX('Raw Pressure Data'!$A:$ZZ,$K$5+ROW()-26+$H$12,MATCH($F$12,'Raw Pressure Data'!$1:$1,0))=-999,"",INDEX('Raw Pressure Data'!$A:$ZZ,$K$5+ROW()-26+$H$12,MATCH($F$12,'Raw Pressure Data'!$1:$1,0))+$G$12))),"")</f>
        <v/>
      </c>
      <c r="V86" s="24">
        <f>IFERROR(IF($F$13="","",IF($K$5+ROW()-26&gt;$K$6,"",IF(INDEX('Raw Pressure Data'!$A:$ZZ,$K$5+ROW()-26+$H$13,MATCH($F$13,'Raw Pressure Data'!$1:$1,0))=-999,"",INDEX('Raw Pressure Data'!$A:$ZZ,$K$5+ROW()-26+$H$13,MATCH($F$13,'Raw Pressure Data'!$1:$1,0))+$G$13))),"")</f>
        <v/>
      </c>
      <c r="W86" s="24">
        <f>IFERROR(IF($F$14="","",IF($K$5+ROW()-26&gt;$K$6,"",IF(INDEX('Raw Pressure Data'!$A:$ZZ,$K$5+ROW()-26+$H$14,MATCH($F$14,'Raw Pressure Data'!$1:$1,0))=-999,"",INDEX('Raw Pressure Data'!$A:$ZZ,$K$5+ROW()-26+$H$14,MATCH($F$14,'Raw Pressure Data'!$1:$1,0))+$G$14))),"")</f>
        <v/>
      </c>
      <c r="X86" s="24">
        <f>IFERROR(IF($F$15="","",IF($K$5+ROW()-26&gt;$K$6,"",IF(INDEX('Raw Pressure Data'!$A:$ZZ,$K$5+ROW()-26+$H$15,MATCH($F$15,'Raw Pressure Data'!$1:$1,0))=-999,"",INDEX('Raw Pressure Data'!$A:$ZZ,$K$5+ROW()-26+$H$15,MATCH($F$15,'Raw Pressure Data'!$1:$1,0))+$G$15))),"")</f>
        <v/>
      </c>
      <c r="Y86" s="24">
        <f>IFERROR(IF($F$16="","",IF($K$5+ROW()-26&gt;$K$6,"",IF(INDEX('Raw Pressure Data'!$A:$ZZ,$K$5+ROW()-26+$H$16,MATCH($F$16,'Raw Pressure Data'!$1:$1,0))=-999,"",INDEX('Raw Pressure Data'!$A:$ZZ,$K$5+ROW()-26+$H$16,MATCH($F$16,'Raw Pressure Data'!$1:$1,0))+$G$16))),"")</f>
        <v/>
      </c>
      <c r="Z86" s="24">
        <f>IFERROR(IF($F$17="","",IF($K$5+ROW()-26&gt;$K$6,"",IF(INDEX('Raw Pressure Data'!$A:$ZZ,$K$5+ROW()-26+$H$17,MATCH($F$17,'Raw Pressure Data'!$1:$1,0))=-999,"",INDEX('Raw Pressure Data'!$A:$ZZ,$K$5+ROW()-26+$H$17,MATCH($F$17,'Raw Pressure Data'!$1:$1,0))+$G$17))),"")</f>
        <v/>
      </c>
      <c r="AA86" s="24">
        <f>IFERROR(IF($F$18="","",IF($K$5+ROW()-26&gt;$K$6,"",IF(INDEX('Raw Pressure Data'!$A:$ZZ,$K$5+ROW()-26+$H$18,MATCH($F$18,'Raw Pressure Data'!$1:$1,0))=-999,"",INDEX('Raw Pressure Data'!$A:$ZZ,$K$5+ROW()-26+$H$18,MATCH($F$18,'Raw Pressure Data'!$1:$1,0))+$G$18))),"")</f>
        <v/>
      </c>
      <c r="AB86" s="24">
        <f>IFERROR(IF($F$19="","",IF($K$5+ROW()-26&gt;$K$6,"",IF(INDEX('Raw Pressure Data'!$A:$ZZ,$K$5+ROW()-26+$H$19,MATCH($F$19,'Raw Pressure Data'!$1:$1,0))=-999,"",INDEX('Raw Pressure Data'!$A:$ZZ,$K$5+ROW()-26+$H$19,MATCH($F$19,'Raw Pressure Data'!$1:$1,0))+$G$19))),"")</f>
        <v/>
      </c>
      <c r="AC86" s="24">
        <f>IFERROR(IF($F$20="","",IF($K$5+ROW()-26&gt;$K$6,"",IF(INDEX('Raw Pressure Data'!$A:$ZZ,$K$5+ROW()-26+$H$20,MATCH($F$20,'Raw Pressure Data'!$1:$1,0))=-999,"",INDEX('Raw Pressure Data'!$A:$ZZ,$K$5+ROW()-26+$H$20,MATCH($F$20,'Raw Pressure Data'!$1:$1,0))+$G$20))),"")</f>
        <v/>
      </c>
      <c r="AD86" s="24">
        <f>IFERROR(IF($F$21="","",IF($K$5+ROW()-26&gt;$K$6,"",IF(INDEX('Raw Pressure Data'!$A:$ZZ,$K$5+ROW()-26+$H$21,MATCH($F$21,'Raw Pressure Data'!$1:$1,0))=-999,"",INDEX('Raw Pressure Data'!$A:$ZZ,$K$5+ROW()-26+$H$21,MATCH($F$21,'Raw Pressure Data'!$1:$1,0))+$G$21))),"")</f>
        <v/>
      </c>
      <c r="AE86" s="24">
        <f>IFERROR(IF($F$22="","",IF($K$5+ROW()-26&gt;$K$6,"",IF(INDEX('Raw Pressure Data'!$A:$ZZ,$K$5+ROW()-26+$H$22,MATCH($F$22,'Raw Pressure Data'!$1:$1,0))=-999,"",INDEX('Raw Pressure Data'!$A:$ZZ,$K$5+ROW()-26+$H$22,MATCH($F$22,'Raw Pressure Data'!$1:$1,0))+$G$22))),"")</f>
        <v/>
      </c>
    </row>
    <row r="87" ht="15" customHeight="1">
      <c r="A87" s="25">
        <f>IFERROR(IF($K$5+ROW()-26&gt;$K$6,"",IF(INDEX('Raw Flow Data'!$A:$A,$K$5+ROW()-26)="","",INDEX('Raw Flow Data'!$A:$A,$K$5+ROW()-26))),"")</f>
        <v/>
      </c>
      <c r="B87" s="26">
        <f>IFERROR(IF($B$3="","",IF($K$5+ROW()-26&gt;$K$6,"",IF(INDEX('Raw Flow Data'!$A:$ZZ,$K$5+ROW()-26+$D$3,MATCH($B$3,'Raw Flow Data'!$1:$1,0))=-999,"",INDEX('Raw Flow Data'!$A:$ZZ,$K$5+ROW()-26+$D$3,MATCH($B$3,'Raw Flow Data'!$1:$1,0))*$C$3))),"")</f>
        <v/>
      </c>
      <c r="C87" s="26">
        <f>IFERROR(IF($B$4="","",IF($K$5+ROW()-26&gt;$K$6,"",IF(INDEX('Raw Flow Data'!$A:$ZZ,$K$5+ROW()-26+$D$4,MATCH($B$4,'Raw Flow Data'!$1:$1,0))=-999,"",INDEX('Raw Flow Data'!$A:$ZZ,$K$5+ROW()-26+$D$4,MATCH($B$4,'Raw Flow Data'!$1:$1,0))*$C$4))),"")</f>
        <v/>
      </c>
      <c r="D87" s="26">
        <f>IFERROR(IF($B$5="","",IF($K$5+ROW()-26&gt;$K$6,"",IF(INDEX('Raw Flow Data'!$A:$ZZ,$K$5+ROW()-26+$D$5,MATCH($B$5,'Raw Flow Data'!$1:$1,0))=-999,"",INDEX('Raw Flow Data'!$A:$ZZ,$K$5+ROW()-26+$D$5,MATCH($B$5,'Raw Flow Data'!$1:$1,0))*$C$5))),"")</f>
        <v/>
      </c>
      <c r="E87" s="26">
        <f>IFERROR(IF($B$6="","",IF($K$5+ROW()-26&gt;$K$6,"",IF(INDEX('Raw Flow Data'!$A:$ZZ,$K$5+ROW()-26+$D$6,MATCH($B$6,'Raw Flow Data'!$1:$1,0))=-999,"",INDEX('Raw Flow Data'!$A:$ZZ,$K$5+ROW()-26+$D$6,MATCH($B$6,'Raw Flow Data'!$1:$1,0))*$C$6))),"")</f>
        <v/>
      </c>
      <c r="F87" s="26">
        <f>IFERROR(IF($B$7="","",IF($K$5+ROW()-26&gt;$K$6,"",IF(INDEX('Raw Flow Data'!$A:$ZZ,$K$5+ROW()-26+$D$7,MATCH($B$7,'Raw Flow Data'!$1:$1,0))=-999,"",INDEX('Raw Flow Data'!$A:$ZZ,$K$5+ROW()-26+$D$7,MATCH($B$7,'Raw Flow Data'!$1:$1,0))*$C$7))),"")</f>
        <v/>
      </c>
      <c r="G87" s="26">
        <f>IFERROR(IF($B$8="","",IF($K$5+ROW()-26&gt;$K$6,"",IF(INDEX('Raw Flow Data'!$A:$ZZ,$K$5+ROW()-26+$D$8,MATCH($B$8,'Raw Flow Data'!$1:$1,0))=-999,"",INDEX('Raw Flow Data'!$A:$ZZ,$K$5+ROW()-26+$D$8,MATCH($B$8,'Raw Flow Data'!$1:$1,0))*$C$8))),"")</f>
        <v/>
      </c>
      <c r="H87" s="26">
        <f>IFERROR(IF($B$9="","",IF($K$5+ROW()-26&gt;$K$6,"",IF(INDEX('Raw Flow Data'!$A:$ZZ,$K$5+ROW()-26+$D$9,MATCH($B$9,'Raw Flow Data'!$1:$1,0))=-999,"",INDEX('Raw Flow Data'!$A:$ZZ,$K$5+ROW()-26+$D$9,MATCH($B$9,'Raw Flow Data'!$1:$1,0))*$C$9))),"")</f>
        <v/>
      </c>
      <c r="I87" s="26">
        <f>IFERROR(IF($B$10="","",IF($K$5+ROW()-26&gt;$K$6,"",IF(INDEX('Raw Flow Data'!$A:$ZZ,$K$5+ROW()-26+$D$10,MATCH($B$10,'Raw Flow Data'!$1:$1,0))=-999,"",INDEX('Raw Flow Data'!$A:$ZZ,$K$5+ROW()-26+$D$10,MATCH($B$10,'Raw Flow Data'!$1:$1,0))*$C$10))),"")</f>
        <v/>
      </c>
      <c r="J87" s="26">
        <f>IFERROR(IF($B$11="","",IF($K$5+ROW()-26&gt;$K$6,"",IF(INDEX('Raw Flow Data'!$A:$ZZ,$K$5+ROW()-26+$D$11,MATCH($B$11,'Raw Flow Data'!$1:$1,0))=-999,"",INDEX('Raw Flow Data'!$A:$ZZ,$K$5+ROW()-26+$D$11,MATCH($B$11,'Raw Flow Data'!$1:$1,0))*$C$11))),"")</f>
        <v/>
      </c>
      <c r="K87" s="26">
        <f>IFERROR(IF($B$12="","",IF($K$5+ROW()-26&gt;$K$6,"",IF(INDEX('Raw Flow Data'!$A:$ZZ,$K$5+ROW()-26+$D$12,MATCH($B$12,'Raw Flow Data'!$1:$1,0))=-999,"",INDEX('Raw Flow Data'!$A:$ZZ,$K$5+ROW()-26+$D$12,MATCH($B$12,'Raw Flow Data'!$1:$1,0))*$C$12))),"")</f>
        <v/>
      </c>
      <c r="L87" s="26">
        <f>IFERROR(IF($F$3="","",IF($K$5+ROW()-26&gt;$K$6,"",IF(INDEX('Raw Pressure Data'!$A:$ZZ,$K$5+ROW()-26+$H$3,MATCH($F$3,'Raw Pressure Data'!$1:$1,0))=-999,"",INDEX('Raw Pressure Data'!$A:$ZZ,$K$5+ROW()-26+$H$3,MATCH($F$3,'Raw Pressure Data'!$1:$1,0))+$G$3))),"")</f>
        <v/>
      </c>
      <c r="M87" s="26">
        <f>IFERROR(IF($F$4="","",IF($K$5+ROW()-26&gt;$K$6,"",IF(INDEX('Raw Pressure Data'!$A:$ZZ,$K$5+ROW()-26+$H$4,MATCH($F$4,'Raw Pressure Data'!$1:$1,0))=-999,"",INDEX('Raw Pressure Data'!$A:$ZZ,$K$5+ROW()-26+$H$4,MATCH($F$4,'Raw Pressure Data'!$1:$1,0))+$G$4))),"")</f>
        <v/>
      </c>
      <c r="N87" s="26">
        <f>IFERROR(IF($F$5="","",IF($K$5+ROW()-26&gt;$K$6,"",IF(INDEX('Raw Pressure Data'!$A:$ZZ,$K$5+ROW()-26+$H$5,MATCH($F$5,'Raw Pressure Data'!$1:$1,0))=-999,"",INDEX('Raw Pressure Data'!$A:$ZZ,$K$5+ROW()-26+$H$5,MATCH($F$5,'Raw Pressure Data'!$1:$1,0))+$G$5))),"")</f>
        <v/>
      </c>
      <c r="O87" s="26">
        <f>IFERROR(IF($F$6="","",IF($K$5+ROW()-26&gt;$K$6,"",IF(INDEX('Raw Pressure Data'!$A:$ZZ,$K$5+ROW()-26+$H$6,MATCH($F$6,'Raw Pressure Data'!$1:$1,0))=-999,"",INDEX('Raw Pressure Data'!$A:$ZZ,$K$5+ROW()-26+$H$6,MATCH($F$6,'Raw Pressure Data'!$1:$1,0))+$G$6))),"")</f>
        <v/>
      </c>
      <c r="P87" s="26">
        <f>IFERROR(IF($F$7="","",IF($K$5+ROW()-26&gt;$K$6,"",IF(INDEX('Raw Pressure Data'!$A:$ZZ,$K$5+ROW()-26+$H$7,MATCH($F$7,'Raw Pressure Data'!$1:$1,0))=-999,"",INDEX('Raw Pressure Data'!$A:$ZZ,$K$5+ROW()-26+$H$7,MATCH($F$7,'Raw Pressure Data'!$1:$1,0))+$G$7))),"")</f>
        <v/>
      </c>
      <c r="Q87" s="26">
        <f>IFERROR(IF($F$8="","",IF($K$5+ROW()-26&gt;$K$6,"",IF(INDEX('Raw Pressure Data'!$A:$ZZ,$K$5+ROW()-26+$H$8,MATCH($F$8,'Raw Pressure Data'!$1:$1,0))=-999,"",INDEX('Raw Pressure Data'!$A:$ZZ,$K$5+ROW()-26+$H$8,MATCH($F$8,'Raw Pressure Data'!$1:$1,0))+$G$8))),"")</f>
        <v/>
      </c>
      <c r="R87" s="26">
        <f>IFERROR(IF($F$9="","",IF($K$5+ROW()-26&gt;$K$6,"",IF(INDEX('Raw Pressure Data'!$A:$ZZ,$K$5+ROW()-26+$H$9,MATCH($F$9,'Raw Pressure Data'!$1:$1,0))=-999,"",INDEX('Raw Pressure Data'!$A:$ZZ,$K$5+ROW()-26+$H$9,MATCH($F$9,'Raw Pressure Data'!$1:$1,0))+$G$9))),"")</f>
        <v/>
      </c>
      <c r="S87" s="26">
        <f>IFERROR(IF($F$10="","",IF($K$5+ROW()-26&gt;$K$6,"",IF(INDEX('Raw Pressure Data'!$A:$ZZ,$K$5+ROW()-26+$H$10,MATCH($F$10,'Raw Pressure Data'!$1:$1,0))=-999,"",INDEX('Raw Pressure Data'!$A:$ZZ,$K$5+ROW()-26+$H$10,MATCH($F$10,'Raw Pressure Data'!$1:$1,0))+$G$10))),"")</f>
        <v/>
      </c>
      <c r="T87" s="26">
        <f>IFERROR(IF($F$11="","",IF($K$5+ROW()-26&gt;$K$6,"",IF(INDEX('Raw Pressure Data'!$A:$ZZ,$K$5+ROW()-26+$H$11,MATCH($F$11,'Raw Pressure Data'!$1:$1,0))=-999,"",INDEX('Raw Pressure Data'!$A:$ZZ,$K$5+ROW()-26+$H$11,MATCH($F$11,'Raw Pressure Data'!$1:$1,0))+$G$11))),"")</f>
        <v/>
      </c>
      <c r="U87" s="26">
        <f>IFERROR(IF($F$12="","",IF($K$5+ROW()-26&gt;$K$6,"",IF(INDEX('Raw Pressure Data'!$A:$ZZ,$K$5+ROW()-26+$H$12,MATCH($F$12,'Raw Pressure Data'!$1:$1,0))=-999,"",INDEX('Raw Pressure Data'!$A:$ZZ,$K$5+ROW()-26+$H$12,MATCH($F$12,'Raw Pressure Data'!$1:$1,0))+$G$12))),"")</f>
        <v/>
      </c>
      <c r="V87" s="26">
        <f>IFERROR(IF($F$13="","",IF($K$5+ROW()-26&gt;$K$6,"",IF(INDEX('Raw Pressure Data'!$A:$ZZ,$K$5+ROW()-26+$H$13,MATCH($F$13,'Raw Pressure Data'!$1:$1,0))=-999,"",INDEX('Raw Pressure Data'!$A:$ZZ,$K$5+ROW()-26+$H$13,MATCH($F$13,'Raw Pressure Data'!$1:$1,0))+$G$13))),"")</f>
        <v/>
      </c>
      <c r="W87" s="26">
        <f>IFERROR(IF($F$14="","",IF($K$5+ROW()-26&gt;$K$6,"",IF(INDEX('Raw Pressure Data'!$A:$ZZ,$K$5+ROW()-26+$H$14,MATCH($F$14,'Raw Pressure Data'!$1:$1,0))=-999,"",INDEX('Raw Pressure Data'!$A:$ZZ,$K$5+ROW()-26+$H$14,MATCH($F$14,'Raw Pressure Data'!$1:$1,0))+$G$14))),"")</f>
        <v/>
      </c>
      <c r="X87" s="26">
        <f>IFERROR(IF($F$15="","",IF($K$5+ROW()-26&gt;$K$6,"",IF(INDEX('Raw Pressure Data'!$A:$ZZ,$K$5+ROW()-26+$H$15,MATCH($F$15,'Raw Pressure Data'!$1:$1,0))=-999,"",INDEX('Raw Pressure Data'!$A:$ZZ,$K$5+ROW()-26+$H$15,MATCH($F$15,'Raw Pressure Data'!$1:$1,0))+$G$15))),"")</f>
        <v/>
      </c>
      <c r="Y87" s="26">
        <f>IFERROR(IF($F$16="","",IF($K$5+ROW()-26&gt;$K$6,"",IF(INDEX('Raw Pressure Data'!$A:$ZZ,$K$5+ROW()-26+$H$16,MATCH($F$16,'Raw Pressure Data'!$1:$1,0))=-999,"",INDEX('Raw Pressure Data'!$A:$ZZ,$K$5+ROW()-26+$H$16,MATCH($F$16,'Raw Pressure Data'!$1:$1,0))+$G$16))),"")</f>
        <v/>
      </c>
      <c r="Z87" s="26">
        <f>IFERROR(IF($F$17="","",IF($K$5+ROW()-26&gt;$K$6,"",IF(INDEX('Raw Pressure Data'!$A:$ZZ,$K$5+ROW()-26+$H$17,MATCH($F$17,'Raw Pressure Data'!$1:$1,0))=-999,"",INDEX('Raw Pressure Data'!$A:$ZZ,$K$5+ROW()-26+$H$17,MATCH($F$17,'Raw Pressure Data'!$1:$1,0))+$G$17))),"")</f>
        <v/>
      </c>
      <c r="AA87" s="26">
        <f>IFERROR(IF($F$18="","",IF($K$5+ROW()-26&gt;$K$6,"",IF(INDEX('Raw Pressure Data'!$A:$ZZ,$K$5+ROW()-26+$H$18,MATCH($F$18,'Raw Pressure Data'!$1:$1,0))=-999,"",INDEX('Raw Pressure Data'!$A:$ZZ,$K$5+ROW()-26+$H$18,MATCH($F$18,'Raw Pressure Data'!$1:$1,0))+$G$18))),"")</f>
        <v/>
      </c>
      <c r="AB87" s="26">
        <f>IFERROR(IF($F$19="","",IF($K$5+ROW()-26&gt;$K$6,"",IF(INDEX('Raw Pressure Data'!$A:$ZZ,$K$5+ROW()-26+$H$19,MATCH($F$19,'Raw Pressure Data'!$1:$1,0))=-999,"",INDEX('Raw Pressure Data'!$A:$ZZ,$K$5+ROW()-26+$H$19,MATCH($F$19,'Raw Pressure Data'!$1:$1,0))+$G$19))),"")</f>
        <v/>
      </c>
      <c r="AC87" s="26">
        <f>IFERROR(IF($F$20="","",IF($K$5+ROW()-26&gt;$K$6,"",IF(INDEX('Raw Pressure Data'!$A:$ZZ,$K$5+ROW()-26+$H$20,MATCH($F$20,'Raw Pressure Data'!$1:$1,0))=-999,"",INDEX('Raw Pressure Data'!$A:$ZZ,$K$5+ROW()-26+$H$20,MATCH($F$20,'Raw Pressure Data'!$1:$1,0))+$G$20))),"")</f>
        <v/>
      </c>
      <c r="AD87" s="26">
        <f>IFERROR(IF($F$21="","",IF($K$5+ROW()-26&gt;$K$6,"",IF(INDEX('Raw Pressure Data'!$A:$ZZ,$K$5+ROW()-26+$H$21,MATCH($F$21,'Raw Pressure Data'!$1:$1,0))=-999,"",INDEX('Raw Pressure Data'!$A:$ZZ,$K$5+ROW()-26+$H$21,MATCH($F$21,'Raw Pressure Data'!$1:$1,0))+$G$21))),"")</f>
        <v/>
      </c>
      <c r="AE87" s="26">
        <f>IFERROR(IF($F$22="","",IF($K$5+ROW()-26&gt;$K$6,"",IF(INDEX('Raw Pressure Data'!$A:$ZZ,$K$5+ROW()-26+$H$22,MATCH($F$22,'Raw Pressure Data'!$1:$1,0))=-999,"",INDEX('Raw Pressure Data'!$A:$ZZ,$K$5+ROW()-26+$H$22,MATCH($F$22,'Raw Pressure Data'!$1:$1,0))+$G$22))),"")</f>
        <v/>
      </c>
    </row>
    <row r="88" ht="15" customHeight="1">
      <c r="A88" s="23">
        <f>IFERROR(IF($K$5+ROW()-26&gt;$K$6,"",IF(INDEX('Raw Flow Data'!$A:$A,$K$5+ROW()-26)="","",INDEX('Raw Flow Data'!$A:$A,$K$5+ROW()-26))),"")</f>
        <v/>
      </c>
      <c r="B88" s="24">
        <f>IFERROR(IF($B$3="","",IF($K$5+ROW()-26&gt;$K$6,"",IF(INDEX('Raw Flow Data'!$A:$ZZ,$K$5+ROW()-26+$D$3,MATCH($B$3,'Raw Flow Data'!$1:$1,0))=-999,"",INDEX('Raw Flow Data'!$A:$ZZ,$K$5+ROW()-26+$D$3,MATCH($B$3,'Raw Flow Data'!$1:$1,0))*$C$3))),"")</f>
        <v/>
      </c>
      <c r="C88" s="24">
        <f>IFERROR(IF($B$4="","",IF($K$5+ROW()-26&gt;$K$6,"",IF(INDEX('Raw Flow Data'!$A:$ZZ,$K$5+ROW()-26+$D$4,MATCH($B$4,'Raw Flow Data'!$1:$1,0))=-999,"",INDEX('Raw Flow Data'!$A:$ZZ,$K$5+ROW()-26+$D$4,MATCH($B$4,'Raw Flow Data'!$1:$1,0))*$C$4))),"")</f>
        <v/>
      </c>
      <c r="D88" s="24">
        <f>IFERROR(IF($B$5="","",IF($K$5+ROW()-26&gt;$K$6,"",IF(INDEX('Raw Flow Data'!$A:$ZZ,$K$5+ROW()-26+$D$5,MATCH($B$5,'Raw Flow Data'!$1:$1,0))=-999,"",INDEX('Raw Flow Data'!$A:$ZZ,$K$5+ROW()-26+$D$5,MATCH($B$5,'Raw Flow Data'!$1:$1,0))*$C$5))),"")</f>
        <v/>
      </c>
      <c r="E88" s="24">
        <f>IFERROR(IF($B$6="","",IF($K$5+ROW()-26&gt;$K$6,"",IF(INDEX('Raw Flow Data'!$A:$ZZ,$K$5+ROW()-26+$D$6,MATCH($B$6,'Raw Flow Data'!$1:$1,0))=-999,"",INDEX('Raw Flow Data'!$A:$ZZ,$K$5+ROW()-26+$D$6,MATCH($B$6,'Raw Flow Data'!$1:$1,0))*$C$6))),"")</f>
        <v/>
      </c>
      <c r="F88" s="24">
        <f>IFERROR(IF($B$7="","",IF($K$5+ROW()-26&gt;$K$6,"",IF(INDEX('Raw Flow Data'!$A:$ZZ,$K$5+ROW()-26+$D$7,MATCH($B$7,'Raw Flow Data'!$1:$1,0))=-999,"",INDEX('Raw Flow Data'!$A:$ZZ,$K$5+ROW()-26+$D$7,MATCH($B$7,'Raw Flow Data'!$1:$1,0))*$C$7))),"")</f>
        <v/>
      </c>
      <c r="G88" s="24">
        <f>IFERROR(IF($B$8="","",IF($K$5+ROW()-26&gt;$K$6,"",IF(INDEX('Raw Flow Data'!$A:$ZZ,$K$5+ROW()-26+$D$8,MATCH($B$8,'Raw Flow Data'!$1:$1,0))=-999,"",INDEX('Raw Flow Data'!$A:$ZZ,$K$5+ROW()-26+$D$8,MATCH($B$8,'Raw Flow Data'!$1:$1,0))*$C$8))),"")</f>
        <v/>
      </c>
      <c r="H88" s="24">
        <f>IFERROR(IF($B$9="","",IF($K$5+ROW()-26&gt;$K$6,"",IF(INDEX('Raw Flow Data'!$A:$ZZ,$K$5+ROW()-26+$D$9,MATCH($B$9,'Raw Flow Data'!$1:$1,0))=-999,"",INDEX('Raw Flow Data'!$A:$ZZ,$K$5+ROW()-26+$D$9,MATCH($B$9,'Raw Flow Data'!$1:$1,0))*$C$9))),"")</f>
        <v/>
      </c>
      <c r="I88" s="24">
        <f>IFERROR(IF($B$10="","",IF($K$5+ROW()-26&gt;$K$6,"",IF(INDEX('Raw Flow Data'!$A:$ZZ,$K$5+ROW()-26+$D$10,MATCH($B$10,'Raw Flow Data'!$1:$1,0))=-999,"",INDEX('Raw Flow Data'!$A:$ZZ,$K$5+ROW()-26+$D$10,MATCH($B$10,'Raw Flow Data'!$1:$1,0))*$C$10))),"")</f>
        <v/>
      </c>
      <c r="J88" s="24">
        <f>IFERROR(IF($B$11="","",IF($K$5+ROW()-26&gt;$K$6,"",IF(INDEX('Raw Flow Data'!$A:$ZZ,$K$5+ROW()-26+$D$11,MATCH($B$11,'Raw Flow Data'!$1:$1,0))=-999,"",INDEX('Raw Flow Data'!$A:$ZZ,$K$5+ROW()-26+$D$11,MATCH($B$11,'Raw Flow Data'!$1:$1,0))*$C$11))),"")</f>
        <v/>
      </c>
      <c r="K88" s="24">
        <f>IFERROR(IF($B$12="","",IF($K$5+ROW()-26&gt;$K$6,"",IF(INDEX('Raw Flow Data'!$A:$ZZ,$K$5+ROW()-26+$D$12,MATCH($B$12,'Raw Flow Data'!$1:$1,0))=-999,"",INDEX('Raw Flow Data'!$A:$ZZ,$K$5+ROW()-26+$D$12,MATCH($B$12,'Raw Flow Data'!$1:$1,0))*$C$12))),"")</f>
        <v/>
      </c>
      <c r="L88" s="24">
        <f>IFERROR(IF($F$3="","",IF($K$5+ROW()-26&gt;$K$6,"",IF(INDEX('Raw Pressure Data'!$A:$ZZ,$K$5+ROW()-26+$H$3,MATCH($F$3,'Raw Pressure Data'!$1:$1,0))=-999,"",INDEX('Raw Pressure Data'!$A:$ZZ,$K$5+ROW()-26+$H$3,MATCH($F$3,'Raw Pressure Data'!$1:$1,0))+$G$3))),"")</f>
        <v/>
      </c>
      <c r="M88" s="24">
        <f>IFERROR(IF($F$4="","",IF($K$5+ROW()-26&gt;$K$6,"",IF(INDEX('Raw Pressure Data'!$A:$ZZ,$K$5+ROW()-26+$H$4,MATCH($F$4,'Raw Pressure Data'!$1:$1,0))=-999,"",INDEX('Raw Pressure Data'!$A:$ZZ,$K$5+ROW()-26+$H$4,MATCH($F$4,'Raw Pressure Data'!$1:$1,0))+$G$4))),"")</f>
        <v/>
      </c>
      <c r="N88" s="24">
        <f>IFERROR(IF($F$5="","",IF($K$5+ROW()-26&gt;$K$6,"",IF(INDEX('Raw Pressure Data'!$A:$ZZ,$K$5+ROW()-26+$H$5,MATCH($F$5,'Raw Pressure Data'!$1:$1,0))=-999,"",INDEX('Raw Pressure Data'!$A:$ZZ,$K$5+ROW()-26+$H$5,MATCH($F$5,'Raw Pressure Data'!$1:$1,0))+$G$5))),"")</f>
        <v/>
      </c>
      <c r="O88" s="24">
        <f>IFERROR(IF($F$6="","",IF($K$5+ROW()-26&gt;$K$6,"",IF(INDEX('Raw Pressure Data'!$A:$ZZ,$K$5+ROW()-26+$H$6,MATCH($F$6,'Raw Pressure Data'!$1:$1,0))=-999,"",INDEX('Raw Pressure Data'!$A:$ZZ,$K$5+ROW()-26+$H$6,MATCH($F$6,'Raw Pressure Data'!$1:$1,0))+$G$6))),"")</f>
        <v/>
      </c>
      <c r="P88" s="24">
        <f>IFERROR(IF($F$7="","",IF($K$5+ROW()-26&gt;$K$6,"",IF(INDEX('Raw Pressure Data'!$A:$ZZ,$K$5+ROW()-26+$H$7,MATCH($F$7,'Raw Pressure Data'!$1:$1,0))=-999,"",INDEX('Raw Pressure Data'!$A:$ZZ,$K$5+ROW()-26+$H$7,MATCH($F$7,'Raw Pressure Data'!$1:$1,0))+$G$7))),"")</f>
        <v/>
      </c>
      <c r="Q88" s="24">
        <f>IFERROR(IF($F$8="","",IF($K$5+ROW()-26&gt;$K$6,"",IF(INDEX('Raw Pressure Data'!$A:$ZZ,$K$5+ROW()-26+$H$8,MATCH($F$8,'Raw Pressure Data'!$1:$1,0))=-999,"",INDEX('Raw Pressure Data'!$A:$ZZ,$K$5+ROW()-26+$H$8,MATCH($F$8,'Raw Pressure Data'!$1:$1,0))+$G$8))),"")</f>
        <v/>
      </c>
      <c r="R88" s="24">
        <f>IFERROR(IF($F$9="","",IF($K$5+ROW()-26&gt;$K$6,"",IF(INDEX('Raw Pressure Data'!$A:$ZZ,$K$5+ROW()-26+$H$9,MATCH($F$9,'Raw Pressure Data'!$1:$1,0))=-999,"",INDEX('Raw Pressure Data'!$A:$ZZ,$K$5+ROW()-26+$H$9,MATCH($F$9,'Raw Pressure Data'!$1:$1,0))+$G$9))),"")</f>
        <v/>
      </c>
      <c r="S88" s="24">
        <f>IFERROR(IF($F$10="","",IF($K$5+ROW()-26&gt;$K$6,"",IF(INDEX('Raw Pressure Data'!$A:$ZZ,$K$5+ROW()-26+$H$10,MATCH($F$10,'Raw Pressure Data'!$1:$1,0))=-999,"",INDEX('Raw Pressure Data'!$A:$ZZ,$K$5+ROW()-26+$H$10,MATCH($F$10,'Raw Pressure Data'!$1:$1,0))+$G$10))),"")</f>
        <v/>
      </c>
      <c r="T88" s="24">
        <f>IFERROR(IF($F$11="","",IF($K$5+ROW()-26&gt;$K$6,"",IF(INDEX('Raw Pressure Data'!$A:$ZZ,$K$5+ROW()-26+$H$11,MATCH($F$11,'Raw Pressure Data'!$1:$1,0))=-999,"",INDEX('Raw Pressure Data'!$A:$ZZ,$K$5+ROW()-26+$H$11,MATCH($F$11,'Raw Pressure Data'!$1:$1,0))+$G$11))),"")</f>
        <v/>
      </c>
      <c r="U88" s="24">
        <f>IFERROR(IF($F$12="","",IF($K$5+ROW()-26&gt;$K$6,"",IF(INDEX('Raw Pressure Data'!$A:$ZZ,$K$5+ROW()-26+$H$12,MATCH($F$12,'Raw Pressure Data'!$1:$1,0))=-999,"",INDEX('Raw Pressure Data'!$A:$ZZ,$K$5+ROW()-26+$H$12,MATCH($F$12,'Raw Pressure Data'!$1:$1,0))+$G$12))),"")</f>
        <v/>
      </c>
      <c r="V88" s="24">
        <f>IFERROR(IF($F$13="","",IF($K$5+ROW()-26&gt;$K$6,"",IF(INDEX('Raw Pressure Data'!$A:$ZZ,$K$5+ROW()-26+$H$13,MATCH($F$13,'Raw Pressure Data'!$1:$1,0))=-999,"",INDEX('Raw Pressure Data'!$A:$ZZ,$K$5+ROW()-26+$H$13,MATCH($F$13,'Raw Pressure Data'!$1:$1,0))+$G$13))),"")</f>
        <v/>
      </c>
      <c r="W88" s="24">
        <f>IFERROR(IF($F$14="","",IF($K$5+ROW()-26&gt;$K$6,"",IF(INDEX('Raw Pressure Data'!$A:$ZZ,$K$5+ROW()-26+$H$14,MATCH($F$14,'Raw Pressure Data'!$1:$1,0))=-999,"",INDEX('Raw Pressure Data'!$A:$ZZ,$K$5+ROW()-26+$H$14,MATCH($F$14,'Raw Pressure Data'!$1:$1,0))+$G$14))),"")</f>
        <v/>
      </c>
      <c r="X88" s="24">
        <f>IFERROR(IF($F$15="","",IF($K$5+ROW()-26&gt;$K$6,"",IF(INDEX('Raw Pressure Data'!$A:$ZZ,$K$5+ROW()-26+$H$15,MATCH($F$15,'Raw Pressure Data'!$1:$1,0))=-999,"",INDEX('Raw Pressure Data'!$A:$ZZ,$K$5+ROW()-26+$H$15,MATCH($F$15,'Raw Pressure Data'!$1:$1,0))+$G$15))),"")</f>
        <v/>
      </c>
      <c r="Y88" s="24">
        <f>IFERROR(IF($F$16="","",IF($K$5+ROW()-26&gt;$K$6,"",IF(INDEX('Raw Pressure Data'!$A:$ZZ,$K$5+ROW()-26+$H$16,MATCH($F$16,'Raw Pressure Data'!$1:$1,0))=-999,"",INDEX('Raw Pressure Data'!$A:$ZZ,$K$5+ROW()-26+$H$16,MATCH($F$16,'Raw Pressure Data'!$1:$1,0))+$G$16))),"")</f>
        <v/>
      </c>
      <c r="Z88" s="24">
        <f>IFERROR(IF($F$17="","",IF($K$5+ROW()-26&gt;$K$6,"",IF(INDEX('Raw Pressure Data'!$A:$ZZ,$K$5+ROW()-26+$H$17,MATCH($F$17,'Raw Pressure Data'!$1:$1,0))=-999,"",INDEX('Raw Pressure Data'!$A:$ZZ,$K$5+ROW()-26+$H$17,MATCH($F$17,'Raw Pressure Data'!$1:$1,0))+$G$17))),"")</f>
        <v/>
      </c>
      <c r="AA88" s="24">
        <f>IFERROR(IF($F$18="","",IF($K$5+ROW()-26&gt;$K$6,"",IF(INDEX('Raw Pressure Data'!$A:$ZZ,$K$5+ROW()-26+$H$18,MATCH($F$18,'Raw Pressure Data'!$1:$1,0))=-999,"",INDEX('Raw Pressure Data'!$A:$ZZ,$K$5+ROW()-26+$H$18,MATCH($F$18,'Raw Pressure Data'!$1:$1,0))+$G$18))),"")</f>
        <v/>
      </c>
      <c r="AB88" s="24">
        <f>IFERROR(IF($F$19="","",IF($K$5+ROW()-26&gt;$K$6,"",IF(INDEX('Raw Pressure Data'!$A:$ZZ,$K$5+ROW()-26+$H$19,MATCH($F$19,'Raw Pressure Data'!$1:$1,0))=-999,"",INDEX('Raw Pressure Data'!$A:$ZZ,$K$5+ROW()-26+$H$19,MATCH($F$19,'Raw Pressure Data'!$1:$1,0))+$G$19))),"")</f>
        <v/>
      </c>
      <c r="AC88" s="24">
        <f>IFERROR(IF($F$20="","",IF($K$5+ROW()-26&gt;$K$6,"",IF(INDEX('Raw Pressure Data'!$A:$ZZ,$K$5+ROW()-26+$H$20,MATCH($F$20,'Raw Pressure Data'!$1:$1,0))=-999,"",INDEX('Raw Pressure Data'!$A:$ZZ,$K$5+ROW()-26+$H$20,MATCH($F$20,'Raw Pressure Data'!$1:$1,0))+$G$20))),"")</f>
        <v/>
      </c>
      <c r="AD88" s="24">
        <f>IFERROR(IF($F$21="","",IF($K$5+ROW()-26&gt;$K$6,"",IF(INDEX('Raw Pressure Data'!$A:$ZZ,$K$5+ROW()-26+$H$21,MATCH($F$21,'Raw Pressure Data'!$1:$1,0))=-999,"",INDEX('Raw Pressure Data'!$A:$ZZ,$K$5+ROW()-26+$H$21,MATCH($F$21,'Raw Pressure Data'!$1:$1,0))+$G$21))),"")</f>
        <v/>
      </c>
      <c r="AE88" s="24">
        <f>IFERROR(IF($F$22="","",IF($K$5+ROW()-26&gt;$K$6,"",IF(INDEX('Raw Pressure Data'!$A:$ZZ,$K$5+ROW()-26+$H$22,MATCH($F$22,'Raw Pressure Data'!$1:$1,0))=-999,"",INDEX('Raw Pressure Data'!$A:$ZZ,$K$5+ROW()-26+$H$22,MATCH($F$22,'Raw Pressure Data'!$1:$1,0))+$G$22))),"")</f>
        <v/>
      </c>
    </row>
    <row r="89" ht="15" customHeight="1">
      <c r="A89" s="25">
        <f>IFERROR(IF($K$5+ROW()-26&gt;$K$6,"",IF(INDEX('Raw Flow Data'!$A:$A,$K$5+ROW()-26)="","",INDEX('Raw Flow Data'!$A:$A,$K$5+ROW()-26))),"")</f>
        <v/>
      </c>
      <c r="B89" s="26">
        <f>IFERROR(IF($B$3="","",IF($K$5+ROW()-26&gt;$K$6,"",IF(INDEX('Raw Flow Data'!$A:$ZZ,$K$5+ROW()-26+$D$3,MATCH($B$3,'Raw Flow Data'!$1:$1,0))=-999,"",INDEX('Raw Flow Data'!$A:$ZZ,$K$5+ROW()-26+$D$3,MATCH($B$3,'Raw Flow Data'!$1:$1,0))*$C$3))),"")</f>
        <v/>
      </c>
      <c r="C89" s="26">
        <f>IFERROR(IF($B$4="","",IF($K$5+ROW()-26&gt;$K$6,"",IF(INDEX('Raw Flow Data'!$A:$ZZ,$K$5+ROW()-26+$D$4,MATCH($B$4,'Raw Flow Data'!$1:$1,0))=-999,"",INDEX('Raw Flow Data'!$A:$ZZ,$K$5+ROW()-26+$D$4,MATCH($B$4,'Raw Flow Data'!$1:$1,0))*$C$4))),"")</f>
        <v/>
      </c>
      <c r="D89" s="26">
        <f>IFERROR(IF($B$5="","",IF($K$5+ROW()-26&gt;$K$6,"",IF(INDEX('Raw Flow Data'!$A:$ZZ,$K$5+ROW()-26+$D$5,MATCH($B$5,'Raw Flow Data'!$1:$1,0))=-999,"",INDEX('Raw Flow Data'!$A:$ZZ,$K$5+ROW()-26+$D$5,MATCH($B$5,'Raw Flow Data'!$1:$1,0))*$C$5))),"")</f>
        <v/>
      </c>
      <c r="E89" s="26">
        <f>IFERROR(IF($B$6="","",IF($K$5+ROW()-26&gt;$K$6,"",IF(INDEX('Raw Flow Data'!$A:$ZZ,$K$5+ROW()-26+$D$6,MATCH($B$6,'Raw Flow Data'!$1:$1,0))=-999,"",INDEX('Raw Flow Data'!$A:$ZZ,$K$5+ROW()-26+$D$6,MATCH($B$6,'Raw Flow Data'!$1:$1,0))*$C$6))),"")</f>
        <v/>
      </c>
      <c r="F89" s="26">
        <f>IFERROR(IF($B$7="","",IF($K$5+ROW()-26&gt;$K$6,"",IF(INDEX('Raw Flow Data'!$A:$ZZ,$K$5+ROW()-26+$D$7,MATCH($B$7,'Raw Flow Data'!$1:$1,0))=-999,"",INDEX('Raw Flow Data'!$A:$ZZ,$K$5+ROW()-26+$D$7,MATCH($B$7,'Raw Flow Data'!$1:$1,0))*$C$7))),"")</f>
        <v/>
      </c>
      <c r="G89" s="26">
        <f>IFERROR(IF($B$8="","",IF($K$5+ROW()-26&gt;$K$6,"",IF(INDEX('Raw Flow Data'!$A:$ZZ,$K$5+ROW()-26+$D$8,MATCH($B$8,'Raw Flow Data'!$1:$1,0))=-999,"",INDEX('Raw Flow Data'!$A:$ZZ,$K$5+ROW()-26+$D$8,MATCH($B$8,'Raw Flow Data'!$1:$1,0))*$C$8))),"")</f>
        <v/>
      </c>
      <c r="H89" s="26">
        <f>IFERROR(IF($B$9="","",IF($K$5+ROW()-26&gt;$K$6,"",IF(INDEX('Raw Flow Data'!$A:$ZZ,$K$5+ROW()-26+$D$9,MATCH($B$9,'Raw Flow Data'!$1:$1,0))=-999,"",INDEX('Raw Flow Data'!$A:$ZZ,$K$5+ROW()-26+$D$9,MATCH($B$9,'Raw Flow Data'!$1:$1,0))*$C$9))),"")</f>
        <v/>
      </c>
      <c r="I89" s="26">
        <f>IFERROR(IF($B$10="","",IF($K$5+ROW()-26&gt;$K$6,"",IF(INDEX('Raw Flow Data'!$A:$ZZ,$K$5+ROW()-26+$D$10,MATCH($B$10,'Raw Flow Data'!$1:$1,0))=-999,"",INDEX('Raw Flow Data'!$A:$ZZ,$K$5+ROW()-26+$D$10,MATCH($B$10,'Raw Flow Data'!$1:$1,0))*$C$10))),"")</f>
        <v/>
      </c>
      <c r="J89" s="26">
        <f>IFERROR(IF($B$11="","",IF($K$5+ROW()-26&gt;$K$6,"",IF(INDEX('Raw Flow Data'!$A:$ZZ,$K$5+ROW()-26+$D$11,MATCH($B$11,'Raw Flow Data'!$1:$1,0))=-999,"",INDEX('Raw Flow Data'!$A:$ZZ,$K$5+ROW()-26+$D$11,MATCH($B$11,'Raw Flow Data'!$1:$1,0))*$C$11))),"")</f>
        <v/>
      </c>
      <c r="K89" s="26">
        <f>IFERROR(IF($B$12="","",IF($K$5+ROW()-26&gt;$K$6,"",IF(INDEX('Raw Flow Data'!$A:$ZZ,$K$5+ROW()-26+$D$12,MATCH($B$12,'Raw Flow Data'!$1:$1,0))=-999,"",INDEX('Raw Flow Data'!$A:$ZZ,$K$5+ROW()-26+$D$12,MATCH($B$12,'Raw Flow Data'!$1:$1,0))*$C$12))),"")</f>
        <v/>
      </c>
      <c r="L89" s="26">
        <f>IFERROR(IF($F$3="","",IF($K$5+ROW()-26&gt;$K$6,"",IF(INDEX('Raw Pressure Data'!$A:$ZZ,$K$5+ROW()-26+$H$3,MATCH($F$3,'Raw Pressure Data'!$1:$1,0))=-999,"",INDEX('Raw Pressure Data'!$A:$ZZ,$K$5+ROW()-26+$H$3,MATCH($F$3,'Raw Pressure Data'!$1:$1,0))+$G$3))),"")</f>
        <v/>
      </c>
      <c r="M89" s="26">
        <f>IFERROR(IF($F$4="","",IF($K$5+ROW()-26&gt;$K$6,"",IF(INDEX('Raw Pressure Data'!$A:$ZZ,$K$5+ROW()-26+$H$4,MATCH($F$4,'Raw Pressure Data'!$1:$1,0))=-999,"",INDEX('Raw Pressure Data'!$A:$ZZ,$K$5+ROW()-26+$H$4,MATCH($F$4,'Raw Pressure Data'!$1:$1,0))+$G$4))),"")</f>
        <v/>
      </c>
      <c r="N89" s="26">
        <f>IFERROR(IF($F$5="","",IF($K$5+ROW()-26&gt;$K$6,"",IF(INDEX('Raw Pressure Data'!$A:$ZZ,$K$5+ROW()-26+$H$5,MATCH($F$5,'Raw Pressure Data'!$1:$1,0))=-999,"",INDEX('Raw Pressure Data'!$A:$ZZ,$K$5+ROW()-26+$H$5,MATCH($F$5,'Raw Pressure Data'!$1:$1,0))+$G$5))),"")</f>
        <v/>
      </c>
      <c r="O89" s="26">
        <f>IFERROR(IF($F$6="","",IF($K$5+ROW()-26&gt;$K$6,"",IF(INDEX('Raw Pressure Data'!$A:$ZZ,$K$5+ROW()-26+$H$6,MATCH($F$6,'Raw Pressure Data'!$1:$1,0))=-999,"",INDEX('Raw Pressure Data'!$A:$ZZ,$K$5+ROW()-26+$H$6,MATCH($F$6,'Raw Pressure Data'!$1:$1,0))+$G$6))),"")</f>
        <v/>
      </c>
      <c r="P89" s="26">
        <f>IFERROR(IF($F$7="","",IF($K$5+ROW()-26&gt;$K$6,"",IF(INDEX('Raw Pressure Data'!$A:$ZZ,$K$5+ROW()-26+$H$7,MATCH($F$7,'Raw Pressure Data'!$1:$1,0))=-999,"",INDEX('Raw Pressure Data'!$A:$ZZ,$K$5+ROW()-26+$H$7,MATCH($F$7,'Raw Pressure Data'!$1:$1,0))+$G$7))),"")</f>
        <v/>
      </c>
      <c r="Q89" s="26">
        <f>IFERROR(IF($F$8="","",IF($K$5+ROW()-26&gt;$K$6,"",IF(INDEX('Raw Pressure Data'!$A:$ZZ,$K$5+ROW()-26+$H$8,MATCH($F$8,'Raw Pressure Data'!$1:$1,0))=-999,"",INDEX('Raw Pressure Data'!$A:$ZZ,$K$5+ROW()-26+$H$8,MATCH($F$8,'Raw Pressure Data'!$1:$1,0))+$G$8))),"")</f>
        <v/>
      </c>
      <c r="R89" s="26">
        <f>IFERROR(IF($F$9="","",IF($K$5+ROW()-26&gt;$K$6,"",IF(INDEX('Raw Pressure Data'!$A:$ZZ,$K$5+ROW()-26+$H$9,MATCH($F$9,'Raw Pressure Data'!$1:$1,0))=-999,"",INDEX('Raw Pressure Data'!$A:$ZZ,$K$5+ROW()-26+$H$9,MATCH($F$9,'Raw Pressure Data'!$1:$1,0))+$G$9))),"")</f>
        <v/>
      </c>
      <c r="S89" s="26">
        <f>IFERROR(IF($F$10="","",IF($K$5+ROW()-26&gt;$K$6,"",IF(INDEX('Raw Pressure Data'!$A:$ZZ,$K$5+ROW()-26+$H$10,MATCH($F$10,'Raw Pressure Data'!$1:$1,0))=-999,"",INDEX('Raw Pressure Data'!$A:$ZZ,$K$5+ROW()-26+$H$10,MATCH($F$10,'Raw Pressure Data'!$1:$1,0))+$G$10))),"")</f>
        <v/>
      </c>
      <c r="T89" s="26">
        <f>IFERROR(IF($F$11="","",IF($K$5+ROW()-26&gt;$K$6,"",IF(INDEX('Raw Pressure Data'!$A:$ZZ,$K$5+ROW()-26+$H$11,MATCH($F$11,'Raw Pressure Data'!$1:$1,0))=-999,"",INDEX('Raw Pressure Data'!$A:$ZZ,$K$5+ROW()-26+$H$11,MATCH($F$11,'Raw Pressure Data'!$1:$1,0))+$G$11))),"")</f>
        <v/>
      </c>
      <c r="U89" s="26">
        <f>IFERROR(IF($F$12="","",IF($K$5+ROW()-26&gt;$K$6,"",IF(INDEX('Raw Pressure Data'!$A:$ZZ,$K$5+ROW()-26+$H$12,MATCH($F$12,'Raw Pressure Data'!$1:$1,0))=-999,"",INDEX('Raw Pressure Data'!$A:$ZZ,$K$5+ROW()-26+$H$12,MATCH($F$12,'Raw Pressure Data'!$1:$1,0))+$G$12))),"")</f>
        <v/>
      </c>
      <c r="V89" s="26">
        <f>IFERROR(IF($F$13="","",IF($K$5+ROW()-26&gt;$K$6,"",IF(INDEX('Raw Pressure Data'!$A:$ZZ,$K$5+ROW()-26+$H$13,MATCH($F$13,'Raw Pressure Data'!$1:$1,0))=-999,"",INDEX('Raw Pressure Data'!$A:$ZZ,$K$5+ROW()-26+$H$13,MATCH($F$13,'Raw Pressure Data'!$1:$1,0))+$G$13))),"")</f>
        <v/>
      </c>
      <c r="W89" s="26">
        <f>IFERROR(IF($F$14="","",IF($K$5+ROW()-26&gt;$K$6,"",IF(INDEX('Raw Pressure Data'!$A:$ZZ,$K$5+ROW()-26+$H$14,MATCH($F$14,'Raw Pressure Data'!$1:$1,0))=-999,"",INDEX('Raw Pressure Data'!$A:$ZZ,$K$5+ROW()-26+$H$14,MATCH($F$14,'Raw Pressure Data'!$1:$1,0))+$G$14))),"")</f>
        <v/>
      </c>
      <c r="X89" s="26">
        <f>IFERROR(IF($F$15="","",IF($K$5+ROW()-26&gt;$K$6,"",IF(INDEX('Raw Pressure Data'!$A:$ZZ,$K$5+ROW()-26+$H$15,MATCH($F$15,'Raw Pressure Data'!$1:$1,0))=-999,"",INDEX('Raw Pressure Data'!$A:$ZZ,$K$5+ROW()-26+$H$15,MATCH($F$15,'Raw Pressure Data'!$1:$1,0))+$G$15))),"")</f>
        <v/>
      </c>
      <c r="Y89" s="26">
        <f>IFERROR(IF($F$16="","",IF($K$5+ROW()-26&gt;$K$6,"",IF(INDEX('Raw Pressure Data'!$A:$ZZ,$K$5+ROW()-26+$H$16,MATCH($F$16,'Raw Pressure Data'!$1:$1,0))=-999,"",INDEX('Raw Pressure Data'!$A:$ZZ,$K$5+ROW()-26+$H$16,MATCH($F$16,'Raw Pressure Data'!$1:$1,0))+$G$16))),"")</f>
        <v/>
      </c>
      <c r="Z89" s="26">
        <f>IFERROR(IF($F$17="","",IF($K$5+ROW()-26&gt;$K$6,"",IF(INDEX('Raw Pressure Data'!$A:$ZZ,$K$5+ROW()-26+$H$17,MATCH($F$17,'Raw Pressure Data'!$1:$1,0))=-999,"",INDEX('Raw Pressure Data'!$A:$ZZ,$K$5+ROW()-26+$H$17,MATCH($F$17,'Raw Pressure Data'!$1:$1,0))+$G$17))),"")</f>
        <v/>
      </c>
      <c r="AA89" s="26">
        <f>IFERROR(IF($F$18="","",IF($K$5+ROW()-26&gt;$K$6,"",IF(INDEX('Raw Pressure Data'!$A:$ZZ,$K$5+ROW()-26+$H$18,MATCH($F$18,'Raw Pressure Data'!$1:$1,0))=-999,"",INDEX('Raw Pressure Data'!$A:$ZZ,$K$5+ROW()-26+$H$18,MATCH($F$18,'Raw Pressure Data'!$1:$1,0))+$G$18))),"")</f>
        <v/>
      </c>
      <c r="AB89" s="26">
        <f>IFERROR(IF($F$19="","",IF($K$5+ROW()-26&gt;$K$6,"",IF(INDEX('Raw Pressure Data'!$A:$ZZ,$K$5+ROW()-26+$H$19,MATCH($F$19,'Raw Pressure Data'!$1:$1,0))=-999,"",INDEX('Raw Pressure Data'!$A:$ZZ,$K$5+ROW()-26+$H$19,MATCH($F$19,'Raw Pressure Data'!$1:$1,0))+$G$19))),"")</f>
        <v/>
      </c>
      <c r="AC89" s="26">
        <f>IFERROR(IF($F$20="","",IF($K$5+ROW()-26&gt;$K$6,"",IF(INDEX('Raw Pressure Data'!$A:$ZZ,$K$5+ROW()-26+$H$20,MATCH($F$20,'Raw Pressure Data'!$1:$1,0))=-999,"",INDEX('Raw Pressure Data'!$A:$ZZ,$K$5+ROW()-26+$H$20,MATCH($F$20,'Raw Pressure Data'!$1:$1,0))+$G$20))),"")</f>
        <v/>
      </c>
      <c r="AD89" s="26">
        <f>IFERROR(IF($F$21="","",IF($K$5+ROW()-26&gt;$K$6,"",IF(INDEX('Raw Pressure Data'!$A:$ZZ,$K$5+ROW()-26+$H$21,MATCH($F$21,'Raw Pressure Data'!$1:$1,0))=-999,"",INDEX('Raw Pressure Data'!$A:$ZZ,$K$5+ROW()-26+$H$21,MATCH($F$21,'Raw Pressure Data'!$1:$1,0))+$G$21))),"")</f>
        <v/>
      </c>
      <c r="AE89" s="26">
        <f>IFERROR(IF($F$22="","",IF($K$5+ROW()-26&gt;$K$6,"",IF(INDEX('Raw Pressure Data'!$A:$ZZ,$K$5+ROW()-26+$H$22,MATCH($F$22,'Raw Pressure Data'!$1:$1,0))=-999,"",INDEX('Raw Pressure Data'!$A:$ZZ,$K$5+ROW()-26+$H$22,MATCH($F$22,'Raw Pressure Data'!$1:$1,0))+$G$22))),"")</f>
        <v/>
      </c>
    </row>
    <row r="90" ht="15" customHeight="1">
      <c r="A90" s="23">
        <f>IFERROR(IF($K$5+ROW()-26&gt;$K$6,"",IF(INDEX('Raw Flow Data'!$A:$A,$K$5+ROW()-26)="","",INDEX('Raw Flow Data'!$A:$A,$K$5+ROW()-26))),"")</f>
        <v/>
      </c>
      <c r="B90" s="24">
        <f>IFERROR(IF($B$3="","",IF($K$5+ROW()-26&gt;$K$6,"",IF(INDEX('Raw Flow Data'!$A:$ZZ,$K$5+ROW()-26+$D$3,MATCH($B$3,'Raw Flow Data'!$1:$1,0))=-999,"",INDEX('Raw Flow Data'!$A:$ZZ,$K$5+ROW()-26+$D$3,MATCH($B$3,'Raw Flow Data'!$1:$1,0))*$C$3))),"")</f>
        <v/>
      </c>
      <c r="C90" s="24">
        <f>IFERROR(IF($B$4="","",IF($K$5+ROW()-26&gt;$K$6,"",IF(INDEX('Raw Flow Data'!$A:$ZZ,$K$5+ROW()-26+$D$4,MATCH($B$4,'Raw Flow Data'!$1:$1,0))=-999,"",INDEX('Raw Flow Data'!$A:$ZZ,$K$5+ROW()-26+$D$4,MATCH($B$4,'Raw Flow Data'!$1:$1,0))*$C$4))),"")</f>
        <v/>
      </c>
      <c r="D90" s="24">
        <f>IFERROR(IF($B$5="","",IF($K$5+ROW()-26&gt;$K$6,"",IF(INDEX('Raw Flow Data'!$A:$ZZ,$K$5+ROW()-26+$D$5,MATCH($B$5,'Raw Flow Data'!$1:$1,0))=-999,"",INDEX('Raw Flow Data'!$A:$ZZ,$K$5+ROW()-26+$D$5,MATCH($B$5,'Raw Flow Data'!$1:$1,0))*$C$5))),"")</f>
        <v/>
      </c>
      <c r="E90" s="24">
        <f>IFERROR(IF($B$6="","",IF($K$5+ROW()-26&gt;$K$6,"",IF(INDEX('Raw Flow Data'!$A:$ZZ,$K$5+ROW()-26+$D$6,MATCH($B$6,'Raw Flow Data'!$1:$1,0))=-999,"",INDEX('Raw Flow Data'!$A:$ZZ,$K$5+ROW()-26+$D$6,MATCH($B$6,'Raw Flow Data'!$1:$1,0))*$C$6))),"")</f>
        <v/>
      </c>
      <c r="F90" s="24">
        <f>IFERROR(IF($B$7="","",IF($K$5+ROW()-26&gt;$K$6,"",IF(INDEX('Raw Flow Data'!$A:$ZZ,$K$5+ROW()-26+$D$7,MATCH($B$7,'Raw Flow Data'!$1:$1,0))=-999,"",INDEX('Raw Flow Data'!$A:$ZZ,$K$5+ROW()-26+$D$7,MATCH($B$7,'Raw Flow Data'!$1:$1,0))*$C$7))),"")</f>
        <v/>
      </c>
      <c r="G90" s="24">
        <f>IFERROR(IF($B$8="","",IF($K$5+ROW()-26&gt;$K$6,"",IF(INDEX('Raw Flow Data'!$A:$ZZ,$K$5+ROW()-26+$D$8,MATCH($B$8,'Raw Flow Data'!$1:$1,0))=-999,"",INDEX('Raw Flow Data'!$A:$ZZ,$K$5+ROW()-26+$D$8,MATCH($B$8,'Raw Flow Data'!$1:$1,0))*$C$8))),"")</f>
        <v/>
      </c>
      <c r="H90" s="24">
        <f>IFERROR(IF($B$9="","",IF($K$5+ROW()-26&gt;$K$6,"",IF(INDEX('Raw Flow Data'!$A:$ZZ,$K$5+ROW()-26+$D$9,MATCH($B$9,'Raw Flow Data'!$1:$1,0))=-999,"",INDEX('Raw Flow Data'!$A:$ZZ,$K$5+ROW()-26+$D$9,MATCH($B$9,'Raw Flow Data'!$1:$1,0))*$C$9))),"")</f>
        <v/>
      </c>
      <c r="I90" s="24">
        <f>IFERROR(IF($B$10="","",IF($K$5+ROW()-26&gt;$K$6,"",IF(INDEX('Raw Flow Data'!$A:$ZZ,$K$5+ROW()-26+$D$10,MATCH($B$10,'Raw Flow Data'!$1:$1,0))=-999,"",INDEX('Raw Flow Data'!$A:$ZZ,$K$5+ROW()-26+$D$10,MATCH($B$10,'Raw Flow Data'!$1:$1,0))*$C$10))),"")</f>
        <v/>
      </c>
      <c r="J90" s="24">
        <f>IFERROR(IF($B$11="","",IF($K$5+ROW()-26&gt;$K$6,"",IF(INDEX('Raw Flow Data'!$A:$ZZ,$K$5+ROW()-26+$D$11,MATCH($B$11,'Raw Flow Data'!$1:$1,0))=-999,"",INDEX('Raw Flow Data'!$A:$ZZ,$K$5+ROW()-26+$D$11,MATCH($B$11,'Raw Flow Data'!$1:$1,0))*$C$11))),"")</f>
        <v/>
      </c>
      <c r="K90" s="24">
        <f>IFERROR(IF($B$12="","",IF($K$5+ROW()-26&gt;$K$6,"",IF(INDEX('Raw Flow Data'!$A:$ZZ,$K$5+ROW()-26+$D$12,MATCH($B$12,'Raw Flow Data'!$1:$1,0))=-999,"",INDEX('Raw Flow Data'!$A:$ZZ,$K$5+ROW()-26+$D$12,MATCH($B$12,'Raw Flow Data'!$1:$1,0))*$C$12))),"")</f>
        <v/>
      </c>
      <c r="L90" s="24">
        <f>IFERROR(IF($F$3="","",IF($K$5+ROW()-26&gt;$K$6,"",IF(INDEX('Raw Pressure Data'!$A:$ZZ,$K$5+ROW()-26+$H$3,MATCH($F$3,'Raw Pressure Data'!$1:$1,0))=-999,"",INDEX('Raw Pressure Data'!$A:$ZZ,$K$5+ROW()-26+$H$3,MATCH($F$3,'Raw Pressure Data'!$1:$1,0))+$G$3))),"")</f>
        <v/>
      </c>
      <c r="M90" s="24">
        <f>IFERROR(IF($F$4="","",IF($K$5+ROW()-26&gt;$K$6,"",IF(INDEX('Raw Pressure Data'!$A:$ZZ,$K$5+ROW()-26+$H$4,MATCH($F$4,'Raw Pressure Data'!$1:$1,0))=-999,"",INDEX('Raw Pressure Data'!$A:$ZZ,$K$5+ROW()-26+$H$4,MATCH($F$4,'Raw Pressure Data'!$1:$1,0))+$G$4))),"")</f>
        <v/>
      </c>
      <c r="N90" s="24">
        <f>IFERROR(IF($F$5="","",IF($K$5+ROW()-26&gt;$K$6,"",IF(INDEX('Raw Pressure Data'!$A:$ZZ,$K$5+ROW()-26+$H$5,MATCH($F$5,'Raw Pressure Data'!$1:$1,0))=-999,"",INDEX('Raw Pressure Data'!$A:$ZZ,$K$5+ROW()-26+$H$5,MATCH($F$5,'Raw Pressure Data'!$1:$1,0))+$G$5))),"")</f>
        <v/>
      </c>
      <c r="O90" s="24">
        <f>IFERROR(IF($F$6="","",IF($K$5+ROW()-26&gt;$K$6,"",IF(INDEX('Raw Pressure Data'!$A:$ZZ,$K$5+ROW()-26+$H$6,MATCH($F$6,'Raw Pressure Data'!$1:$1,0))=-999,"",INDEX('Raw Pressure Data'!$A:$ZZ,$K$5+ROW()-26+$H$6,MATCH($F$6,'Raw Pressure Data'!$1:$1,0))+$G$6))),"")</f>
        <v/>
      </c>
      <c r="P90" s="24">
        <f>IFERROR(IF($F$7="","",IF($K$5+ROW()-26&gt;$K$6,"",IF(INDEX('Raw Pressure Data'!$A:$ZZ,$K$5+ROW()-26+$H$7,MATCH($F$7,'Raw Pressure Data'!$1:$1,0))=-999,"",INDEX('Raw Pressure Data'!$A:$ZZ,$K$5+ROW()-26+$H$7,MATCH($F$7,'Raw Pressure Data'!$1:$1,0))+$G$7))),"")</f>
        <v/>
      </c>
      <c r="Q90" s="24">
        <f>IFERROR(IF($F$8="","",IF($K$5+ROW()-26&gt;$K$6,"",IF(INDEX('Raw Pressure Data'!$A:$ZZ,$K$5+ROW()-26+$H$8,MATCH($F$8,'Raw Pressure Data'!$1:$1,0))=-999,"",INDEX('Raw Pressure Data'!$A:$ZZ,$K$5+ROW()-26+$H$8,MATCH($F$8,'Raw Pressure Data'!$1:$1,0))+$G$8))),"")</f>
        <v/>
      </c>
      <c r="R90" s="24">
        <f>IFERROR(IF($F$9="","",IF($K$5+ROW()-26&gt;$K$6,"",IF(INDEX('Raw Pressure Data'!$A:$ZZ,$K$5+ROW()-26+$H$9,MATCH($F$9,'Raw Pressure Data'!$1:$1,0))=-999,"",INDEX('Raw Pressure Data'!$A:$ZZ,$K$5+ROW()-26+$H$9,MATCH($F$9,'Raw Pressure Data'!$1:$1,0))+$G$9))),"")</f>
        <v/>
      </c>
      <c r="S90" s="24">
        <f>IFERROR(IF($F$10="","",IF($K$5+ROW()-26&gt;$K$6,"",IF(INDEX('Raw Pressure Data'!$A:$ZZ,$K$5+ROW()-26+$H$10,MATCH($F$10,'Raw Pressure Data'!$1:$1,0))=-999,"",INDEX('Raw Pressure Data'!$A:$ZZ,$K$5+ROW()-26+$H$10,MATCH($F$10,'Raw Pressure Data'!$1:$1,0))+$G$10))),"")</f>
        <v/>
      </c>
      <c r="T90" s="24">
        <f>IFERROR(IF($F$11="","",IF($K$5+ROW()-26&gt;$K$6,"",IF(INDEX('Raw Pressure Data'!$A:$ZZ,$K$5+ROW()-26+$H$11,MATCH($F$11,'Raw Pressure Data'!$1:$1,0))=-999,"",INDEX('Raw Pressure Data'!$A:$ZZ,$K$5+ROW()-26+$H$11,MATCH($F$11,'Raw Pressure Data'!$1:$1,0))+$G$11))),"")</f>
        <v/>
      </c>
      <c r="U90" s="24">
        <f>IFERROR(IF($F$12="","",IF($K$5+ROW()-26&gt;$K$6,"",IF(INDEX('Raw Pressure Data'!$A:$ZZ,$K$5+ROW()-26+$H$12,MATCH($F$12,'Raw Pressure Data'!$1:$1,0))=-999,"",INDEX('Raw Pressure Data'!$A:$ZZ,$K$5+ROW()-26+$H$12,MATCH($F$12,'Raw Pressure Data'!$1:$1,0))+$G$12))),"")</f>
        <v/>
      </c>
      <c r="V90" s="24">
        <f>IFERROR(IF($F$13="","",IF($K$5+ROW()-26&gt;$K$6,"",IF(INDEX('Raw Pressure Data'!$A:$ZZ,$K$5+ROW()-26+$H$13,MATCH($F$13,'Raw Pressure Data'!$1:$1,0))=-999,"",INDEX('Raw Pressure Data'!$A:$ZZ,$K$5+ROW()-26+$H$13,MATCH($F$13,'Raw Pressure Data'!$1:$1,0))+$G$13))),"")</f>
        <v/>
      </c>
      <c r="W90" s="24">
        <f>IFERROR(IF($F$14="","",IF($K$5+ROW()-26&gt;$K$6,"",IF(INDEX('Raw Pressure Data'!$A:$ZZ,$K$5+ROW()-26+$H$14,MATCH($F$14,'Raw Pressure Data'!$1:$1,0))=-999,"",INDEX('Raw Pressure Data'!$A:$ZZ,$K$5+ROW()-26+$H$14,MATCH($F$14,'Raw Pressure Data'!$1:$1,0))+$G$14))),"")</f>
        <v/>
      </c>
      <c r="X90" s="24">
        <f>IFERROR(IF($F$15="","",IF($K$5+ROW()-26&gt;$K$6,"",IF(INDEX('Raw Pressure Data'!$A:$ZZ,$K$5+ROW()-26+$H$15,MATCH($F$15,'Raw Pressure Data'!$1:$1,0))=-999,"",INDEX('Raw Pressure Data'!$A:$ZZ,$K$5+ROW()-26+$H$15,MATCH($F$15,'Raw Pressure Data'!$1:$1,0))+$G$15))),"")</f>
        <v/>
      </c>
      <c r="Y90" s="24">
        <f>IFERROR(IF($F$16="","",IF($K$5+ROW()-26&gt;$K$6,"",IF(INDEX('Raw Pressure Data'!$A:$ZZ,$K$5+ROW()-26+$H$16,MATCH($F$16,'Raw Pressure Data'!$1:$1,0))=-999,"",INDEX('Raw Pressure Data'!$A:$ZZ,$K$5+ROW()-26+$H$16,MATCH($F$16,'Raw Pressure Data'!$1:$1,0))+$G$16))),"")</f>
        <v/>
      </c>
      <c r="Z90" s="24">
        <f>IFERROR(IF($F$17="","",IF($K$5+ROW()-26&gt;$K$6,"",IF(INDEX('Raw Pressure Data'!$A:$ZZ,$K$5+ROW()-26+$H$17,MATCH($F$17,'Raw Pressure Data'!$1:$1,0))=-999,"",INDEX('Raw Pressure Data'!$A:$ZZ,$K$5+ROW()-26+$H$17,MATCH($F$17,'Raw Pressure Data'!$1:$1,0))+$G$17))),"")</f>
        <v/>
      </c>
      <c r="AA90" s="24">
        <f>IFERROR(IF($F$18="","",IF($K$5+ROW()-26&gt;$K$6,"",IF(INDEX('Raw Pressure Data'!$A:$ZZ,$K$5+ROW()-26+$H$18,MATCH($F$18,'Raw Pressure Data'!$1:$1,0))=-999,"",INDEX('Raw Pressure Data'!$A:$ZZ,$K$5+ROW()-26+$H$18,MATCH($F$18,'Raw Pressure Data'!$1:$1,0))+$G$18))),"")</f>
        <v/>
      </c>
      <c r="AB90" s="24">
        <f>IFERROR(IF($F$19="","",IF($K$5+ROW()-26&gt;$K$6,"",IF(INDEX('Raw Pressure Data'!$A:$ZZ,$K$5+ROW()-26+$H$19,MATCH($F$19,'Raw Pressure Data'!$1:$1,0))=-999,"",INDEX('Raw Pressure Data'!$A:$ZZ,$K$5+ROW()-26+$H$19,MATCH($F$19,'Raw Pressure Data'!$1:$1,0))+$G$19))),"")</f>
        <v/>
      </c>
      <c r="AC90" s="24">
        <f>IFERROR(IF($F$20="","",IF($K$5+ROW()-26&gt;$K$6,"",IF(INDEX('Raw Pressure Data'!$A:$ZZ,$K$5+ROW()-26+$H$20,MATCH($F$20,'Raw Pressure Data'!$1:$1,0))=-999,"",INDEX('Raw Pressure Data'!$A:$ZZ,$K$5+ROW()-26+$H$20,MATCH($F$20,'Raw Pressure Data'!$1:$1,0))+$G$20))),"")</f>
        <v/>
      </c>
      <c r="AD90" s="24">
        <f>IFERROR(IF($F$21="","",IF($K$5+ROW()-26&gt;$K$6,"",IF(INDEX('Raw Pressure Data'!$A:$ZZ,$K$5+ROW()-26+$H$21,MATCH($F$21,'Raw Pressure Data'!$1:$1,0))=-999,"",INDEX('Raw Pressure Data'!$A:$ZZ,$K$5+ROW()-26+$H$21,MATCH($F$21,'Raw Pressure Data'!$1:$1,0))+$G$21))),"")</f>
        <v/>
      </c>
      <c r="AE90" s="24">
        <f>IFERROR(IF($F$22="","",IF($K$5+ROW()-26&gt;$K$6,"",IF(INDEX('Raw Pressure Data'!$A:$ZZ,$K$5+ROW()-26+$H$22,MATCH($F$22,'Raw Pressure Data'!$1:$1,0))=-999,"",INDEX('Raw Pressure Data'!$A:$ZZ,$K$5+ROW()-26+$H$22,MATCH($F$22,'Raw Pressure Data'!$1:$1,0))+$G$22))),"")</f>
        <v/>
      </c>
    </row>
    <row r="91" ht="15" customHeight="1">
      <c r="A91" s="25">
        <f>IFERROR(IF($K$5+ROW()-26&gt;$K$6,"",IF(INDEX('Raw Flow Data'!$A:$A,$K$5+ROW()-26)="","",INDEX('Raw Flow Data'!$A:$A,$K$5+ROW()-26))),"")</f>
        <v/>
      </c>
      <c r="B91" s="26">
        <f>IFERROR(IF($B$3="","",IF($K$5+ROW()-26&gt;$K$6,"",IF(INDEX('Raw Flow Data'!$A:$ZZ,$K$5+ROW()-26+$D$3,MATCH($B$3,'Raw Flow Data'!$1:$1,0))=-999,"",INDEX('Raw Flow Data'!$A:$ZZ,$K$5+ROW()-26+$D$3,MATCH($B$3,'Raw Flow Data'!$1:$1,0))*$C$3))),"")</f>
        <v/>
      </c>
      <c r="C91" s="26">
        <f>IFERROR(IF($B$4="","",IF($K$5+ROW()-26&gt;$K$6,"",IF(INDEX('Raw Flow Data'!$A:$ZZ,$K$5+ROW()-26+$D$4,MATCH($B$4,'Raw Flow Data'!$1:$1,0))=-999,"",INDEX('Raw Flow Data'!$A:$ZZ,$K$5+ROW()-26+$D$4,MATCH($B$4,'Raw Flow Data'!$1:$1,0))*$C$4))),"")</f>
        <v/>
      </c>
      <c r="D91" s="26">
        <f>IFERROR(IF($B$5="","",IF($K$5+ROW()-26&gt;$K$6,"",IF(INDEX('Raw Flow Data'!$A:$ZZ,$K$5+ROW()-26+$D$5,MATCH($B$5,'Raw Flow Data'!$1:$1,0))=-999,"",INDEX('Raw Flow Data'!$A:$ZZ,$K$5+ROW()-26+$D$5,MATCH($B$5,'Raw Flow Data'!$1:$1,0))*$C$5))),"")</f>
        <v/>
      </c>
      <c r="E91" s="26">
        <f>IFERROR(IF($B$6="","",IF($K$5+ROW()-26&gt;$K$6,"",IF(INDEX('Raw Flow Data'!$A:$ZZ,$K$5+ROW()-26+$D$6,MATCH($B$6,'Raw Flow Data'!$1:$1,0))=-999,"",INDEX('Raw Flow Data'!$A:$ZZ,$K$5+ROW()-26+$D$6,MATCH($B$6,'Raw Flow Data'!$1:$1,0))*$C$6))),"")</f>
        <v/>
      </c>
      <c r="F91" s="26">
        <f>IFERROR(IF($B$7="","",IF($K$5+ROW()-26&gt;$K$6,"",IF(INDEX('Raw Flow Data'!$A:$ZZ,$K$5+ROW()-26+$D$7,MATCH($B$7,'Raw Flow Data'!$1:$1,0))=-999,"",INDEX('Raw Flow Data'!$A:$ZZ,$K$5+ROW()-26+$D$7,MATCH($B$7,'Raw Flow Data'!$1:$1,0))*$C$7))),"")</f>
        <v/>
      </c>
      <c r="G91" s="26">
        <f>IFERROR(IF($B$8="","",IF($K$5+ROW()-26&gt;$K$6,"",IF(INDEX('Raw Flow Data'!$A:$ZZ,$K$5+ROW()-26+$D$8,MATCH($B$8,'Raw Flow Data'!$1:$1,0))=-999,"",INDEX('Raw Flow Data'!$A:$ZZ,$K$5+ROW()-26+$D$8,MATCH($B$8,'Raw Flow Data'!$1:$1,0))*$C$8))),"")</f>
        <v/>
      </c>
      <c r="H91" s="26">
        <f>IFERROR(IF($B$9="","",IF($K$5+ROW()-26&gt;$K$6,"",IF(INDEX('Raw Flow Data'!$A:$ZZ,$K$5+ROW()-26+$D$9,MATCH($B$9,'Raw Flow Data'!$1:$1,0))=-999,"",INDEX('Raw Flow Data'!$A:$ZZ,$K$5+ROW()-26+$D$9,MATCH($B$9,'Raw Flow Data'!$1:$1,0))*$C$9))),"")</f>
        <v/>
      </c>
      <c r="I91" s="26">
        <f>IFERROR(IF($B$10="","",IF($K$5+ROW()-26&gt;$K$6,"",IF(INDEX('Raw Flow Data'!$A:$ZZ,$K$5+ROW()-26+$D$10,MATCH($B$10,'Raw Flow Data'!$1:$1,0))=-999,"",INDEX('Raw Flow Data'!$A:$ZZ,$K$5+ROW()-26+$D$10,MATCH($B$10,'Raw Flow Data'!$1:$1,0))*$C$10))),"")</f>
        <v/>
      </c>
      <c r="J91" s="26">
        <f>IFERROR(IF($B$11="","",IF($K$5+ROW()-26&gt;$K$6,"",IF(INDEX('Raw Flow Data'!$A:$ZZ,$K$5+ROW()-26+$D$11,MATCH($B$11,'Raw Flow Data'!$1:$1,0))=-999,"",INDEX('Raw Flow Data'!$A:$ZZ,$K$5+ROW()-26+$D$11,MATCH($B$11,'Raw Flow Data'!$1:$1,0))*$C$11))),"")</f>
        <v/>
      </c>
      <c r="K91" s="26">
        <f>IFERROR(IF($B$12="","",IF($K$5+ROW()-26&gt;$K$6,"",IF(INDEX('Raw Flow Data'!$A:$ZZ,$K$5+ROW()-26+$D$12,MATCH($B$12,'Raw Flow Data'!$1:$1,0))=-999,"",INDEX('Raw Flow Data'!$A:$ZZ,$K$5+ROW()-26+$D$12,MATCH($B$12,'Raw Flow Data'!$1:$1,0))*$C$12))),"")</f>
        <v/>
      </c>
      <c r="L91" s="26">
        <f>IFERROR(IF($F$3="","",IF($K$5+ROW()-26&gt;$K$6,"",IF(INDEX('Raw Pressure Data'!$A:$ZZ,$K$5+ROW()-26+$H$3,MATCH($F$3,'Raw Pressure Data'!$1:$1,0))=-999,"",INDEX('Raw Pressure Data'!$A:$ZZ,$K$5+ROW()-26+$H$3,MATCH($F$3,'Raw Pressure Data'!$1:$1,0))+$G$3))),"")</f>
        <v/>
      </c>
      <c r="M91" s="26">
        <f>IFERROR(IF($F$4="","",IF($K$5+ROW()-26&gt;$K$6,"",IF(INDEX('Raw Pressure Data'!$A:$ZZ,$K$5+ROW()-26+$H$4,MATCH($F$4,'Raw Pressure Data'!$1:$1,0))=-999,"",INDEX('Raw Pressure Data'!$A:$ZZ,$K$5+ROW()-26+$H$4,MATCH($F$4,'Raw Pressure Data'!$1:$1,0))+$G$4))),"")</f>
        <v/>
      </c>
      <c r="N91" s="26">
        <f>IFERROR(IF($F$5="","",IF($K$5+ROW()-26&gt;$K$6,"",IF(INDEX('Raw Pressure Data'!$A:$ZZ,$K$5+ROW()-26+$H$5,MATCH($F$5,'Raw Pressure Data'!$1:$1,0))=-999,"",INDEX('Raw Pressure Data'!$A:$ZZ,$K$5+ROW()-26+$H$5,MATCH($F$5,'Raw Pressure Data'!$1:$1,0))+$G$5))),"")</f>
        <v/>
      </c>
      <c r="O91" s="26">
        <f>IFERROR(IF($F$6="","",IF($K$5+ROW()-26&gt;$K$6,"",IF(INDEX('Raw Pressure Data'!$A:$ZZ,$K$5+ROW()-26+$H$6,MATCH($F$6,'Raw Pressure Data'!$1:$1,0))=-999,"",INDEX('Raw Pressure Data'!$A:$ZZ,$K$5+ROW()-26+$H$6,MATCH($F$6,'Raw Pressure Data'!$1:$1,0))+$G$6))),"")</f>
        <v/>
      </c>
      <c r="P91" s="26">
        <f>IFERROR(IF($F$7="","",IF($K$5+ROW()-26&gt;$K$6,"",IF(INDEX('Raw Pressure Data'!$A:$ZZ,$K$5+ROW()-26+$H$7,MATCH($F$7,'Raw Pressure Data'!$1:$1,0))=-999,"",INDEX('Raw Pressure Data'!$A:$ZZ,$K$5+ROW()-26+$H$7,MATCH($F$7,'Raw Pressure Data'!$1:$1,0))+$G$7))),"")</f>
        <v/>
      </c>
      <c r="Q91" s="26">
        <f>IFERROR(IF($F$8="","",IF($K$5+ROW()-26&gt;$K$6,"",IF(INDEX('Raw Pressure Data'!$A:$ZZ,$K$5+ROW()-26+$H$8,MATCH($F$8,'Raw Pressure Data'!$1:$1,0))=-999,"",INDEX('Raw Pressure Data'!$A:$ZZ,$K$5+ROW()-26+$H$8,MATCH($F$8,'Raw Pressure Data'!$1:$1,0))+$G$8))),"")</f>
        <v/>
      </c>
      <c r="R91" s="26">
        <f>IFERROR(IF($F$9="","",IF($K$5+ROW()-26&gt;$K$6,"",IF(INDEX('Raw Pressure Data'!$A:$ZZ,$K$5+ROW()-26+$H$9,MATCH($F$9,'Raw Pressure Data'!$1:$1,0))=-999,"",INDEX('Raw Pressure Data'!$A:$ZZ,$K$5+ROW()-26+$H$9,MATCH($F$9,'Raw Pressure Data'!$1:$1,0))+$G$9))),"")</f>
        <v/>
      </c>
      <c r="S91" s="26">
        <f>IFERROR(IF($F$10="","",IF($K$5+ROW()-26&gt;$K$6,"",IF(INDEX('Raw Pressure Data'!$A:$ZZ,$K$5+ROW()-26+$H$10,MATCH($F$10,'Raw Pressure Data'!$1:$1,0))=-999,"",INDEX('Raw Pressure Data'!$A:$ZZ,$K$5+ROW()-26+$H$10,MATCH($F$10,'Raw Pressure Data'!$1:$1,0))+$G$10))),"")</f>
        <v/>
      </c>
      <c r="T91" s="26">
        <f>IFERROR(IF($F$11="","",IF($K$5+ROW()-26&gt;$K$6,"",IF(INDEX('Raw Pressure Data'!$A:$ZZ,$K$5+ROW()-26+$H$11,MATCH($F$11,'Raw Pressure Data'!$1:$1,0))=-999,"",INDEX('Raw Pressure Data'!$A:$ZZ,$K$5+ROW()-26+$H$11,MATCH($F$11,'Raw Pressure Data'!$1:$1,0))+$G$11))),"")</f>
        <v/>
      </c>
      <c r="U91" s="26">
        <f>IFERROR(IF($F$12="","",IF($K$5+ROW()-26&gt;$K$6,"",IF(INDEX('Raw Pressure Data'!$A:$ZZ,$K$5+ROW()-26+$H$12,MATCH($F$12,'Raw Pressure Data'!$1:$1,0))=-999,"",INDEX('Raw Pressure Data'!$A:$ZZ,$K$5+ROW()-26+$H$12,MATCH($F$12,'Raw Pressure Data'!$1:$1,0))+$G$12))),"")</f>
        <v/>
      </c>
      <c r="V91" s="26">
        <f>IFERROR(IF($F$13="","",IF($K$5+ROW()-26&gt;$K$6,"",IF(INDEX('Raw Pressure Data'!$A:$ZZ,$K$5+ROW()-26+$H$13,MATCH($F$13,'Raw Pressure Data'!$1:$1,0))=-999,"",INDEX('Raw Pressure Data'!$A:$ZZ,$K$5+ROW()-26+$H$13,MATCH($F$13,'Raw Pressure Data'!$1:$1,0))+$G$13))),"")</f>
        <v/>
      </c>
      <c r="W91" s="26">
        <f>IFERROR(IF($F$14="","",IF($K$5+ROW()-26&gt;$K$6,"",IF(INDEX('Raw Pressure Data'!$A:$ZZ,$K$5+ROW()-26+$H$14,MATCH($F$14,'Raw Pressure Data'!$1:$1,0))=-999,"",INDEX('Raw Pressure Data'!$A:$ZZ,$K$5+ROW()-26+$H$14,MATCH($F$14,'Raw Pressure Data'!$1:$1,0))+$G$14))),"")</f>
        <v/>
      </c>
      <c r="X91" s="26">
        <f>IFERROR(IF($F$15="","",IF($K$5+ROW()-26&gt;$K$6,"",IF(INDEX('Raw Pressure Data'!$A:$ZZ,$K$5+ROW()-26+$H$15,MATCH($F$15,'Raw Pressure Data'!$1:$1,0))=-999,"",INDEX('Raw Pressure Data'!$A:$ZZ,$K$5+ROW()-26+$H$15,MATCH($F$15,'Raw Pressure Data'!$1:$1,0))+$G$15))),"")</f>
        <v/>
      </c>
      <c r="Y91" s="26">
        <f>IFERROR(IF($F$16="","",IF($K$5+ROW()-26&gt;$K$6,"",IF(INDEX('Raw Pressure Data'!$A:$ZZ,$K$5+ROW()-26+$H$16,MATCH($F$16,'Raw Pressure Data'!$1:$1,0))=-999,"",INDEX('Raw Pressure Data'!$A:$ZZ,$K$5+ROW()-26+$H$16,MATCH($F$16,'Raw Pressure Data'!$1:$1,0))+$G$16))),"")</f>
        <v/>
      </c>
      <c r="Z91" s="26">
        <f>IFERROR(IF($F$17="","",IF($K$5+ROW()-26&gt;$K$6,"",IF(INDEX('Raw Pressure Data'!$A:$ZZ,$K$5+ROW()-26+$H$17,MATCH($F$17,'Raw Pressure Data'!$1:$1,0))=-999,"",INDEX('Raw Pressure Data'!$A:$ZZ,$K$5+ROW()-26+$H$17,MATCH($F$17,'Raw Pressure Data'!$1:$1,0))+$G$17))),"")</f>
        <v/>
      </c>
      <c r="AA91" s="26">
        <f>IFERROR(IF($F$18="","",IF($K$5+ROW()-26&gt;$K$6,"",IF(INDEX('Raw Pressure Data'!$A:$ZZ,$K$5+ROW()-26+$H$18,MATCH($F$18,'Raw Pressure Data'!$1:$1,0))=-999,"",INDEX('Raw Pressure Data'!$A:$ZZ,$K$5+ROW()-26+$H$18,MATCH($F$18,'Raw Pressure Data'!$1:$1,0))+$G$18))),"")</f>
        <v/>
      </c>
      <c r="AB91" s="26">
        <f>IFERROR(IF($F$19="","",IF($K$5+ROW()-26&gt;$K$6,"",IF(INDEX('Raw Pressure Data'!$A:$ZZ,$K$5+ROW()-26+$H$19,MATCH($F$19,'Raw Pressure Data'!$1:$1,0))=-999,"",INDEX('Raw Pressure Data'!$A:$ZZ,$K$5+ROW()-26+$H$19,MATCH($F$19,'Raw Pressure Data'!$1:$1,0))+$G$19))),"")</f>
        <v/>
      </c>
      <c r="AC91" s="26">
        <f>IFERROR(IF($F$20="","",IF($K$5+ROW()-26&gt;$K$6,"",IF(INDEX('Raw Pressure Data'!$A:$ZZ,$K$5+ROW()-26+$H$20,MATCH($F$20,'Raw Pressure Data'!$1:$1,0))=-999,"",INDEX('Raw Pressure Data'!$A:$ZZ,$K$5+ROW()-26+$H$20,MATCH($F$20,'Raw Pressure Data'!$1:$1,0))+$G$20))),"")</f>
        <v/>
      </c>
      <c r="AD91" s="26">
        <f>IFERROR(IF($F$21="","",IF($K$5+ROW()-26&gt;$K$6,"",IF(INDEX('Raw Pressure Data'!$A:$ZZ,$K$5+ROW()-26+$H$21,MATCH($F$21,'Raw Pressure Data'!$1:$1,0))=-999,"",INDEX('Raw Pressure Data'!$A:$ZZ,$K$5+ROW()-26+$H$21,MATCH($F$21,'Raw Pressure Data'!$1:$1,0))+$G$21))),"")</f>
        <v/>
      </c>
      <c r="AE91" s="26">
        <f>IFERROR(IF($F$22="","",IF($K$5+ROW()-26&gt;$K$6,"",IF(INDEX('Raw Pressure Data'!$A:$ZZ,$K$5+ROW()-26+$H$22,MATCH($F$22,'Raw Pressure Data'!$1:$1,0))=-999,"",INDEX('Raw Pressure Data'!$A:$ZZ,$K$5+ROW()-26+$H$22,MATCH($F$22,'Raw Pressure Data'!$1:$1,0))+$G$22))),"")</f>
        <v/>
      </c>
    </row>
    <row r="92" ht="15" customHeight="1">
      <c r="A92" s="23">
        <f>IFERROR(IF($K$5+ROW()-26&gt;$K$6,"",IF(INDEX('Raw Flow Data'!$A:$A,$K$5+ROW()-26)="","",INDEX('Raw Flow Data'!$A:$A,$K$5+ROW()-26))),"")</f>
        <v/>
      </c>
      <c r="B92" s="24">
        <f>IFERROR(IF($B$3="","",IF($K$5+ROW()-26&gt;$K$6,"",IF(INDEX('Raw Flow Data'!$A:$ZZ,$K$5+ROW()-26+$D$3,MATCH($B$3,'Raw Flow Data'!$1:$1,0))=-999,"",INDEX('Raw Flow Data'!$A:$ZZ,$K$5+ROW()-26+$D$3,MATCH($B$3,'Raw Flow Data'!$1:$1,0))*$C$3))),"")</f>
        <v/>
      </c>
      <c r="C92" s="24">
        <f>IFERROR(IF($B$4="","",IF($K$5+ROW()-26&gt;$K$6,"",IF(INDEX('Raw Flow Data'!$A:$ZZ,$K$5+ROW()-26+$D$4,MATCH($B$4,'Raw Flow Data'!$1:$1,0))=-999,"",INDEX('Raw Flow Data'!$A:$ZZ,$K$5+ROW()-26+$D$4,MATCH($B$4,'Raw Flow Data'!$1:$1,0))*$C$4))),"")</f>
        <v/>
      </c>
      <c r="D92" s="24">
        <f>IFERROR(IF($B$5="","",IF($K$5+ROW()-26&gt;$K$6,"",IF(INDEX('Raw Flow Data'!$A:$ZZ,$K$5+ROW()-26+$D$5,MATCH($B$5,'Raw Flow Data'!$1:$1,0))=-999,"",INDEX('Raw Flow Data'!$A:$ZZ,$K$5+ROW()-26+$D$5,MATCH($B$5,'Raw Flow Data'!$1:$1,0))*$C$5))),"")</f>
        <v/>
      </c>
      <c r="E92" s="24">
        <f>IFERROR(IF($B$6="","",IF($K$5+ROW()-26&gt;$K$6,"",IF(INDEX('Raw Flow Data'!$A:$ZZ,$K$5+ROW()-26+$D$6,MATCH($B$6,'Raw Flow Data'!$1:$1,0))=-999,"",INDEX('Raw Flow Data'!$A:$ZZ,$K$5+ROW()-26+$D$6,MATCH($B$6,'Raw Flow Data'!$1:$1,0))*$C$6))),"")</f>
        <v/>
      </c>
      <c r="F92" s="24">
        <f>IFERROR(IF($B$7="","",IF($K$5+ROW()-26&gt;$K$6,"",IF(INDEX('Raw Flow Data'!$A:$ZZ,$K$5+ROW()-26+$D$7,MATCH($B$7,'Raw Flow Data'!$1:$1,0))=-999,"",INDEX('Raw Flow Data'!$A:$ZZ,$K$5+ROW()-26+$D$7,MATCH($B$7,'Raw Flow Data'!$1:$1,0))*$C$7))),"")</f>
        <v/>
      </c>
      <c r="G92" s="24">
        <f>IFERROR(IF($B$8="","",IF($K$5+ROW()-26&gt;$K$6,"",IF(INDEX('Raw Flow Data'!$A:$ZZ,$K$5+ROW()-26+$D$8,MATCH($B$8,'Raw Flow Data'!$1:$1,0))=-999,"",INDEX('Raw Flow Data'!$A:$ZZ,$K$5+ROW()-26+$D$8,MATCH($B$8,'Raw Flow Data'!$1:$1,0))*$C$8))),"")</f>
        <v/>
      </c>
      <c r="H92" s="24">
        <f>IFERROR(IF($B$9="","",IF($K$5+ROW()-26&gt;$K$6,"",IF(INDEX('Raw Flow Data'!$A:$ZZ,$K$5+ROW()-26+$D$9,MATCH($B$9,'Raw Flow Data'!$1:$1,0))=-999,"",INDEX('Raw Flow Data'!$A:$ZZ,$K$5+ROW()-26+$D$9,MATCH($B$9,'Raw Flow Data'!$1:$1,0))*$C$9))),"")</f>
        <v/>
      </c>
      <c r="I92" s="24">
        <f>IFERROR(IF($B$10="","",IF($K$5+ROW()-26&gt;$K$6,"",IF(INDEX('Raw Flow Data'!$A:$ZZ,$K$5+ROW()-26+$D$10,MATCH($B$10,'Raw Flow Data'!$1:$1,0))=-999,"",INDEX('Raw Flow Data'!$A:$ZZ,$K$5+ROW()-26+$D$10,MATCH($B$10,'Raw Flow Data'!$1:$1,0))*$C$10))),"")</f>
        <v/>
      </c>
      <c r="J92" s="24">
        <f>IFERROR(IF($B$11="","",IF($K$5+ROW()-26&gt;$K$6,"",IF(INDEX('Raw Flow Data'!$A:$ZZ,$K$5+ROW()-26+$D$11,MATCH($B$11,'Raw Flow Data'!$1:$1,0))=-999,"",INDEX('Raw Flow Data'!$A:$ZZ,$K$5+ROW()-26+$D$11,MATCH($B$11,'Raw Flow Data'!$1:$1,0))*$C$11))),"")</f>
        <v/>
      </c>
      <c r="K92" s="24">
        <f>IFERROR(IF($B$12="","",IF($K$5+ROW()-26&gt;$K$6,"",IF(INDEX('Raw Flow Data'!$A:$ZZ,$K$5+ROW()-26+$D$12,MATCH($B$12,'Raw Flow Data'!$1:$1,0))=-999,"",INDEX('Raw Flow Data'!$A:$ZZ,$K$5+ROW()-26+$D$12,MATCH($B$12,'Raw Flow Data'!$1:$1,0))*$C$12))),"")</f>
        <v/>
      </c>
      <c r="L92" s="24">
        <f>IFERROR(IF($F$3="","",IF($K$5+ROW()-26&gt;$K$6,"",IF(INDEX('Raw Pressure Data'!$A:$ZZ,$K$5+ROW()-26+$H$3,MATCH($F$3,'Raw Pressure Data'!$1:$1,0))=-999,"",INDEX('Raw Pressure Data'!$A:$ZZ,$K$5+ROW()-26+$H$3,MATCH($F$3,'Raw Pressure Data'!$1:$1,0))+$G$3))),"")</f>
        <v/>
      </c>
      <c r="M92" s="24">
        <f>IFERROR(IF($F$4="","",IF($K$5+ROW()-26&gt;$K$6,"",IF(INDEX('Raw Pressure Data'!$A:$ZZ,$K$5+ROW()-26+$H$4,MATCH($F$4,'Raw Pressure Data'!$1:$1,0))=-999,"",INDEX('Raw Pressure Data'!$A:$ZZ,$K$5+ROW()-26+$H$4,MATCH($F$4,'Raw Pressure Data'!$1:$1,0))+$G$4))),"")</f>
        <v/>
      </c>
      <c r="N92" s="24">
        <f>IFERROR(IF($F$5="","",IF($K$5+ROW()-26&gt;$K$6,"",IF(INDEX('Raw Pressure Data'!$A:$ZZ,$K$5+ROW()-26+$H$5,MATCH($F$5,'Raw Pressure Data'!$1:$1,0))=-999,"",INDEX('Raw Pressure Data'!$A:$ZZ,$K$5+ROW()-26+$H$5,MATCH($F$5,'Raw Pressure Data'!$1:$1,0))+$G$5))),"")</f>
        <v/>
      </c>
      <c r="O92" s="24">
        <f>IFERROR(IF($F$6="","",IF($K$5+ROW()-26&gt;$K$6,"",IF(INDEX('Raw Pressure Data'!$A:$ZZ,$K$5+ROW()-26+$H$6,MATCH($F$6,'Raw Pressure Data'!$1:$1,0))=-999,"",INDEX('Raw Pressure Data'!$A:$ZZ,$K$5+ROW()-26+$H$6,MATCH($F$6,'Raw Pressure Data'!$1:$1,0))+$G$6))),"")</f>
        <v/>
      </c>
      <c r="P92" s="24">
        <f>IFERROR(IF($F$7="","",IF($K$5+ROW()-26&gt;$K$6,"",IF(INDEX('Raw Pressure Data'!$A:$ZZ,$K$5+ROW()-26+$H$7,MATCH($F$7,'Raw Pressure Data'!$1:$1,0))=-999,"",INDEX('Raw Pressure Data'!$A:$ZZ,$K$5+ROW()-26+$H$7,MATCH($F$7,'Raw Pressure Data'!$1:$1,0))+$G$7))),"")</f>
        <v/>
      </c>
      <c r="Q92" s="24">
        <f>IFERROR(IF($F$8="","",IF($K$5+ROW()-26&gt;$K$6,"",IF(INDEX('Raw Pressure Data'!$A:$ZZ,$K$5+ROW()-26+$H$8,MATCH($F$8,'Raw Pressure Data'!$1:$1,0))=-999,"",INDEX('Raw Pressure Data'!$A:$ZZ,$K$5+ROW()-26+$H$8,MATCH($F$8,'Raw Pressure Data'!$1:$1,0))+$G$8))),"")</f>
        <v/>
      </c>
      <c r="R92" s="24">
        <f>IFERROR(IF($F$9="","",IF($K$5+ROW()-26&gt;$K$6,"",IF(INDEX('Raw Pressure Data'!$A:$ZZ,$K$5+ROW()-26+$H$9,MATCH($F$9,'Raw Pressure Data'!$1:$1,0))=-999,"",INDEX('Raw Pressure Data'!$A:$ZZ,$K$5+ROW()-26+$H$9,MATCH($F$9,'Raw Pressure Data'!$1:$1,0))+$G$9))),"")</f>
        <v/>
      </c>
      <c r="S92" s="24">
        <f>IFERROR(IF($F$10="","",IF($K$5+ROW()-26&gt;$K$6,"",IF(INDEX('Raw Pressure Data'!$A:$ZZ,$K$5+ROW()-26+$H$10,MATCH($F$10,'Raw Pressure Data'!$1:$1,0))=-999,"",INDEX('Raw Pressure Data'!$A:$ZZ,$K$5+ROW()-26+$H$10,MATCH($F$10,'Raw Pressure Data'!$1:$1,0))+$G$10))),"")</f>
        <v/>
      </c>
      <c r="T92" s="24">
        <f>IFERROR(IF($F$11="","",IF($K$5+ROW()-26&gt;$K$6,"",IF(INDEX('Raw Pressure Data'!$A:$ZZ,$K$5+ROW()-26+$H$11,MATCH($F$11,'Raw Pressure Data'!$1:$1,0))=-999,"",INDEX('Raw Pressure Data'!$A:$ZZ,$K$5+ROW()-26+$H$11,MATCH($F$11,'Raw Pressure Data'!$1:$1,0))+$G$11))),"")</f>
        <v/>
      </c>
      <c r="U92" s="24">
        <f>IFERROR(IF($F$12="","",IF($K$5+ROW()-26&gt;$K$6,"",IF(INDEX('Raw Pressure Data'!$A:$ZZ,$K$5+ROW()-26+$H$12,MATCH($F$12,'Raw Pressure Data'!$1:$1,0))=-999,"",INDEX('Raw Pressure Data'!$A:$ZZ,$K$5+ROW()-26+$H$12,MATCH($F$12,'Raw Pressure Data'!$1:$1,0))+$G$12))),"")</f>
        <v/>
      </c>
      <c r="V92" s="24">
        <f>IFERROR(IF($F$13="","",IF($K$5+ROW()-26&gt;$K$6,"",IF(INDEX('Raw Pressure Data'!$A:$ZZ,$K$5+ROW()-26+$H$13,MATCH($F$13,'Raw Pressure Data'!$1:$1,0))=-999,"",INDEX('Raw Pressure Data'!$A:$ZZ,$K$5+ROW()-26+$H$13,MATCH($F$13,'Raw Pressure Data'!$1:$1,0))+$G$13))),"")</f>
        <v/>
      </c>
      <c r="W92" s="24">
        <f>IFERROR(IF($F$14="","",IF($K$5+ROW()-26&gt;$K$6,"",IF(INDEX('Raw Pressure Data'!$A:$ZZ,$K$5+ROW()-26+$H$14,MATCH($F$14,'Raw Pressure Data'!$1:$1,0))=-999,"",INDEX('Raw Pressure Data'!$A:$ZZ,$K$5+ROW()-26+$H$14,MATCH($F$14,'Raw Pressure Data'!$1:$1,0))+$G$14))),"")</f>
        <v/>
      </c>
      <c r="X92" s="24">
        <f>IFERROR(IF($F$15="","",IF($K$5+ROW()-26&gt;$K$6,"",IF(INDEX('Raw Pressure Data'!$A:$ZZ,$K$5+ROW()-26+$H$15,MATCH($F$15,'Raw Pressure Data'!$1:$1,0))=-999,"",INDEX('Raw Pressure Data'!$A:$ZZ,$K$5+ROW()-26+$H$15,MATCH($F$15,'Raw Pressure Data'!$1:$1,0))+$G$15))),"")</f>
        <v/>
      </c>
      <c r="Y92" s="24">
        <f>IFERROR(IF($F$16="","",IF($K$5+ROW()-26&gt;$K$6,"",IF(INDEX('Raw Pressure Data'!$A:$ZZ,$K$5+ROW()-26+$H$16,MATCH($F$16,'Raw Pressure Data'!$1:$1,0))=-999,"",INDEX('Raw Pressure Data'!$A:$ZZ,$K$5+ROW()-26+$H$16,MATCH($F$16,'Raw Pressure Data'!$1:$1,0))+$G$16))),"")</f>
        <v/>
      </c>
      <c r="Z92" s="24">
        <f>IFERROR(IF($F$17="","",IF($K$5+ROW()-26&gt;$K$6,"",IF(INDEX('Raw Pressure Data'!$A:$ZZ,$K$5+ROW()-26+$H$17,MATCH($F$17,'Raw Pressure Data'!$1:$1,0))=-999,"",INDEX('Raw Pressure Data'!$A:$ZZ,$K$5+ROW()-26+$H$17,MATCH($F$17,'Raw Pressure Data'!$1:$1,0))+$G$17))),"")</f>
        <v/>
      </c>
      <c r="AA92" s="24">
        <f>IFERROR(IF($F$18="","",IF($K$5+ROW()-26&gt;$K$6,"",IF(INDEX('Raw Pressure Data'!$A:$ZZ,$K$5+ROW()-26+$H$18,MATCH($F$18,'Raw Pressure Data'!$1:$1,0))=-999,"",INDEX('Raw Pressure Data'!$A:$ZZ,$K$5+ROW()-26+$H$18,MATCH($F$18,'Raw Pressure Data'!$1:$1,0))+$G$18))),"")</f>
        <v/>
      </c>
      <c r="AB92" s="24">
        <f>IFERROR(IF($F$19="","",IF($K$5+ROW()-26&gt;$K$6,"",IF(INDEX('Raw Pressure Data'!$A:$ZZ,$K$5+ROW()-26+$H$19,MATCH($F$19,'Raw Pressure Data'!$1:$1,0))=-999,"",INDEX('Raw Pressure Data'!$A:$ZZ,$K$5+ROW()-26+$H$19,MATCH($F$19,'Raw Pressure Data'!$1:$1,0))+$G$19))),"")</f>
        <v/>
      </c>
      <c r="AC92" s="24">
        <f>IFERROR(IF($F$20="","",IF($K$5+ROW()-26&gt;$K$6,"",IF(INDEX('Raw Pressure Data'!$A:$ZZ,$K$5+ROW()-26+$H$20,MATCH($F$20,'Raw Pressure Data'!$1:$1,0))=-999,"",INDEX('Raw Pressure Data'!$A:$ZZ,$K$5+ROW()-26+$H$20,MATCH($F$20,'Raw Pressure Data'!$1:$1,0))+$G$20))),"")</f>
        <v/>
      </c>
      <c r="AD92" s="24">
        <f>IFERROR(IF($F$21="","",IF($K$5+ROW()-26&gt;$K$6,"",IF(INDEX('Raw Pressure Data'!$A:$ZZ,$K$5+ROW()-26+$H$21,MATCH($F$21,'Raw Pressure Data'!$1:$1,0))=-999,"",INDEX('Raw Pressure Data'!$A:$ZZ,$K$5+ROW()-26+$H$21,MATCH($F$21,'Raw Pressure Data'!$1:$1,0))+$G$21))),"")</f>
        <v/>
      </c>
      <c r="AE92" s="24">
        <f>IFERROR(IF($F$22="","",IF($K$5+ROW()-26&gt;$K$6,"",IF(INDEX('Raw Pressure Data'!$A:$ZZ,$K$5+ROW()-26+$H$22,MATCH($F$22,'Raw Pressure Data'!$1:$1,0))=-999,"",INDEX('Raw Pressure Data'!$A:$ZZ,$K$5+ROW()-26+$H$22,MATCH($F$22,'Raw Pressure Data'!$1:$1,0))+$G$22))),"")</f>
        <v/>
      </c>
    </row>
    <row r="93" ht="15" customHeight="1">
      <c r="A93" s="25">
        <f>IFERROR(IF($K$5+ROW()-26&gt;$K$6,"",IF(INDEX('Raw Flow Data'!$A:$A,$K$5+ROW()-26)="","",INDEX('Raw Flow Data'!$A:$A,$K$5+ROW()-26))),"")</f>
        <v/>
      </c>
      <c r="B93" s="26">
        <f>IFERROR(IF($B$3="","",IF($K$5+ROW()-26&gt;$K$6,"",IF(INDEX('Raw Flow Data'!$A:$ZZ,$K$5+ROW()-26+$D$3,MATCH($B$3,'Raw Flow Data'!$1:$1,0))=-999,"",INDEX('Raw Flow Data'!$A:$ZZ,$K$5+ROW()-26+$D$3,MATCH($B$3,'Raw Flow Data'!$1:$1,0))*$C$3))),"")</f>
        <v/>
      </c>
      <c r="C93" s="26">
        <f>IFERROR(IF($B$4="","",IF($K$5+ROW()-26&gt;$K$6,"",IF(INDEX('Raw Flow Data'!$A:$ZZ,$K$5+ROW()-26+$D$4,MATCH($B$4,'Raw Flow Data'!$1:$1,0))=-999,"",INDEX('Raw Flow Data'!$A:$ZZ,$K$5+ROW()-26+$D$4,MATCH($B$4,'Raw Flow Data'!$1:$1,0))*$C$4))),"")</f>
        <v/>
      </c>
      <c r="D93" s="26">
        <f>IFERROR(IF($B$5="","",IF($K$5+ROW()-26&gt;$K$6,"",IF(INDEX('Raw Flow Data'!$A:$ZZ,$K$5+ROW()-26+$D$5,MATCH($B$5,'Raw Flow Data'!$1:$1,0))=-999,"",INDEX('Raw Flow Data'!$A:$ZZ,$K$5+ROW()-26+$D$5,MATCH($B$5,'Raw Flow Data'!$1:$1,0))*$C$5))),"")</f>
        <v/>
      </c>
      <c r="E93" s="26">
        <f>IFERROR(IF($B$6="","",IF($K$5+ROW()-26&gt;$K$6,"",IF(INDEX('Raw Flow Data'!$A:$ZZ,$K$5+ROW()-26+$D$6,MATCH($B$6,'Raw Flow Data'!$1:$1,0))=-999,"",INDEX('Raw Flow Data'!$A:$ZZ,$K$5+ROW()-26+$D$6,MATCH($B$6,'Raw Flow Data'!$1:$1,0))*$C$6))),"")</f>
        <v/>
      </c>
      <c r="F93" s="26">
        <f>IFERROR(IF($B$7="","",IF($K$5+ROW()-26&gt;$K$6,"",IF(INDEX('Raw Flow Data'!$A:$ZZ,$K$5+ROW()-26+$D$7,MATCH($B$7,'Raw Flow Data'!$1:$1,0))=-999,"",INDEX('Raw Flow Data'!$A:$ZZ,$K$5+ROW()-26+$D$7,MATCH($B$7,'Raw Flow Data'!$1:$1,0))*$C$7))),"")</f>
        <v/>
      </c>
      <c r="G93" s="26">
        <f>IFERROR(IF($B$8="","",IF($K$5+ROW()-26&gt;$K$6,"",IF(INDEX('Raw Flow Data'!$A:$ZZ,$K$5+ROW()-26+$D$8,MATCH($B$8,'Raw Flow Data'!$1:$1,0))=-999,"",INDEX('Raw Flow Data'!$A:$ZZ,$K$5+ROW()-26+$D$8,MATCH($B$8,'Raw Flow Data'!$1:$1,0))*$C$8))),"")</f>
        <v/>
      </c>
      <c r="H93" s="26">
        <f>IFERROR(IF($B$9="","",IF($K$5+ROW()-26&gt;$K$6,"",IF(INDEX('Raw Flow Data'!$A:$ZZ,$K$5+ROW()-26+$D$9,MATCH($B$9,'Raw Flow Data'!$1:$1,0))=-999,"",INDEX('Raw Flow Data'!$A:$ZZ,$K$5+ROW()-26+$D$9,MATCH($B$9,'Raw Flow Data'!$1:$1,0))*$C$9))),"")</f>
        <v/>
      </c>
      <c r="I93" s="26">
        <f>IFERROR(IF($B$10="","",IF($K$5+ROW()-26&gt;$K$6,"",IF(INDEX('Raw Flow Data'!$A:$ZZ,$K$5+ROW()-26+$D$10,MATCH($B$10,'Raw Flow Data'!$1:$1,0))=-999,"",INDEX('Raw Flow Data'!$A:$ZZ,$K$5+ROW()-26+$D$10,MATCH($B$10,'Raw Flow Data'!$1:$1,0))*$C$10))),"")</f>
        <v/>
      </c>
      <c r="J93" s="26">
        <f>IFERROR(IF($B$11="","",IF($K$5+ROW()-26&gt;$K$6,"",IF(INDEX('Raw Flow Data'!$A:$ZZ,$K$5+ROW()-26+$D$11,MATCH($B$11,'Raw Flow Data'!$1:$1,0))=-999,"",INDEX('Raw Flow Data'!$A:$ZZ,$K$5+ROW()-26+$D$11,MATCH($B$11,'Raw Flow Data'!$1:$1,0))*$C$11))),"")</f>
        <v/>
      </c>
      <c r="K93" s="26">
        <f>IFERROR(IF($B$12="","",IF($K$5+ROW()-26&gt;$K$6,"",IF(INDEX('Raw Flow Data'!$A:$ZZ,$K$5+ROW()-26+$D$12,MATCH($B$12,'Raw Flow Data'!$1:$1,0))=-999,"",INDEX('Raw Flow Data'!$A:$ZZ,$K$5+ROW()-26+$D$12,MATCH($B$12,'Raw Flow Data'!$1:$1,0))*$C$12))),"")</f>
        <v/>
      </c>
      <c r="L93" s="26">
        <f>IFERROR(IF($F$3="","",IF($K$5+ROW()-26&gt;$K$6,"",IF(INDEX('Raw Pressure Data'!$A:$ZZ,$K$5+ROW()-26+$H$3,MATCH($F$3,'Raw Pressure Data'!$1:$1,0))=-999,"",INDEX('Raw Pressure Data'!$A:$ZZ,$K$5+ROW()-26+$H$3,MATCH($F$3,'Raw Pressure Data'!$1:$1,0))+$G$3))),"")</f>
        <v/>
      </c>
      <c r="M93" s="26">
        <f>IFERROR(IF($F$4="","",IF($K$5+ROW()-26&gt;$K$6,"",IF(INDEX('Raw Pressure Data'!$A:$ZZ,$K$5+ROW()-26+$H$4,MATCH($F$4,'Raw Pressure Data'!$1:$1,0))=-999,"",INDEX('Raw Pressure Data'!$A:$ZZ,$K$5+ROW()-26+$H$4,MATCH($F$4,'Raw Pressure Data'!$1:$1,0))+$G$4))),"")</f>
        <v/>
      </c>
      <c r="N93" s="26">
        <f>IFERROR(IF($F$5="","",IF($K$5+ROW()-26&gt;$K$6,"",IF(INDEX('Raw Pressure Data'!$A:$ZZ,$K$5+ROW()-26+$H$5,MATCH($F$5,'Raw Pressure Data'!$1:$1,0))=-999,"",INDEX('Raw Pressure Data'!$A:$ZZ,$K$5+ROW()-26+$H$5,MATCH($F$5,'Raw Pressure Data'!$1:$1,0))+$G$5))),"")</f>
        <v/>
      </c>
      <c r="O93" s="26">
        <f>IFERROR(IF($F$6="","",IF($K$5+ROW()-26&gt;$K$6,"",IF(INDEX('Raw Pressure Data'!$A:$ZZ,$K$5+ROW()-26+$H$6,MATCH($F$6,'Raw Pressure Data'!$1:$1,0))=-999,"",INDEX('Raw Pressure Data'!$A:$ZZ,$K$5+ROW()-26+$H$6,MATCH($F$6,'Raw Pressure Data'!$1:$1,0))+$G$6))),"")</f>
        <v/>
      </c>
      <c r="P93" s="26">
        <f>IFERROR(IF($F$7="","",IF($K$5+ROW()-26&gt;$K$6,"",IF(INDEX('Raw Pressure Data'!$A:$ZZ,$K$5+ROW()-26+$H$7,MATCH($F$7,'Raw Pressure Data'!$1:$1,0))=-999,"",INDEX('Raw Pressure Data'!$A:$ZZ,$K$5+ROW()-26+$H$7,MATCH($F$7,'Raw Pressure Data'!$1:$1,0))+$G$7))),"")</f>
        <v/>
      </c>
      <c r="Q93" s="26">
        <f>IFERROR(IF($F$8="","",IF($K$5+ROW()-26&gt;$K$6,"",IF(INDEX('Raw Pressure Data'!$A:$ZZ,$K$5+ROW()-26+$H$8,MATCH($F$8,'Raw Pressure Data'!$1:$1,0))=-999,"",INDEX('Raw Pressure Data'!$A:$ZZ,$K$5+ROW()-26+$H$8,MATCH($F$8,'Raw Pressure Data'!$1:$1,0))+$G$8))),"")</f>
        <v/>
      </c>
      <c r="R93" s="26">
        <f>IFERROR(IF($F$9="","",IF($K$5+ROW()-26&gt;$K$6,"",IF(INDEX('Raw Pressure Data'!$A:$ZZ,$K$5+ROW()-26+$H$9,MATCH($F$9,'Raw Pressure Data'!$1:$1,0))=-999,"",INDEX('Raw Pressure Data'!$A:$ZZ,$K$5+ROW()-26+$H$9,MATCH($F$9,'Raw Pressure Data'!$1:$1,0))+$G$9))),"")</f>
        <v/>
      </c>
      <c r="S93" s="26">
        <f>IFERROR(IF($F$10="","",IF($K$5+ROW()-26&gt;$K$6,"",IF(INDEX('Raw Pressure Data'!$A:$ZZ,$K$5+ROW()-26+$H$10,MATCH($F$10,'Raw Pressure Data'!$1:$1,0))=-999,"",INDEX('Raw Pressure Data'!$A:$ZZ,$K$5+ROW()-26+$H$10,MATCH($F$10,'Raw Pressure Data'!$1:$1,0))+$G$10))),"")</f>
        <v/>
      </c>
      <c r="T93" s="26">
        <f>IFERROR(IF($F$11="","",IF($K$5+ROW()-26&gt;$K$6,"",IF(INDEX('Raw Pressure Data'!$A:$ZZ,$K$5+ROW()-26+$H$11,MATCH($F$11,'Raw Pressure Data'!$1:$1,0))=-999,"",INDEX('Raw Pressure Data'!$A:$ZZ,$K$5+ROW()-26+$H$11,MATCH($F$11,'Raw Pressure Data'!$1:$1,0))+$G$11))),"")</f>
        <v/>
      </c>
      <c r="U93" s="26">
        <f>IFERROR(IF($F$12="","",IF($K$5+ROW()-26&gt;$K$6,"",IF(INDEX('Raw Pressure Data'!$A:$ZZ,$K$5+ROW()-26+$H$12,MATCH($F$12,'Raw Pressure Data'!$1:$1,0))=-999,"",INDEX('Raw Pressure Data'!$A:$ZZ,$K$5+ROW()-26+$H$12,MATCH($F$12,'Raw Pressure Data'!$1:$1,0))+$G$12))),"")</f>
        <v/>
      </c>
      <c r="V93" s="26">
        <f>IFERROR(IF($F$13="","",IF($K$5+ROW()-26&gt;$K$6,"",IF(INDEX('Raw Pressure Data'!$A:$ZZ,$K$5+ROW()-26+$H$13,MATCH($F$13,'Raw Pressure Data'!$1:$1,0))=-999,"",INDEX('Raw Pressure Data'!$A:$ZZ,$K$5+ROW()-26+$H$13,MATCH($F$13,'Raw Pressure Data'!$1:$1,0))+$G$13))),"")</f>
        <v/>
      </c>
      <c r="W93" s="26">
        <f>IFERROR(IF($F$14="","",IF($K$5+ROW()-26&gt;$K$6,"",IF(INDEX('Raw Pressure Data'!$A:$ZZ,$K$5+ROW()-26+$H$14,MATCH($F$14,'Raw Pressure Data'!$1:$1,0))=-999,"",INDEX('Raw Pressure Data'!$A:$ZZ,$K$5+ROW()-26+$H$14,MATCH($F$14,'Raw Pressure Data'!$1:$1,0))+$G$14))),"")</f>
        <v/>
      </c>
      <c r="X93" s="26">
        <f>IFERROR(IF($F$15="","",IF($K$5+ROW()-26&gt;$K$6,"",IF(INDEX('Raw Pressure Data'!$A:$ZZ,$K$5+ROW()-26+$H$15,MATCH($F$15,'Raw Pressure Data'!$1:$1,0))=-999,"",INDEX('Raw Pressure Data'!$A:$ZZ,$K$5+ROW()-26+$H$15,MATCH($F$15,'Raw Pressure Data'!$1:$1,0))+$G$15))),"")</f>
        <v/>
      </c>
      <c r="Y93" s="26">
        <f>IFERROR(IF($F$16="","",IF($K$5+ROW()-26&gt;$K$6,"",IF(INDEX('Raw Pressure Data'!$A:$ZZ,$K$5+ROW()-26+$H$16,MATCH($F$16,'Raw Pressure Data'!$1:$1,0))=-999,"",INDEX('Raw Pressure Data'!$A:$ZZ,$K$5+ROW()-26+$H$16,MATCH($F$16,'Raw Pressure Data'!$1:$1,0))+$G$16))),"")</f>
        <v/>
      </c>
      <c r="Z93" s="26">
        <f>IFERROR(IF($F$17="","",IF($K$5+ROW()-26&gt;$K$6,"",IF(INDEX('Raw Pressure Data'!$A:$ZZ,$K$5+ROW()-26+$H$17,MATCH($F$17,'Raw Pressure Data'!$1:$1,0))=-999,"",INDEX('Raw Pressure Data'!$A:$ZZ,$K$5+ROW()-26+$H$17,MATCH($F$17,'Raw Pressure Data'!$1:$1,0))+$G$17))),"")</f>
        <v/>
      </c>
      <c r="AA93" s="26">
        <f>IFERROR(IF($F$18="","",IF($K$5+ROW()-26&gt;$K$6,"",IF(INDEX('Raw Pressure Data'!$A:$ZZ,$K$5+ROW()-26+$H$18,MATCH($F$18,'Raw Pressure Data'!$1:$1,0))=-999,"",INDEX('Raw Pressure Data'!$A:$ZZ,$K$5+ROW()-26+$H$18,MATCH($F$18,'Raw Pressure Data'!$1:$1,0))+$G$18))),"")</f>
        <v/>
      </c>
      <c r="AB93" s="26">
        <f>IFERROR(IF($F$19="","",IF($K$5+ROW()-26&gt;$K$6,"",IF(INDEX('Raw Pressure Data'!$A:$ZZ,$K$5+ROW()-26+$H$19,MATCH($F$19,'Raw Pressure Data'!$1:$1,0))=-999,"",INDEX('Raw Pressure Data'!$A:$ZZ,$K$5+ROW()-26+$H$19,MATCH($F$19,'Raw Pressure Data'!$1:$1,0))+$G$19))),"")</f>
        <v/>
      </c>
      <c r="AC93" s="26">
        <f>IFERROR(IF($F$20="","",IF($K$5+ROW()-26&gt;$K$6,"",IF(INDEX('Raw Pressure Data'!$A:$ZZ,$K$5+ROW()-26+$H$20,MATCH($F$20,'Raw Pressure Data'!$1:$1,0))=-999,"",INDEX('Raw Pressure Data'!$A:$ZZ,$K$5+ROW()-26+$H$20,MATCH($F$20,'Raw Pressure Data'!$1:$1,0))+$G$20))),"")</f>
        <v/>
      </c>
      <c r="AD93" s="26">
        <f>IFERROR(IF($F$21="","",IF($K$5+ROW()-26&gt;$K$6,"",IF(INDEX('Raw Pressure Data'!$A:$ZZ,$K$5+ROW()-26+$H$21,MATCH($F$21,'Raw Pressure Data'!$1:$1,0))=-999,"",INDEX('Raw Pressure Data'!$A:$ZZ,$K$5+ROW()-26+$H$21,MATCH($F$21,'Raw Pressure Data'!$1:$1,0))+$G$21))),"")</f>
        <v/>
      </c>
      <c r="AE93" s="26">
        <f>IFERROR(IF($F$22="","",IF($K$5+ROW()-26&gt;$K$6,"",IF(INDEX('Raw Pressure Data'!$A:$ZZ,$K$5+ROW()-26+$H$22,MATCH($F$22,'Raw Pressure Data'!$1:$1,0))=-999,"",INDEX('Raw Pressure Data'!$A:$ZZ,$K$5+ROW()-26+$H$22,MATCH($F$22,'Raw Pressure Data'!$1:$1,0))+$G$22))),"")</f>
        <v/>
      </c>
    </row>
    <row r="94" ht="15" customHeight="1">
      <c r="A94" s="23">
        <f>IFERROR(IF($K$5+ROW()-26&gt;$K$6,"",IF(INDEX('Raw Flow Data'!$A:$A,$K$5+ROW()-26)="","",INDEX('Raw Flow Data'!$A:$A,$K$5+ROW()-26))),"")</f>
        <v/>
      </c>
      <c r="B94" s="24">
        <f>IFERROR(IF($B$3="","",IF($K$5+ROW()-26&gt;$K$6,"",IF(INDEX('Raw Flow Data'!$A:$ZZ,$K$5+ROW()-26+$D$3,MATCH($B$3,'Raw Flow Data'!$1:$1,0))=-999,"",INDEX('Raw Flow Data'!$A:$ZZ,$K$5+ROW()-26+$D$3,MATCH($B$3,'Raw Flow Data'!$1:$1,0))*$C$3))),"")</f>
        <v/>
      </c>
      <c r="C94" s="24">
        <f>IFERROR(IF($B$4="","",IF($K$5+ROW()-26&gt;$K$6,"",IF(INDEX('Raw Flow Data'!$A:$ZZ,$K$5+ROW()-26+$D$4,MATCH($B$4,'Raw Flow Data'!$1:$1,0))=-999,"",INDEX('Raw Flow Data'!$A:$ZZ,$K$5+ROW()-26+$D$4,MATCH($B$4,'Raw Flow Data'!$1:$1,0))*$C$4))),"")</f>
        <v/>
      </c>
      <c r="D94" s="24">
        <f>IFERROR(IF($B$5="","",IF($K$5+ROW()-26&gt;$K$6,"",IF(INDEX('Raw Flow Data'!$A:$ZZ,$K$5+ROW()-26+$D$5,MATCH($B$5,'Raw Flow Data'!$1:$1,0))=-999,"",INDEX('Raw Flow Data'!$A:$ZZ,$K$5+ROW()-26+$D$5,MATCH($B$5,'Raw Flow Data'!$1:$1,0))*$C$5))),"")</f>
        <v/>
      </c>
      <c r="E94" s="24">
        <f>IFERROR(IF($B$6="","",IF($K$5+ROW()-26&gt;$K$6,"",IF(INDEX('Raw Flow Data'!$A:$ZZ,$K$5+ROW()-26+$D$6,MATCH($B$6,'Raw Flow Data'!$1:$1,0))=-999,"",INDEX('Raw Flow Data'!$A:$ZZ,$K$5+ROW()-26+$D$6,MATCH($B$6,'Raw Flow Data'!$1:$1,0))*$C$6))),"")</f>
        <v/>
      </c>
      <c r="F94" s="24">
        <f>IFERROR(IF($B$7="","",IF($K$5+ROW()-26&gt;$K$6,"",IF(INDEX('Raw Flow Data'!$A:$ZZ,$K$5+ROW()-26+$D$7,MATCH($B$7,'Raw Flow Data'!$1:$1,0))=-999,"",INDEX('Raw Flow Data'!$A:$ZZ,$K$5+ROW()-26+$D$7,MATCH($B$7,'Raw Flow Data'!$1:$1,0))*$C$7))),"")</f>
        <v/>
      </c>
      <c r="G94" s="24">
        <f>IFERROR(IF($B$8="","",IF($K$5+ROW()-26&gt;$K$6,"",IF(INDEX('Raw Flow Data'!$A:$ZZ,$K$5+ROW()-26+$D$8,MATCH($B$8,'Raw Flow Data'!$1:$1,0))=-999,"",INDEX('Raw Flow Data'!$A:$ZZ,$K$5+ROW()-26+$D$8,MATCH($B$8,'Raw Flow Data'!$1:$1,0))*$C$8))),"")</f>
        <v/>
      </c>
      <c r="H94" s="24">
        <f>IFERROR(IF($B$9="","",IF($K$5+ROW()-26&gt;$K$6,"",IF(INDEX('Raw Flow Data'!$A:$ZZ,$K$5+ROW()-26+$D$9,MATCH($B$9,'Raw Flow Data'!$1:$1,0))=-999,"",INDEX('Raw Flow Data'!$A:$ZZ,$K$5+ROW()-26+$D$9,MATCH($B$9,'Raw Flow Data'!$1:$1,0))*$C$9))),"")</f>
        <v/>
      </c>
      <c r="I94" s="24">
        <f>IFERROR(IF($B$10="","",IF($K$5+ROW()-26&gt;$K$6,"",IF(INDEX('Raw Flow Data'!$A:$ZZ,$K$5+ROW()-26+$D$10,MATCH($B$10,'Raw Flow Data'!$1:$1,0))=-999,"",INDEX('Raw Flow Data'!$A:$ZZ,$K$5+ROW()-26+$D$10,MATCH($B$10,'Raw Flow Data'!$1:$1,0))*$C$10))),"")</f>
        <v/>
      </c>
      <c r="J94" s="24">
        <f>IFERROR(IF($B$11="","",IF($K$5+ROW()-26&gt;$K$6,"",IF(INDEX('Raw Flow Data'!$A:$ZZ,$K$5+ROW()-26+$D$11,MATCH($B$11,'Raw Flow Data'!$1:$1,0))=-999,"",INDEX('Raw Flow Data'!$A:$ZZ,$K$5+ROW()-26+$D$11,MATCH($B$11,'Raw Flow Data'!$1:$1,0))*$C$11))),"")</f>
        <v/>
      </c>
      <c r="K94" s="24">
        <f>IFERROR(IF($B$12="","",IF($K$5+ROW()-26&gt;$K$6,"",IF(INDEX('Raw Flow Data'!$A:$ZZ,$K$5+ROW()-26+$D$12,MATCH($B$12,'Raw Flow Data'!$1:$1,0))=-999,"",INDEX('Raw Flow Data'!$A:$ZZ,$K$5+ROW()-26+$D$12,MATCH($B$12,'Raw Flow Data'!$1:$1,0))*$C$12))),"")</f>
        <v/>
      </c>
      <c r="L94" s="24">
        <f>IFERROR(IF($F$3="","",IF($K$5+ROW()-26&gt;$K$6,"",IF(INDEX('Raw Pressure Data'!$A:$ZZ,$K$5+ROW()-26+$H$3,MATCH($F$3,'Raw Pressure Data'!$1:$1,0))=-999,"",INDEX('Raw Pressure Data'!$A:$ZZ,$K$5+ROW()-26+$H$3,MATCH($F$3,'Raw Pressure Data'!$1:$1,0))+$G$3))),"")</f>
        <v/>
      </c>
      <c r="M94" s="24">
        <f>IFERROR(IF($F$4="","",IF($K$5+ROW()-26&gt;$K$6,"",IF(INDEX('Raw Pressure Data'!$A:$ZZ,$K$5+ROW()-26+$H$4,MATCH($F$4,'Raw Pressure Data'!$1:$1,0))=-999,"",INDEX('Raw Pressure Data'!$A:$ZZ,$K$5+ROW()-26+$H$4,MATCH($F$4,'Raw Pressure Data'!$1:$1,0))+$G$4))),"")</f>
        <v/>
      </c>
      <c r="N94" s="24">
        <f>IFERROR(IF($F$5="","",IF($K$5+ROW()-26&gt;$K$6,"",IF(INDEX('Raw Pressure Data'!$A:$ZZ,$K$5+ROW()-26+$H$5,MATCH($F$5,'Raw Pressure Data'!$1:$1,0))=-999,"",INDEX('Raw Pressure Data'!$A:$ZZ,$K$5+ROW()-26+$H$5,MATCH($F$5,'Raw Pressure Data'!$1:$1,0))+$G$5))),"")</f>
        <v/>
      </c>
      <c r="O94" s="24">
        <f>IFERROR(IF($F$6="","",IF($K$5+ROW()-26&gt;$K$6,"",IF(INDEX('Raw Pressure Data'!$A:$ZZ,$K$5+ROW()-26+$H$6,MATCH($F$6,'Raw Pressure Data'!$1:$1,0))=-999,"",INDEX('Raw Pressure Data'!$A:$ZZ,$K$5+ROW()-26+$H$6,MATCH($F$6,'Raw Pressure Data'!$1:$1,0))+$G$6))),"")</f>
        <v/>
      </c>
      <c r="P94" s="24">
        <f>IFERROR(IF($F$7="","",IF($K$5+ROW()-26&gt;$K$6,"",IF(INDEX('Raw Pressure Data'!$A:$ZZ,$K$5+ROW()-26+$H$7,MATCH($F$7,'Raw Pressure Data'!$1:$1,0))=-999,"",INDEX('Raw Pressure Data'!$A:$ZZ,$K$5+ROW()-26+$H$7,MATCH($F$7,'Raw Pressure Data'!$1:$1,0))+$G$7))),"")</f>
        <v/>
      </c>
      <c r="Q94" s="24">
        <f>IFERROR(IF($F$8="","",IF($K$5+ROW()-26&gt;$K$6,"",IF(INDEX('Raw Pressure Data'!$A:$ZZ,$K$5+ROW()-26+$H$8,MATCH($F$8,'Raw Pressure Data'!$1:$1,0))=-999,"",INDEX('Raw Pressure Data'!$A:$ZZ,$K$5+ROW()-26+$H$8,MATCH($F$8,'Raw Pressure Data'!$1:$1,0))+$G$8))),"")</f>
        <v/>
      </c>
      <c r="R94" s="24">
        <f>IFERROR(IF($F$9="","",IF($K$5+ROW()-26&gt;$K$6,"",IF(INDEX('Raw Pressure Data'!$A:$ZZ,$K$5+ROW()-26+$H$9,MATCH($F$9,'Raw Pressure Data'!$1:$1,0))=-999,"",INDEX('Raw Pressure Data'!$A:$ZZ,$K$5+ROW()-26+$H$9,MATCH($F$9,'Raw Pressure Data'!$1:$1,0))+$G$9))),"")</f>
        <v/>
      </c>
      <c r="S94" s="24">
        <f>IFERROR(IF($F$10="","",IF($K$5+ROW()-26&gt;$K$6,"",IF(INDEX('Raw Pressure Data'!$A:$ZZ,$K$5+ROW()-26+$H$10,MATCH($F$10,'Raw Pressure Data'!$1:$1,0))=-999,"",INDEX('Raw Pressure Data'!$A:$ZZ,$K$5+ROW()-26+$H$10,MATCH($F$10,'Raw Pressure Data'!$1:$1,0))+$G$10))),"")</f>
        <v/>
      </c>
      <c r="T94" s="24">
        <f>IFERROR(IF($F$11="","",IF($K$5+ROW()-26&gt;$K$6,"",IF(INDEX('Raw Pressure Data'!$A:$ZZ,$K$5+ROW()-26+$H$11,MATCH($F$11,'Raw Pressure Data'!$1:$1,0))=-999,"",INDEX('Raw Pressure Data'!$A:$ZZ,$K$5+ROW()-26+$H$11,MATCH($F$11,'Raw Pressure Data'!$1:$1,0))+$G$11))),"")</f>
        <v/>
      </c>
      <c r="U94" s="24">
        <f>IFERROR(IF($F$12="","",IF($K$5+ROW()-26&gt;$K$6,"",IF(INDEX('Raw Pressure Data'!$A:$ZZ,$K$5+ROW()-26+$H$12,MATCH($F$12,'Raw Pressure Data'!$1:$1,0))=-999,"",INDEX('Raw Pressure Data'!$A:$ZZ,$K$5+ROW()-26+$H$12,MATCH($F$12,'Raw Pressure Data'!$1:$1,0))+$G$12))),"")</f>
        <v/>
      </c>
      <c r="V94" s="24">
        <f>IFERROR(IF($F$13="","",IF($K$5+ROW()-26&gt;$K$6,"",IF(INDEX('Raw Pressure Data'!$A:$ZZ,$K$5+ROW()-26+$H$13,MATCH($F$13,'Raw Pressure Data'!$1:$1,0))=-999,"",INDEX('Raw Pressure Data'!$A:$ZZ,$K$5+ROW()-26+$H$13,MATCH($F$13,'Raw Pressure Data'!$1:$1,0))+$G$13))),"")</f>
        <v/>
      </c>
      <c r="W94" s="24">
        <f>IFERROR(IF($F$14="","",IF($K$5+ROW()-26&gt;$K$6,"",IF(INDEX('Raw Pressure Data'!$A:$ZZ,$K$5+ROW()-26+$H$14,MATCH($F$14,'Raw Pressure Data'!$1:$1,0))=-999,"",INDEX('Raw Pressure Data'!$A:$ZZ,$K$5+ROW()-26+$H$14,MATCH($F$14,'Raw Pressure Data'!$1:$1,0))+$G$14))),"")</f>
        <v/>
      </c>
      <c r="X94" s="24">
        <f>IFERROR(IF($F$15="","",IF($K$5+ROW()-26&gt;$K$6,"",IF(INDEX('Raw Pressure Data'!$A:$ZZ,$K$5+ROW()-26+$H$15,MATCH($F$15,'Raw Pressure Data'!$1:$1,0))=-999,"",INDEX('Raw Pressure Data'!$A:$ZZ,$K$5+ROW()-26+$H$15,MATCH($F$15,'Raw Pressure Data'!$1:$1,0))+$G$15))),"")</f>
        <v/>
      </c>
      <c r="Y94" s="24">
        <f>IFERROR(IF($F$16="","",IF($K$5+ROW()-26&gt;$K$6,"",IF(INDEX('Raw Pressure Data'!$A:$ZZ,$K$5+ROW()-26+$H$16,MATCH($F$16,'Raw Pressure Data'!$1:$1,0))=-999,"",INDEX('Raw Pressure Data'!$A:$ZZ,$K$5+ROW()-26+$H$16,MATCH($F$16,'Raw Pressure Data'!$1:$1,0))+$G$16))),"")</f>
        <v/>
      </c>
      <c r="Z94" s="24">
        <f>IFERROR(IF($F$17="","",IF($K$5+ROW()-26&gt;$K$6,"",IF(INDEX('Raw Pressure Data'!$A:$ZZ,$K$5+ROW()-26+$H$17,MATCH($F$17,'Raw Pressure Data'!$1:$1,0))=-999,"",INDEX('Raw Pressure Data'!$A:$ZZ,$K$5+ROW()-26+$H$17,MATCH($F$17,'Raw Pressure Data'!$1:$1,0))+$G$17))),"")</f>
        <v/>
      </c>
      <c r="AA94" s="24">
        <f>IFERROR(IF($F$18="","",IF($K$5+ROW()-26&gt;$K$6,"",IF(INDEX('Raw Pressure Data'!$A:$ZZ,$K$5+ROW()-26+$H$18,MATCH($F$18,'Raw Pressure Data'!$1:$1,0))=-999,"",INDEX('Raw Pressure Data'!$A:$ZZ,$K$5+ROW()-26+$H$18,MATCH($F$18,'Raw Pressure Data'!$1:$1,0))+$G$18))),"")</f>
        <v/>
      </c>
      <c r="AB94" s="24">
        <f>IFERROR(IF($F$19="","",IF($K$5+ROW()-26&gt;$K$6,"",IF(INDEX('Raw Pressure Data'!$A:$ZZ,$K$5+ROW()-26+$H$19,MATCH($F$19,'Raw Pressure Data'!$1:$1,0))=-999,"",INDEX('Raw Pressure Data'!$A:$ZZ,$K$5+ROW()-26+$H$19,MATCH($F$19,'Raw Pressure Data'!$1:$1,0))+$G$19))),"")</f>
        <v/>
      </c>
      <c r="AC94" s="24">
        <f>IFERROR(IF($F$20="","",IF($K$5+ROW()-26&gt;$K$6,"",IF(INDEX('Raw Pressure Data'!$A:$ZZ,$K$5+ROW()-26+$H$20,MATCH($F$20,'Raw Pressure Data'!$1:$1,0))=-999,"",INDEX('Raw Pressure Data'!$A:$ZZ,$K$5+ROW()-26+$H$20,MATCH($F$20,'Raw Pressure Data'!$1:$1,0))+$G$20))),"")</f>
        <v/>
      </c>
      <c r="AD94" s="24">
        <f>IFERROR(IF($F$21="","",IF($K$5+ROW()-26&gt;$K$6,"",IF(INDEX('Raw Pressure Data'!$A:$ZZ,$K$5+ROW()-26+$H$21,MATCH($F$21,'Raw Pressure Data'!$1:$1,0))=-999,"",INDEX('Raw Pressure Data'!$A:$ZZ,$K$5+ROW()-26+$H$21,MATCH($F$21,'Raw Pressure Data'!$1:$1,0))+$G$21))),"")</f>
        <v/>
      </c>
      <c r="AE94" s="24">
        <f>IFERROR(IF($F$22="","",IF($K$5+ROW()-26&gt;$K$6,"",IF(INDEX('Raw Pressure Data'!$A:$ZZ,$K$5+ROW()-26+$H$22,MATCH($F$22,'Raw Pressure Data'!$1:$1,0))=-999,"",INDEX('Raw Pressure Data'!$A:$ZZ,$K$5+ROW()-26+$H$22,MATCH($F$22,'Raw Pressure Data'!$1:$1,0))+$G$22))),"")</f>
        <v/>
      </c>
    </row>
    <row r="95" ht="15" customHeight="1">
      <c r="A95" s="25">
        <f>IFERROR(IF($K$5+ROW()-26&gt;$K$6,"",IF(INDEX('Raw Flow Data'!$A:$A,$K$5+ROW()-26)="","",INDEX('Raw Flow Data'!$A:$A,$K$5+ROW()-26))),"")</f>
        <v/>
      </c>
      <c r="B95" s="26">
        <f>IFERROR(IF($B$3="","",IF($K$5+ROW()-26&gt;$K$6,"",IF(INDEX('Raw Flow Data'!$A:$ZZ,$K$5+ROW()-26+$D$3,MATCH($B$3,'Raw Flow Data'!$1:$1,0))=-999,"",INDEX('Raw Flow Data'!$A:$ZZ,$K$5+ROW()-26+$D$3,MATCH($B$3,'Raw Flow Data'!$1:$1,0))*$C$3))),"")</f>
        <v/>
      </c>
      <c r="C95" s="26">
        <f>IFERROR(IF($B$4="","",IF($K$5+ROW()-26&gt;$K$6,"",IF(INDEX('Raw Flow Data'!$A:$ZZ,$K$5+ROW()-26+$D$4,MATCH($B$4,'Raw Flow Data'!$1:$1,0))=-999,"",INDEX('Raw Flow Data'!$A:$ZZ,$K$5+ROW()-26+$D$4,MATCH($B$4,'Raw Flow Data'!$1:$1,0))*$C$4))),"")</f>
        <v/>
      </c>
      <c r="D95" s="26">
        <f>IFERROR(IF($B$5="","",IF($K$5+ROW()-26&gt;$K$6,"",IF(INDEX('Raw Flow Data'!$A:$ZZ,$K$5+ROW()-26+$D$5,MATCH($B$5,'Raw Flow Data'!$1:$1,0))=-999,"",INDEX('Raw Flow Data'!$A:$ZZ,$K$5+ROW()-26+$D$5,MATCH($B$5,'Raw Flow Data'!$1:$1,0))*$C$5))),"")</f>
        <v/>
      </c>
      <c r="E95" s="26">
        <f>IFERROR(IF($B$6="","",IF($K$5+ROW()-26&gt;$K$6,"",IF(INDEX('Raw Flow Data'!$A:$ZZ,$K$5+ROW()-26+$D$6,MATCH($B$6,'Raw Flow Data'!$1:$1,0))=-999,"",INDEX('Raw Flow Data'!$A:$ZZ,$K$5+ROW()-26+$D$6,MATCH($B$6,'Raw Flow Data'!$1:$1,0))*$C$6))),"")</f>
        <v/>
      </c>
      <c r="F95" s="26">
        <f>IFERROR(IF($B$7="","",IF($K$5+ROW()-26&gt;$K$6,"",IF(INDEX('Raw Flow Data'!$A:$ZZ,$K$5+ROW()-26+$D$7,MATCH($B$7,'Raw Flow Data'!$1:$1,0))=-999,"",INDEX('Raw Flow Data'!$A:$ZZ,$K$5+ROW()-26+$D$7,MATCH($B$7,'Raw Flow Data'!$1:$1,0))*$C$7))),"")</f>
        <v/>
      </c>
      <c r="G95" s="26">
        <f>IFERROR(IF($B$8="","",IF($K$5+ROW()-26&gt;$K$6,"",IF(INDEX('Raw Flow Data'!$A:$ZZ,$K$5+ROW()-26+$D$8,MATCH($B$8,'Raw Flow Data'!$1:$1,0))=-999,"",INDEX('Raw Flow Data'!$A:$ZZ,$K$5+ROW()-26+$D$8,MATCH($B$8,'Raw Flow Data'!$1:$1,0))*$C$8))),"")</f>
        <v/>
      </c>
      <c r="H95" s="26">
        <f>IFERROR(IF($B$9="","",IF($K$5+ROW()-26&gt;$K$6,"",IF(INDEX('Raw Flow Data'!$A:$ZZ,$K$5+ROW()-26+$D$9,MATCH($B$9,'Raw Flow Data'!$1:$1,0))=-999,"",INDEX('Raw Flow Data'!$A:$ZZ,$K$5+ROW()-26+$D$9,MATCH($B$9,'Raw Flow Data'!$1:$1,0))*$C$9))),"")</f>
        <v/>
      </c>
      <c r="I95" s="26">
        <f>IFERROR(IF($B$10="","",IF($K$5+ROW()-26&gt;$K$6,"",IF(INDEX('Raw Flow Data'!$A:$ZZ,$K$5+ROW()-26+$D$10,MATCH($B$10,'Raw Flow Data'!$1:$1,0))=-999,"",INDEX('Raw Flow Data'!$A:$ZZ,$K$5+ROW()-26+$D$10,MATCH($B$10,'Raw Flow Data'!$1:$1,0))*$C$10))),"")</f>
        <v/>
      </c>
      <c r="J95" s="26">
        <f>IFERROR(IF($B$11="","",IF($K$5+ROW()-26&gt;$K$6,"",IF(INDEX('Raw Flow Data'!$A:$ZZ,$K$5+ROW()-26+$D$11,MATCH($B$11,'Raw Flow Data'!$1:$1,0))=-999,"",INDEX('Raw Flow Data'!$A:$ZZ,$K$5+ROW()-26+$D$11,MATCH($B$11,'Raw Flow Data'!$1:$1,0))*$C$11))),"")</f>
        <v/>
      </c>
      <c r="K95" s="26">
        <f>IFERROR(IF($B$12="","",IF($K$5+ROW()-26&gt;$K$6,"",IF(INDEX('Raw Flow Data'!$A:$ZZ,$K$5+ROW()-26+$D$12,MATCH($B$12,'Raw Flow Data'!$1:$1,0))=-999,"",INDEX('Raw Flow Data'!$A:$ZZ,$K$5+ROW()-26+$D$12,MATCH($B$12,'Raw Flow Data'!$1:$1,0))*$C$12))),"")</f>
        <v/>
      </c>
      <c r="L95" s="26">
        <f>IFERROR(IF($F$3="","",IF($K$5+ROW()-26&gt;$K$6,"",IF(INDEX('Raw Pressure Data'!$A:$ZZ,$K$5+ROW()-26+$H$3,MATCH($F$3,'Raw Pressure Data'!$1:$1,0))=-999,"",INDEX('Raw Pressure Data'!$A:$ZZ,$K$5+ROW()-26+$H$3,MATCH($F$3,'Raw Pressure Data'!$1:$1,0))+$G$3))),"")</f>
        <v/>
      </c>
      <c r="M95" s="26">
        <f>IFERROR(IF($F$4="","",IF($K$5+ROW()-26&gt;$K$6,"",IF(INDEX('Raw Pressure Data'!$A:$ZZ,$K$5+ROW()-26+$H$4,MATCH($F$4,'Raw Pressure Data'!$1:$1,0))=-999,"",INDEX('Raw Pressure Data'!$A:$ZZ,$K$5+ROW()-26+$H$4,MATCH($F$4,'Raw Pressure Data'!$1:$1,0))+$G$4))),"")</f>
        <v/>
      </c>
      <c r="N95" s="26">
        <f>IFERROR(IF($F$5="","",IF($K$5+ROW()-26&gt;$K$6,"",IF(INDEX('Raw Pressure Data'!$A:$ZZ,$K$5+ROW()-26+$H$5,MATCH($F$5,'Raw Pressure Data'!$1:$1,0))=-999,"",INDEX('Raw Pressure Data'!$A:$ZZ,$K$5+ROW()-26+$H$5,MATCH($F$5,'Raw Pressure Data'!$1:$1,0))+$G$5))),"")</f>
        <v/>
      </c>
      <c r="O95" s="26">
        <f>IFERROR(IF($F$6="","",IF($K$5+ROW()-26&gt;$K$6,"",IF(INDEX('Raw Pressure Data'!$A:$ZZ,$K$5+ROW()-26+$H$6,MATCH($F$6,'Raw Pressure Data'!$1:$1,0))=-999,"",INDEX('Raw Pressure Data'!$A:$ZZ,$K$5+ROW()-26+$H$6,MATCH($F$6,'Raw Pressure Data'!$1:$1,0))+$G$6))),"")</f>
        <v/>
      </c>
      <c r="P95" s="26">
        <f>IFERROR(IF($F$7="","",IF($K$5+ROW()-26&gt;$K$6,"",IF(INDEX('Raw Pressure Data'!$A:$ZZ,$K$5+ROW()-26+$H$7,MATCH($F$7,'Raw Pressure Data'!$1:$1,0))=-999,"",INDEX('Raw Pressure Data'!$A:$ZZ,$K$5+ROW()-26+$H$7,MATCH($F$7,'Raw Pressure Data'!$1:$1,0))+$G$7))),"")</f>
        <v/>
      </c>
      <c r="Q95" s="26">
        <f>IFERROR(IF($F$8="","",IF($K$5+ROW()-26&gt;$K$6,"",IF(INDEX('Raw Pressure Data'!$A:$ZZ,$K$5+ROW()-26+$H$8,MATCH($F$8,'Raw Pressure Data'!$1:$1,0))=-999,"",INDEX('Raw Pressure Data'!$A:$ZZ,$K$5+ROW()-26+$H$8,MATCH($F$8,'Raw Pressure Data'!$1:$1,0))+$G$8))),"")</f>
        <v/>
      </c>
      <c r="R95" s="26">
        <f>IFERROR(IF($F$9="","",IF($K$5+ROW()-26&gt;$K$6,"",IF(INDEX('Raw Pressure Data'!$A:$ZZ,$K$5+ROW()-26+$H$9,MATCH($F$9,'Raw Pressure Data'!$1:$1,0))=-999,"",INDEX('Raw Pressure Data'!$A:$ZZ,$K$5+ROW()-26+$H$9,MATCH($F$9,'Raw Pressure Data'!$1:$1,0))+$G$9))),"")</f>
        <v/>
      </c>
      <c r="S95" s="26">
        <f>IFERROR(IF($F$10="","",IF($K$5+ROW()-26&gt;$K$6,"",IF(INDEX('Raw Pressure Data'!$A:$ZZ,$K$5+ROW()-26+$H$10,MATCH($F$10,'Raw Pressure Data'!$1:$1,0))=-999,"",INDEX('Raw Pressure Data'!$A:$ZZ,$K$5+ROW()-26+$H$10,MATCH($F$10,'Raw Pressure Data'!$1:$1,0))+$G$10))),"")</f>
        <v/>
      </c>
      <c r="T95" s="26">
        <f>IFERROR(IF($F$11="","",IF($K$5+ROW()-26&gt;$K$6,"",IF(INDEX('Raw Pressure Data'!$A:$ZZ,$K$5+ROW()-26+$H$11,MATCH($F$11,'Raw Pressure Data'!$1:$1,0))=-999,"",INDEX('Raw Pressure Data'!$A:$ZZ,$K$5+ROW()-26+$H$11,MATCH($F$11,'Raw Pressure Data'!$1:$1,0))+$G$11))),"")</f>
        <v/>
      </c>
      <c r="U95" s="26">
        <f>IFERROR(IF($F$12="","",IF($K$5+ROW()-26&gt;$K$6,"",IF(INDEX('Raw Pressure Data'!$A:$ZZ,$K$5+ROW()-26+$H$12,MATCH($F$12,'Raw Pressure Data'!$1:$1,0))=-999,"",INDEX('Raw Pressure Data'!$A:$ZZ,$K$5+ROW()-26+$H$12,MATCH($F$12,'Raw Pressure Data'!$1:$1,0))+$G$12))),"")</f>
        <v/>
      </c>
      <c r="V95" s="26">
        <f>IFERROR(IF($F$13="","",IF($K$5+ROW()-26&gt;$K$6,"",IF(INDEX('Raw Pressure Data'!$A:$ZZ,$K$5+ROW()-26+$H$13,MATCH($F$13,'Raw Pressure Data'!$1:$1,0))=-999,"",INDEX('Raw Pressure Data'!$A:$ZZ,$K$5+ROW()-26+$H$13,MATCH($F$13,'Raw Pressure Data'!$1:$1,0))+$G$13))),"")</f>
        <v/>
      </c>
      <c r="W95" s="26">
        <f>IFERROR(IF($F$14="","",IF($K$5+ROW()-26&gt;$K$6,"",IF(INDEX('Raw Pressure Data'!$A:$ZZ,$K$5+ROW()-26+$H$14,MATCH($F$14,'Raw Pressure Data'!$1:$1,0))=-999,"",INDEX('Raw Pressure Data'!$A:$ZZ,$K$5+ROW()-26+$H$14,MATCH($F$14,'Raw Pressure Data'!$1:$1,0))+$G$14))),"")</f>
        <v/>
      </c>
      <c r="X95" s="26">
        <f>IFERROR(IF($F$15="","",IF($K$5+ROW()-26&gt;$K$6,"",IF(INDEX('Raw Pressure Data'!$A:$ZZ,$K$5+ROW()-26+$H$15,MATCH($F$15,'Raw Pressure Data'!$1:$1,0))=-999,"",INDEX('Raw Pressure Data'!$A:$ZZ,$K$5+ROW()-26+$H$15,MATCH($F$15,'Raw Pressure Data'!$1:$1,0))+$G$15))),"")</f>
        <v/>
      </c>
      <c r="Y95" s="26">
        <f>IFERROR(IF($F$16="","",IF($K$5+ROW()-26&gt;$K$6,"",IF(INDEX('Raw Pressure Data'!$A:$ZZ,$K$5+ROW()-26+$H$16,MATCH($F$16,'Raw Pressure Data'!$1:$1,0))=-999,"",INDEX('Raw Pressure Data'!$A:$ZZ,$K$5+ROW()-26+$H$16,MATCH($F$16,'Raw Pressure Data'!$1:$1,0))+$G$16))),"")</f>
        <v/>
      </c>
      <c r="Z95" s="26">
        <f>IFERROR(IF($F$17="","",IF($K$5+ROW()-26&gt;$K$6,"",IF(INDEX('Raw Pressure Data'!$A:$ZZ,$K$5+ROW()-26+$H$17,MATCH($F$17,'Raw Pressure Data'!$1:$1,0))=-999,"",INDEX('Raw Pressure Data'!$A:$ZZ,$K$5+ROW()-26+$H$17,MATCH($F$17,'Raw Pressure Data'!$1:$1,0))+$G$17))),"")</f>
        <v/>
      </c>
      <c r="AA95" s="26">
        <f>IFERROR(IF($F$18="","",IF($K$5+ROW()-26&gt;$K$6,"",IF(INDEX('Raw Pressure Data'!$A:$ZZ,$K$5+ROW()-26+$H$18,MATCH($F$18,'Raw Pressure Data'!$1:$1,0))=-999,"",INDEX('Raw Pressure Data'!$A:$ZZ,$K$5+ROW()-26+$H$18,MATCH($F$18,'Raw Pressure Data'!$1:$1,0))+$G$18))),"")</f>
        <v/>
      </c>
      <c r="AB95" s="26">
        <f>IFERROR(IF($F$19="","",IF($K$5+ROW()-26&gt;$K$6,"",IF(INDEX('Raw Pressure Data'!$A:$ZZ,$K$5+ROW()-26+$H$19,MATCH($F$19,'Raw Pressure Data'!$1:$1,0))=-999,"",INDEX('Raw Pressure Data'!$A:$ZZ,$K$5+ROW()-26+$H$19,MATCH($F$19,'Raw Pressure Data'!$1:$1,0))+$G$19))),"")</f>
        <v/>
      </c>
      <c r="AC95" s="26">
        <f>IFERROR(IF($F$20="","",IF($K$5+ROW()-26&gt;$K$6,"",IF(INDEX('Raw Pressure Data'!$A:$ZZ,$K$5+ROW()-26+$H$20,MATCH($F$20,'Raw Pressure Data'!$1:$1,0))=-999,"",INDEX('Raw Pressure Data'!$A:$ZZ,$K$5+ROW()-26+$H$20,MATCH($F$20,'Raw Pressure Data'!$1:$1,0))+$G$20))),"")</f>
        <v/>
      </c>
      <c r="AD95" s="26">
        <f>IFERROR(IF($F$21="","",IF($K$5+ROW()-26&gt;$K$6,"",IF(INDEX('Raw Pressure Data'!$A:$ZZ,$K$5+ROW()-26+$H$21,MATCH($F$21,'Raw Pressure Data'!$1:$1,0))=-999,"",INDEX('Raw Pressure Data'!$A:$ZZ,$K$5+ROW()-26+$H$21,MATCH($F$21,'Raw Pressure Data'!$1:$1,0))+$G$21))),"")</f>
        <v/>
      </c>
      <c r="AE95" s="26">
        <f>IFERROR(IF($F$22="","",IF($K$5+ROW()-26&gt;$K$6,"",IF(INDEX('Raw Pressure Data'!$A:$ZZ,$K$5+ROW()-26+$H$22,MATCH($F$22,'Raw Pressure Data'!$1:$1,0))=-999,"",INDEX('Raw Pressure Data'!$A:$ZZ,$K$5+ROW()-26+$H$22,MATCH($F$22,'Raw Pressure Data'!$1:$1,0))+$G$22))),"")</f>
        <v/>
      </c>
    </row>
    <row r="96" ht="15" customHeight="1">
      <c r="A96" s="23">
        <f>IFERROR(IF($K$5+ROW()-26&gt;$K$6,"",IF(INDEX('Raw Flow Data'!$A:$A,$K$5+ROW()-26)="","",INDEX('Raw Flow Data'!$A:$A,$K$5+ROW()-26))),"")</f>
        <v/>
      </c>
      <c r="B96" s="24">
        <f>IFERROR(IF($B$3="","",IF($K$5+ROW()-26&gt;$K$6,"",IF(INDEX('Raw Flow Data'!$A:$ZZ,$K$5+ROW()-26+$D$3,MATCH($B$3,'Raw Flow Data'!$1:$1,0))=-999,"",INDEX('Raw Flow Data'!$A:$ZZ,$K$5+ROW()-26+$D$3,MATCH($B$3,'Raw Flow Data'!$1:$1,0))*$C$3))),"")</f>
        <v/>
      </c>
      <c r="C96" s="24">
        <f>IFERROR(IF($B$4="","",IF($K$5+ROW()-26&gt;$K$6,"",IF(INDEX('Raw Flow Data'!$A:$ZZ,$K$5+ROW()-26+$D$4,MATCH($B$4,'Raw Flow Data'!$1:$1,0))=-999,"",INDEX('Raw Flow Data'!$A:$ZZ,$K$5+ROW()-26+$D$4,MATCH($B$4,'Raw Flow Data'!$1:$1,0))*$C$4))),"")</f>
        <v/>
      </c>
      <c r="D96" s="24">
        <f>IFERROR(IF($B$5="","",IF($K$5+ROW()-26&gt;$K$6,"",IF(INDEX('Raw Flow Data'!$A:$ZZ,$K$5+ROW()-26+$D$5,MATCH($B$5,'Raw Flow Data'!$1:$1,0))=-999,"",INDEX('Raw Flow Data'!$A:$ZZ,$K$5+ROW()-26+$D$5,MATCH($B$5,'Raw Flow Data'!$1:$1,0))*$C$5))),"")</f>
        <v/>
      </c>
      <c r="E96" s="24">
        <f>IFERROR(IF($B$6="","",IF($K$5+ROW()-26&gt;$K$6,"",IF(INDEX('Raw Flow Data'!$A:$ZZ,$K$5+ROW()-26+$D$6,MATCH($B$6,'Raw Flow Data'!$1:$1,0))=-999,"",INDEX('Raw Flow Data'!$A:$ZZ,$K$5+ROW()-26+$D$6,MATCH($B$6,'Raw Flow Data'!$1:$1,0))*$C$6))),"")</f>
        <v/>
      </c>
      <c r="F96" s="24">
        <f>IFERROR(IF($B$7="","",IF($K$5+ROW()-26&gt;$K$6,"",IF(INDEX('Raw Flow Data'!$A:$ZZ,$K$5+ROW()-26+$D$7,MATCH($B$7,'Raw Flow Data'!$1:$1,0))=-999,"",INDEX('Raw Flow Data'!$A:$ZZ,$K$5+ROW()-26+$D$7,MATCH($B$7,'Raw Flow Data'!$1:$1,0))*$C$7))),"")</f>
        <v/>
      </c>
      <c r="G96" s="24">
        <f>IFERROR(IF($B$8="","",IF($K$5+ROW()-26&gt;$K$6,"",IF(INDEX('Raw Flow Data'!$A:$ZZ,$K$5+ROW()-26+$D$8,MATCH($B$8,'Raw Flow Data'!$1:$1,0))=-999,"",INDEX('Raw Flow Data'!$A:$ZZ,$K$5+ROW()-26+$D$8,MATCH($B$8,'Raw Flow Data'!$1:$1,0))*$C$8))),"")</f>
        <v/>
      </c>
      <c r="H96" s="24">
        <f>IFERROR(IF($B$9="","",IF($K$5+ROW()-26&gt;$K$6,"",IF(INDEX('Raw Flow Data'!$A:$ZZ,$K$5+ROW()-26+$D$9,MATCH($B$9,'Raw Flow Data'!$1:$1,0))=-999,"",INDEX('Raw Flow Data'!$A:$ZZ,$K$5+ROW()-26+$D$9,MATCH($B$9,'Raw Flow Data'!$1:$1,0))*$C$9))),"")</f>
        <v/>
      </c>
      <c r="I96" s="24">
        <f>IFERROR(IF($B$10="","",IF($K$5+ROW()-26&gt;$K$6,"",IF(INDEX('Raw Flow Data'!$A:$ZZ,$K$5+ROW()-26+$D$10,MATCH($B$10,'Raw Flow Data'!$1:$1,0))=-999,"",INDEX('Raw Flow Data'!$A:$ZZ,$K$5+ROW()-26+$D$10,MATCH($B$10,'Raw Flow Data'!$1:$1,0))*$C$10))),"")</f>
        <v/>
      </c>
      <c r="J96" s="24">
        <f>IFERROR(IF($B$11="","",IF($K$5+ROW()-26&gt;$K$6,"",IF(INDEX('Raw Flow Data'!$A:$ZZ,$K$5+ROW()-26+$D$11,MATCH($B$11,'Raw Flow Data'!$1:$1,0))=-999,"",INDEX('Raw Flow Data'!$A:$ZZ,$K$5+ROW()-26+$D$11,MATCH($B$11,'Raw Flow Data'!$1:$1,0))*$C$11))),"")</f>
        <v/>
      </c>
      <c r="K96" s="24">
        <f>IFERROR(IF($B$12="","",IF($K$5+ROW()-26&gt;$K$6,"",IF(INDEX('Raw Flow Data'!$A:$ZZ,$K$5+ROW()-26+$D$12,MATCH($B$12,'Raw Flow Data'!$1:$1,0))=-999,"",INDEX('Raw Flow Data'!$A:$ZZ,$K$5+ROW()-26+$D$12,MATCH($B$12,'Raw Flow Data'!$1:$1,0))*$C$12))),"")</f>
        <v/>
      </c>
      <c r="L96" s="24">
        <f>IFERROR(IF($F$3="","",IF($K$5+ROW()-26&gt;$K$6,"",IF(INDEX('Raw Pressure Data'!$A:$ZZ,$K$5+ROW()-26+$H$3,MATCH($F$3,'Raw Pressure Data'!$1:$1,0))=-999,"",INDEX('Raw Pressure Data'!$A:$ZZ,$K$5+ROW()-26+$H$3,MATCH($F$3,'Raw Pressure Data'!$1:$1,0))+$G$3))),"")</f>
        <v/>
      </c>
      <c r="M96" s="24">
        <f>IFERROR(IF($F$4="","",IF($K$5+ROW()-26&gt;$K$6,"",IF(INDEX('Raw Pressure Data'!$A:$ZZ,$K$5+ROW()-26+$H$4,MATCH($F$4,'Raw Pressure Data'!$1:$1,0))=-999,"",INDEX('Raw Pressure Data'!$A:$ZZ,$K$5+ROW()-26+$H$4,MATCH($F$4,'Raw Pressure Data'!$1:$1,0))+$G$4))),"")</f>
        <v/>
      </c>
      <c r="N96" s="24">
        <f>IFERROR(IF($F$5="","",IF($K$5+ROW()-26&gt;$K$6,"",IF(INDEX('Raw Pressure Data'!$A:$ZZ,$K$5+ROW()-26+$H$5,MATCH($F$5,'Raw Pressure Data'!$1:$1,0))=-999,"",INDEX('Raw Pressure Data'!$A:$ZZ,$K$5+ROW()-26+$H$5,MATCH($F$5,'Raw Pressure Data'!$1:$1,0))+$G$5))),"")</f>
        <v/>
      </c>
      <c r="O96" s="24">
        <f>IFERROR(IF($F$6="","",IF($K$5+ROW()-26&gt;$K$6,"",IF(INDEX('Raw Pressure Data'!$A:$ZZ,$K$5+ROW()-26+$H$6,MATCH($F$6,'Raw Pressure Data'!$1:$1,0))=-999,"",INDEX('Raw Pressure Data'!$A:$ZZ,$K$5+ROW()-26+$H$6,MATCH($F$6,'Raw Pressure Data'!$1:$1,0))+$G$6))),"")</f>
        <v/>
      </c>
      <c r="P96" s="24">
        <f>IFERROR(IF($F$7="","",IF($K$5+ROW()-26&gt;$K$6,"",IF(INDEX('Raw Pressure Data'!$A:$ZZ,$K$5+ROW()-26+$H$7,MATCH($F$7,'Raw Pressure Data'!$1:$1,0))=-999,"",INDEX('Raw Pressure Data'!$A:$ZZ,$K$5+ROW()-26+$H$7,MATCH($F$7,'Raw Pressure Data'!$1:$1,0))+$G$7))),"")</f>
        <v/>
      </c>
      <c r="Q96" s="24">
        <f>IFERROR(IF($F$8="","",IF($K$5+ROW()-26&gt;$K$6,"",IF(INDEX('Raw Pressure Data'!$A:$ZZ,$K$5+ROW()-26+$H$8,MATCH($F$8,'Raw Pressure Data'!$1:$1,0))=-999,"",INDEX('Raw Pressure Data'!$A:$ZZ,$K$5+ROW()-26+$H$8,MATCH($F$8,'Raw Pressure Data'!$1:$1,0))+$G$8))),"")</f>
        <v/>
      </c>
      <c r="R96" s="24">
        <f>IFERROR(IF($F$9="","",IF($K$5+ROW()-26&gt;$K$6,"",IF(INDEX('Raw Pressure Data'!$A:$ZZ,$K$5+ROW()-26+$H$9,MATCH($F$9,'Raw Pressure Data'!$1:$1,0))=-999,"",INDEX('Raw Pressure Data'!$A:$ZZ,$K$5+ROW()-26+$H$9,MATCH($F$9,'Raw Pressure Data'!$1:$1,0))+$G$9))),"")</f>
        <v/>
      </c>
      <c r="S96" s="24">
        <f>IFERROR(IF($F$10="","",IF($K$5+ROW()-26&gt;$K$6,"",IF(INDEX('Raw Pressure Data'!$A:$ZZ,$K$5+ROW()-26+$H$10,MATCH($F$10,'Raw Pressure Data'!$1:$1,0))=-999,"",INDEX('Raw Pressure Data'!$A:$ZZ,$K$5+ROW()-26+$H$10,MATCH($F$10,'Raw Pressure Data'!$1:$1,0))+$G$10))),"")</f>
        <v/>
      </c>
      <c r="T96" s="24">
        <f>IFERROR(IF($F$11="","",IF($K$5+ROW()-26&gt;$K$6,"",IF(INDEX('Raw Pressure Data'!$A:$ZZ,$K$5+ROW()-26+$H$11,MATCH($F$11,'Raw Pressure Data'!$1:$1,0))=-999,"",INDEX('Raw Pressure Data'!$A:$ZZ,$K$5+ROW()-26+$H$11,MATCH($F$11,'Raw Pressure Data'!$1:$1,0))+$G$11))),"")</f>
        <v/>
      </c>
      <c r="U96" s="24">
        <f>IFERROR(IF($F$12="","",IF($K$5+ROW()-26&gt;$K$6,"",IF(INDEX('Raw Pressure Data'!$A:$ZZ,$K$5+ROW()-26+$H$12,MATCH($F$12,'Raw Pressure Data'!$1:$1,0))=-999,"",INDEX('Raw Pressure Data'!$A:$ZZ,$K$5+ROW()-26+$H$12,MATCH($F$12,'Raw Pressure Data'!$1:$1,0))+$G$12))),"")</f>
        <v/>
      </c>
      <c r="V96" s="24">
        <f>IFERROR(IF($F$13="","",IF($K$5+ROW()-26&gt;$K$6,"",IF(INDEX('Raw Pressure Data'!$A:$ZZ,$K$5+ROW()-26+$H$13,MATCH($F$13,'Raw Pressure Data'!$1:$1,0))=-999,"",INDEX('Raw Pressure Data'!$A:$ZZ,$K$5+ROW()-26+$H$13,MATCH($F$13,'Raw Pressure Data'!$1:$1,0))+$G$13))),"")</f>
        <v/>
      </c>
      <c r="W96" s="24">
        <f>IFERROR(IF($F$14="","",IF($K$5+ROW()-26&gt;$K$6,"",IF(INDEX('Raw Pressure Data'!$A:$ZZ,$K$5+ROW()-26+$H$14,MATCH($F$14,'Raw Pressure Data'!$1:$1,0))=-999,"",INDEX('Raw Pressure Data'!$A:$ZZ,$K$5+ROW()-26+$H$14,MATCH($F$14,'Raw Pressure Data'!$1:$1,0))+$G$14))),"")</f>
        <v/>
      </c>
      <c r="X96" s="24">
        <f>IFERROR(IF($F$15="","",IF($K$5+ROW()-26&gt;$K$6,"",IF(INDEX('Raw Pressure Data'!$A:$ZZ,$K$5+ROW()-26+$H$15,MATCH($F$15,'Raw Pressure Data'!$1:$1,0))=-999,"",INDEX('Raw Pressure Data'!$A:$ZZ,$K$5+ROW()-26+$H$15,MATCH($F$15,'Raw Pressure Data'!$1:$1,0))+$G$15))),"")</f>
        <v/>
      </c>
      <c r="Y96" s="24">
        <f>IFERROR(IF($F$16="","",IF($K$5+ROW()-26&gt;$K$6,"",IF(INDEX('Raw Pressure Data'!$A:$ZZ,$K$5+ROW()-26+$H$16,MATCH($F$16,'Raw Pressure Data'!$1:$1,0))=-999,"",INDEX('Raw Pressure Data'!$A:$ZZ,$K$5+ROW()-26+$H$16,MATCH($F$16,'Raw Pressure Data'!$1:$1,0))+$G$16))),"")</f>
        <v/>
      </c>
      <c r="Z96" s="24">
        <f>IFERROR(IF($F$17="","",IF($K$5+ROW()-26&gt;$K$6,"",IF(INDEX('Raw Pressure Data'!$A:$ZZ,$K$5+ROW()-26+$H$17,MATCH($F$17,'Raw Pressure Data'!$1:$1,0))=-999,"",INDEX('Raw Pressure Data'!$A:$ZZ,$K$5+ROW()-26+$H$17,MATCH($F$17,'Raw Pressure Data'!$1:$1,0))+$G$17))),"")</f>
        <v/>
      </c>
      <c r="AA96" s="24">
        <f>IFERROR(IF($F$18="","",IF($K$5+ROW()-26&gt;$K$6,"",IF(INDEX('Raw Pressure Data'!$A:$ZZ,$K$5+ROW()-26+$H$18,MATCH($F$18,'Raw Pressure Data'!$1:$1,0))=-999,"",INDEX('Raw Pressure Data'!$A:$ZZ,$K$5+ROW()-26+$H$18,MATCH($F$18,'Raw Pressure Data'!$1:$1,0))+$G$18))),"")</f>
        <v/>
      </c>
      <c r="AB96" s="24">
        <f>IFERROR(IF($F$19="","",IF($K$5+ROW()-26&gt;$K$6,"",IF(INDEX('Raw Pressure Data'!$A:$ZZ,$K$5+ROW()-26+$H$19,MATCH($F$19,'Raw Pressure Data'!$1:$1,0))=-999,"",INDEX('Raw Pressure Data'!$A:$ZZ,$K$5+ROW()-26+$H$19,MATCH($F$19,'Raw Pressure Data'!$1:$1,0))+$G$19))),"")</f>
        <v/>
      </c>
      <c r="AC96" s="24">
        <f>IFERROR(IF($F$20="","",IF($K$5+ROW()-26&gt;$K$6,"",IF(INDEX('Raw Pressure Data'!$A:$ZZ,$K$5+ROW()-26+$H$20,MATCH($F$20,'Raw Pressure Data'!$1:$1,0))=-999,"",INDEX('Raw Pressure Data'!$A:$ZZ,$K$5+ROW()-26+$H$20,MATCH($F$20,'Raw Pressure Data'!$1:$1,0))+$G$20))),"")</f>
        <v/>
      </c>
      <c r="AD96" s="24">
        <f>IFERROR(IF($F$21="","",IF($K$5+ROW()-26&gt;$K$6,"",IF(INDEX('Raw Pressure Data'!$A:$ZZ,$K$5+ROW()-26+$H$21,MATCH($F$21,'Raw Pressure Data'!$1:$1,0))=-999,"",INDEX('Raw Pressure Data'!$A:$ZZ,$K$5+ROW()-26+$H$21,MATCH($F$21,'Raw Pressure Data'!$1:$1,0))+$G$21))),"")</f>
        <v/>
      </c>
      <c r="AE96" s="24">
        <f>IFERROR(IF($F$22="","",IF($K$5+ROW()-26&gt;$K$6,"",IF(INDEX('Raw Pressure Data'!$A:$ZZ,$K$5+ROW()-26+$H$22,MATCH($F$22,'Raw Pressure Data'!$1:$1,0))=-999,"",INDEX('Raw Pressure Data'!$A:$ZZ,$K$5+ROW()-26+$H$22,MATCH($F$22,'Raw Pressure Data'!$1:$1,0))+$G$22))),"")</f>
        <v/>
      </c>
    </row>
    <row r="97" ht="15" customHeight="1">
      <c r="A97" s="25">
        <f>IFERROR(IF($K$5+ROW()-26&gt;$K$6,"",IF(INDEX('Raw Flow Data'!$A:$A,$K$5+ROW()-26)="","",INDEX('Raw Flow Data'!$A:$A,$K$5+ROW()-26))),"")</f>
        <v/>
      </c>
      <c r="B97" s="26">
        <f>IFERROR(IF($B$3="","",IF($K$5+ROW()-26&gt;$K$6,"",IF(INDEX('Raw Flow Data'!$A:$ZZ,$K$5+ROW()-26+$D$3,MATCH($B$3,'Raw Flow Data'!$1:$1,0))=-999,"",INDEX('Raw Flow Data'!$A:$ZZ,$K$5+ROW()-26+$D$3,MATCH($B$3,'Raw Flow Data'!$1:$1,0))*$C$3))),"")</f>
        <v/>
      </c>
      <c r="C97" s="26">
        <f>IFERROR(IF($B$4="","",IF($K$5+ROW()-26&gt;$K$6,"",IF(INDEX('Raw Flow Data'!$A:$ZZ,$K$5+ROW()-26+$D$4,MATCH($B$4,'Raw Flow Data'!$1:$1,0))=-999,"",INDEX('Raw Flow Data'!$A:$ZZ,$K$5+ROW()-26+$D$4,MATCH($B$4,'Raw Flow Data'!$1:$1,0))*$C$4))),"")</f>
        <v/>
      </c>
      <c r="D97" s="26">
        <f>IFERROR(IF($B$5="","",IF($K$5+ROW()-26&gt;$K$6,"",IF(INDEX('Raw Flow Data'!$A:$ZZ,$K$5+ROW()-26+$D$5,MATCH($B$5,'Raw Flow Data'!$1:$1,0))=-999,"",INDEX('Raw Flow Data'!$A:$ZZ,$K$5+ROW()-26+$D$5,MATCH($B$5,'Raw Flow Data'!$1:$1,0))*$C$5))),"")</f>
        <v/>
      </c>
      <c r="E97" s="26">
        <f>IFERROR(IF($B$6="","",IF($K$5+ROW()-26&gt;$K$6,"",IF(INDEX('Raw Flow Data'!$A:$ZZ,$K$5+ROW()-26+$D$6,MATCH($B$6,'Raw Flow Data'!$1:$1,0))=-999,"",INDEX('Raw Flow Data'!$A:$ZZ,$K$5+ROW()-26+$D$6,MATCH($B$6,'Raw Flow Data'!$1:$1,0))*$C$6))),"")</f>
        <v/>
      </c>
      <c r="F97" s="26">
        <f>IFERROR(IF($B$7="","",IF($K$5+ROW()-26&gt;$K$6,"",IF(INDEX('Raw Flow Data'!$A:$ZZ,$K$5+ROW()-26+$D$7,MATCH($B$7,'Raw Flow Data'!$1:$1,0))=-999,"",INDEX('Raw Flow Data'!$A:$ZZ,$K$5+ROW()-26+$D$7,MATCH($B$7,'Raw Flow Data'!$1:$1,0))*$C$7))),"")</f>
        <v/>
      </c>
      <c r="G97" s="26">
        <f>IFERROR(IF($B$8="","",IF($K$5+ROW()-26&gt;$K$6,"",IF(INDEX('Raw Flow Data'!$A:$ZZ,$K$5+ROW()-26+$D$8,MATCH($B$8,'Raw Flow Data'!$1:$1,0))=-999,"",INDEX('Raw Flow Data'!$A:$ZZ,$K$5+ROW()-26+$D$8,MATCH($B$8,'Raw Flow Data'!$1:$1,0))*$C$8))),"")</f>
        <v/>
      </c>
      <c r="H97" s="26">
        <f>IFERROR(IF($B$9="","",IF($K$5+ROW()-26&gt;$K$6,"",IF(INDEX('Raw Flow Data'!$A:$ZZ,$K$5+ROW()-26+$D$9,MATCH($B$9,'Raw Flow Data'!$1:$1,0))=-999,"",INDEX('Raw Flow Data'!$A:$ZZ,$K$5+ROW()-26+$D$9,MATCH($B$9,'Raw Flow Data'!$1:$1,0))*$C$9))),"")</f>
        <v/>
      </c>
      <c r="I97" s="26">
        <f>IFERROR(IF($B$10="","",IF($K$5+ROW()-26&gt;$K$6,"",IF(INDEX('Raw Flow Data'!$A:$ZZ,$K$5+ROW()-26+$D$10,MATCH($B$10,'Raw Flow Data'!$1:$1,0))=-999,"",INDEX('Raw Flow Data'!$A:$ZZ,$K$5+ROW()-26+$D$10,MATCH($B$10,'Raw Flow Data'!$1:$1,0))*$C$10))),"")</f>
        <v/>
      </c>
      <c r="J97" s="26">
        <f>IFERROR(IF($B$11="","",IF($K$5+ROW()-26&gt;$K$6,"",IF(INDEX('Raw Flow Data'!$A:$ZZ,$K$5+ROW()-26+$D$11,MATCH($B$11,'Raw Flow Data'!$1:$1,0))=-999,"",INDEX('Raw Flow Data'!$A:$ZZ,$K$5+ROW()-26+$D$11,MATCH($B$11,'Raw Flow Data'!$1:$1,0))*$C$11))),"")</f>
        <v/>
      </c>
      <c r="K97" s="26">
        <f>IFERROR(IF($B$12="","",IF($K$5+ROW()-26&gt;$K$6,"",IF(INDEX('Raw Flow Data'!$A:$ZZ,$K$5+ROW()-26+$D$12,MATCH($B$12,'Raw Flow Data'!$1:$1,0))=-999,"",INDEX('Raw Flow Data'!$A:$ZZ,$K$5+ROW()-26+$D$12,MATCH($B$12,'Raw Flow Data'!$1:$1,0))*$C$12))),"")</f>
        <v/>
      </c>
      <c r="L97" s="26">
        <f>IFERROR(IF($F$3="","",IF($K$5+ROW()-26&gt;$K$6,"",IF(INDEX('Raw Pressure Data'!$A:$ZZ,$K$5+ROW()-26+$H$3,MATCH($F$3,'Raw Pressure Data'!$1:$1,0))=-999,"",INDEX('Raw Pressure Data'!$A:$ZZ,$K$5+ROW()-26+$H$3,MATCH($F$3,'Raw Pressure Data'!$1:$1,0))+$G$3))),"")</f>
        <v/>
      </c>
      <c r="M97" s="26">
        <f>IFERROR(IF($F$4="","",IF($K$5+ROW()-26&gt;$K$6,"",IF(INDEX('Raw Pressure Data'!$A:$ZZ,$K$5+ROW()-26+$H$4,MATCH($F$4,'Raw Pressure Data'!$1:$1,0))=-999,"",INDEX('Raw Pressure Data'!$A:$ZZ,$K$5+ROW()-26+$H$4,MATCH($F$4,'Raw Pressure Data'!$1:$1,0))+$G$4))),"")</f>
        <v/>
      </c>
      <c r="N97" s="26">
        <f>IFERROR(IF($F$5="","",IF($K$5+ROW()-26&gt;$K$6,"",IF(INDEX('Raw Pressure Data'!$A:$ZZ,$K$5+ROW()-26+$H$5,MATCH($F$5,'Raw Pressure Data'!$1:$1,0))=-999,"",INDEX('Raw Pressure Data'!$A:$ZZ,$K$5+ROW()-26+$H$5,MATCH($F$5,'Raw Pressure Data'!$1:$1,0))+$G$5))),"")</f>
        <v/>
      </c>
      <c r="O97" s="26">
        <f>IFERROR(IF($F$6="","",IF($K$5+ROW()-26&gt;$K$6,"",IF(INDEX('Raw Pressure Data'!$A:$ZZ,$K$5+ROW()-26+$H$6,MATCH($F$6,'Raw Pressure Data'!$1:$1,0))=-999,"",INDEX('Raw Pressure Data'!$A:$ZZ,$K$5+ROW()-26+$H$6,MATCH($F$6,'Raw Pressure Data'!$1:$1,0))+$G$6))),"")</f>
        <v/>
      </c>
      <c r="P97" s="26">
        <f>IFERROR(IF($F$7="","",IF($K$5+ROW()-26&gt;$K$6,"",IF(INDEX('Raw Pressure Data'!$A:$ZZ,$K$5+ROW()-26+$H$7,MATCH($F$7,'Raw Pressure Data'!$1:$1,0))=-999,"",INDEX('Raw Pressure Data'!$A:$ZZ,$K$5+ROW()-26+$H$7,MATCH($F$7,'Raw Pressure Data'!$1:$1,0))+$G$7))),"")</f>
        <v/>
      </c>
      <c r="Q97" s="26">
        <f>IFERROR(IF($F$8="","",IF($K$5+ROW()-26&gt;$K$6,"",IF(INDEX('Raw Pressure Data'!$A:$ZZ,$K$5+ROW()-26+$H$8,MATCH($F$8,'Raw Pressure Data'!$1:$1,0))=-999,"",INDEX('Raw Pressure Data'!$A:$ZZ,$K$5+ROW()-26+$H$8,MATCH($F$8,'Raw Pressure Data'!$1:$1,0))+$G$8))),"")</f>
        <v/>
      </c>
      <c r="R97" s="26">
        <f>IFERROR(IF($F$9="","",IF($K$5+ROW()-26&gt;$K$6,"",IF(INDEX('Raw Pressure Data'!$A:$ZZ,$K$5+ROW()-26+$H$9,MATCH($F$9,'Raw Pressure Data'!$1:$1,0))=-999,"",INDEX('Raw Pressure Data'!$A:$ZZ,$K$5+ROW()-26+$H$9,MATCH($F$9,'Raw Pressure Data'!$1:$1,0))+$G$9))),"")</f>
        <v/>
      </c>
      <c r="S97" s="26">
        <f>IFERROR(IF($F$10="","",IF($K$5+ROW()-26&gt;$K$6,"",IF(INDEX('Raw Pressure Data'!$A:$ZZ,$K$5+ROW()-26+$H$10,MATCH($F$10,'Raw Pressure Data'!$1:$1,0))=-999,"",INDEX('Raw Pressure Data'!$A:$ZZ,$K$5+ROW()-26+$H$10,MATCH($F$10,'Raw Pressure Data'!$1:$1,0))+$G$10))),"")</f>
        <v/>
      </c>
      <c r="T97" s="26">
        <f>IFERROR(IF($F$11="","",IF($K$5+ROW()-26&gt;$K$6,"",IF(INDEX('Raw Pressure Data'!$A:$ZZ,$K$5+ROW()-26+$H$11,MATCH($F$11,'Raw Pressure Data'!$1:$1,0))=-999,"",INDEX('Raw Pressure Data'!$A:$ZZ,$K$5+ROW()-26+$H$11,MATCH($F$11,'Raw Pressure Data'!$1:$1,0))+$G$11))),"")</f>
        <v/>
      </c>
      <c r="U97" s="26">
        <f>IFERROR(IF($F$12="","",IF($K$5+ROW()-26&gt;$K$6,"",IF(INDEX('Raw Pressure Data'!$A:$ZZ,$K$5+ROW()-26+$H$12,MATCH($F$12,'Raw Pressure Data'!$1:$1,0))=-999,"",INDEX('Raw Pressure Data'!$A:$ZZ,$K$5+ROW()-26+$H$12,MATCH($F$12,'Raw Pressure Data'!$1:$1,0))+$G$12))),"")</f>
        <v/>
      </c>
      <c r="V97" s="26">
        <f>IFERROR(IF($F$13="","",IF($K$5+ROW()-26&gt;$K$6,"",IF(INDEX('Raw Pressure Data'!$A:$ZZ,$K$5+ROW()-26+$H$13,MATCH($F$13,'Raw Pressure Data'!$1:$1,0))=-999,"",INDEX('Raw Pressure Data'!$A:$ZZ,$K$5+ROW()-26+$H$13,MATCH($F$13,'Raw Pressure Data'!$1:$1,0))+$G$13))),"")</f>
        <v/>
      </c>
      <c r="W97" s="26">
        <f>IFERROR(IF($F$14="","",IF($K$5+ROW()-26&gt;$K$6,"",IF(INDEX('Raw Pressure Data'!$A:$ZZ,$K$5+ROW()-26+$H$14,MATCH($F$14,'Raw Pressure Data'!$1:$1,0))=-999,"",INDEX('Raw Pressure Data'!$A:$ZZ,$K$5+ROW()-26+$H$14,MATCH($F$14,'Raw Pressure Data'!$1:$1,0))+$G$14))),"")</f>
        <v/>
      </c>
      <c r="X97" s="26">
        <f>IFERROR(IF($F$15="","",IF($K$5+ROW()-26&gt;$K$6,"",IF(INDEX('Raw Pressure Data'!$A:$ZZ,$K$5+ROW()-26+$H$15,MATCH($F$15,'Raw Pressure Data'!$1:$1,0))=-999,"",INDEX('Raw Pressure Data'!$A:$ZZ,$K$5+ROW()-26+$H$15,MATCH($F$15,'Raw Pressure Data'!$1:$1,0))+$G$15))),"")</f>
        <v/>
      </c>
      <c r="Y97" s="26">
        <f>IFERROR(IF($F$16="","",IF($K$5+ROW()-26&gt;$K$6,"",IF(INDEX('Raw Pressure Data'!$A:$ZZ,$K$5+ROW()-26+$H$16,MATCH($F$16,'Raw Pressure Data'!$1:$1,0))=-999,"",INDEX('Raw Pressure Data'!$A:$ZZ,$K$5+ROW()-26+$H$16,MATCH($F$16,'Raw Pressure Data'!$1:$1,0))+$G$16))),"")</f>
        <v/>
      </c>
      <c r="Z97" s="26">
        <f>IFERROR(IF($F$17="","",IF($K$5+ROW()-26&gt;$K$6,"",IF(INDEX('Raw Pressure Data'!$A:$ZZ,$K$5+ROW()-26+$H$17,MATCH($F$17,'Raw Pressure Data'!$1:$1,0))=-999,"",INDEX('Raw Pressure Data'!$A:$ZZ,$K$5+ROW()-26+$H$17,MATCH($F$17,'Raw Pressure Data'!$1:$1,0))+$G$17))),"")</f>
        <v/>
      </c>
      <c r="AA97" s="26">
        <f>IFERROR(IF($F$18="","",IF($K$5+ROW()-26&gt;$K$6,"",IF(INDEX('Raw Pressure Data'!$A:$ZZ,$K$5+ROW()-26+$H$18,MATCH($F$18,'Raw Pressure Data'!$1:$1,0))=-999,"",INDEX('Raw Pressure Data'!$A:$ZZ,$K$5+ROW()-26+$H$18,MATCH($F$18,'Raw Pressure Data'!$1:$1,0))+$G$18))),"")</f>
        <v/>
      </c>
      <c r="AB97" s="26">
        <f>IFERROR(IF($F$19="","",IF($K$5+ROW()-26&gt;$K$6,"",IF(INDEX('Raw Pressure Data'!$A:$ZZ,$K$5+ROW()-26+$H$19,MATCH($F$19,'Raw Pressure Data'!$1:$1,0))=-999,"",INDEX('Raw Pressure Data'!$A:$ZZ,$K$5+ROW()-26+$H$19,MATCH($F$19,'Raw Pressure Data'!$1:$1,0))+$G$19))),"")</f>
        <v/>
      </c>
      <c r="AC97" s="26">
        <f>IFERROR(IF($F$20="","",IF($K$5+ROW()-26&gt;$K$6,"",IF(INDEX('Raw Pressure Data'!$A:$ZZ,$K$5+ROW()-26+$H$20,MATCH($F$20,'Raw Pressure Data'!$1:$1,0))=-999,"",INDEX('Raw Pressure Data'!$A:$ZZ,$K$5+ROW()-26+$H$20,MATCH($F$20,'Raw Pressure Data'!$1:$1,0))+$G$20))),"")</f>
        <v/>
      </c>
      <c r="AD97" s="26">
        <f>IFERROR(IF($F$21="","",IF($K$5+ROW()-26&gt;$K$6,"",IF(INDEX('Raw Pressure Data'!$A:$ZZ,$K$5+ROW()-26+$H$21,MATCH($F$21,'Raw Pressure Data'!$1:$1,0))=-999,"",INDEX('Raw Pressure Data'!$A:$ZZ,$K$5+ROW()-26+$H$21,MATCH($F$21,'Raw Pressure Data'!$1:$1,0))+$G$21))),"")</f>
        <v/>
      </c>
      <c r="AE97" s="26">
        <f>IFERROR(IF($F$22="","",IF($K$5+ROW()-26&gt;$K$6,"",IF(INDEX('Raw Pressure Data'!$A:$ZZ,$K$5+ROW()-26+$H$22,MATCH($F$22,'Raw Pressure Data'!$1:$1,0))=-999,"",INDEX('Raw Pressure Data'!$A:$ZZ,$K$5+ROW()-26+$H$22,MATCH($F$22,'Raw Pressure Data'!$1:$1,0))+$G$22))),"")</f>
        <v/>
      </c>
    </row>
    <row r="98" ht="15" customHeight="1">
      <c r="A98" s="23">
        <f>IFERROR(IF($K$5+ROW()-26&gt;$K$6,"",IF(INDEX('Raw Flow Data'!$A:$A,$K$5+ROW()-26)="","",INDEX('Raw Flow Data'!$A:$A,$K$5+ROW()-26))),"")</f>
        <v/>
      </c>
      <c r="B98" s="24">
        <f>IFERROR(IF($B$3="","",IF($K$5+ROW()-26&gt;$K$6,"",IF(INDEX('Raw Flow Data'!$A:$ZZ,$K$5+ROW()-26+$D$3,MATCH($B$3,'Raw Flow Data'!$1:$1,0))=-999,"",INDEX('Raw Flow Data'!$A:$ZZ,$K$5+ROW()-26+$D$3,MATCH($B$3,'Raw Flow Data'!$1:$1,0))*$C$3))),"")</f>
        <v/>
      </c>
      <c r="C98" s="24">
        <f>IFERROR(IF($B$4="","",IF($K$5+ROW()-26&gt;$K$6,"",IF(INDEX('Raw Flow Data'!$A:$ZZ,$K$5+ROW()-26+$D$4,MATCH($B$4,'Raw Flow Data'!$1:$1,0))=-999,"",INDEX('Raw Flow Data'!$A:$ZZ,$K$5+ROW()-26+$D$4,MATCH($B$4,'Raw Flow Data'!$1:$1,0))*$C$4))),"")</f>
        <v/>
      </c>
      <c r="D98" s="24">
        <f>IFERROR(IF($B$5="","",IF($K$5+ROW()-26&gt;$K$6,"",IF(INDEX('Raw Flow Data'!$A:$ZZ,$K$5+ROW()-26+$D$5,MATCH($B$5,'Raw Flow Data'!$1:$1,0))=-999,"",INDEX('Raw Flow Data'!$A:$ZZ,$K$5+ROW()-26+$D$5,MATCH($B$5,'Raw Flow Data'!$1:$1,0))*$C$5))),"")</f>
        <v/>
      </c>
      <c r="E98" s="24">
        <f>IFERROR(IF($B$6="","",IF($K$5+ROW()-26&gt;$K$6,"",IF(INDEX('Raw Flow Data'!$A:$ZZ,$K$5+ROW()-26+$D$6,MATCH($B$6,'Raw Flow Data'!$1:$1,0))=-999,"",INDEX('Raw Flow Data'!$A:$ZZ,$K$5+ROW()-26+$D$6,MATCH($B$6,'Raw Flow Data'!$1:$1,0))*$C$6))),"")</f>
        <v/>
      </c>
      <c r="F98" s="24">
        <f>IFERROR(IF($B$7="","",IF($K$5+ROW()-26&gt;$K$6,"",IF(INDEX('Raw Flow Data'!$A:$ZZ,$K$5+ROW()-26+$D$7,MATCH($B$7,'Raw Flow Data'!$1:$1,0))=-999,"",INDEX('Raw Flow Data'!$A:$ZZ,$K$5+ROW()-26+$D$7,MATCH($B$7,'Raw Flow Data'!$1:$1,0))*$C$7))),"")</f>
        <v/>
      </c>
      <c r="G98" s="24">
        <f>IFERROR(IF($B$8="","",IF($K$5+ROW()-26&gt;$K$6,"",IF(INDEX('Raw Flow Data'!$A:$ZZ,$K$5+ROW()-26+$D$8,MATCH($B$8,'Raw Flow Data'!$1:$1,0))=-999,"",INDEX('Raw Flow Data'!$A:$ZZ,$K$5+ROW()-26+$D$8,MATCH($B$8,'Raw Flow Data'!$1:$1,0))*$C$8))),"")</f>
        <v/>
      </c>
      <c r="H98" s="24">
        <f>IFERROR(IF($B$9="","",IF($K$5+ROW()-26&gt;$K$6,"",IF(INDEX('Raw Flow Data'!$A:$ZZ,$K$5+ROW()-26+$D$9,MATCH($B$9,'Raw Flow Data'!$1:$1,0))=-999,"",INDEX('Raw Flow Data'!$A:$ZZ,$K$5+ROW()-26+$D$9,MATCH($B$9,'Raw Flow Data'!$1:$1,0))*$C$9))),"")</f>
        <v/>
      </c>
      <c r="I98" s="24">
        <f>IFERROR(IF($B$10="","",IF($K$5+ROW()-26&gt;$K$6,"",IF(INDEX('Raw Flow Data'!$A:$ZZ,$K$5+ROW()-26+$D$10,MATCH($B$10,'Raw Flow Data'!$1:$1,0))=-999,"",INDEX('Raw Flow Data'!$A:$ZZ,$K$5+ROW()-26+$D$10,MATCH($B$10,'Raw Flow Data'!$1:$1,0))*$C$10))),"")</f>
        <v/>
      </c>
      <c r="J98" s="24">
        <f>IFERROR(IF($B$11="","",IF($K$5+ROW()-26&gt;$K$6,"",IF(INDEX('Raw Flow Data'!$A:$ZZ,$K$5+ROW()-26+$D$11,MATCH($B$11,'Raw Flow Data'!$1:$1,0))=-999,"",INDEX('Raw Flow Data'!$A:$ZZ,$K$5+ROW()-26+$D$11,MATCH($B$11,'Raw Flow Data'!$1:$1,0))*$C$11))),"")</f>
        <v/>
      </c>
      <c r="K98" s="24">
        <f>IFERROR(IF($B$12="","",IF($K$5+ROW()-26&gt;$K$6,"",IF(INDEX('Raw Flow Data'!$A:$ZZ,$K$5+ROW()-26+$D$12,MATCH($B$12,'Raw Flow Data'!$1:$1,0))=-999,"",INDEX('Raw Flow Data'!$A:$ZZ,$K$5+ROW()-26+$D$12,MATCH($B$12,'Raw Flow Data'!$1:$1,0))*$C$12))),"")</f>
        <v/>
      </c>
      <c r="L98" s="24">
        <f>IFERROR(IF($F$3="","",IF($K$5+ROW()-26&gt;$K$6,"",IF(INDEX('Raw Pressure Data'!$A:$ZZ,$K$5+ROW()-26+$H$3,MATCH($F$3,'Raw Pressure Data'!$1:$1,0))=-999,"",INDEX('Raw Pressure Data'!$A:$ZZ,$K$5+ROW()-26+$H$3,MATCH($F$3,'Raw Pressure Data'!$1:$1,0))+$G$3))),"")</f>
        <v/>
      </c>
      <c r="M98" s="24">
        <f>IFERROR(IF($F$4="","",IF($K$5+ROW()-26&gt;$K$6,"",IF(INDEX('Raw Pressure Data'!$A:$ZZ,$K$5+ROW()-26+$H$4,MATCH($F$4,'Raw Pressure Data'!$1:$1,0))=-999,"",INDEX('Raw Pressure Data'!$A:$ZZ,$K$5+ROW()-26+$H$4,MATCH($F$4,'Raw Pressure Data'!$1:$1,0))+$G$4))),"")</f>
        <v/>
      </c>
      <c r="N98" s="24">
        <f>IFERROR(IF($F$5="","",IF($K$5+ROW()-26&gt;$K$6,"",IF(INDEX('Raw Pressure Data'!$A:$ZZ,$K$5+ROW()-26+$H$5,MATCH($F$5,'Raw Pressure Data'!$1:$1,0))=-999,"",INDEX('Raw Pressure Data'!$A:$ZZ,$K$5+ROW()-26+$H$5,MATCH($F$5,'Raw Pressure Data'!$1:$1,0))+$G$5))),"")</f>
        <v/>
      </c>
      <c r="O98" s="24">
        <f>IFERROR(IF($F$6="","",IF($K$5+ROW()-26&gt;$K$6,"",IF(INDEX('Raw Pressure Data'!$A:$ZZ,$K$5+ROW()-26+$H$6,MATCH($F$6,'Raw Pressure Data'!$1:$1,0))=-999,"",INDEX('Raw Pressure Data'!$A:$ZZ,$K$5+ROW()-26+$H$6,MATCH($F$6,'Raw Pressure Data'!$1:$1,0))+$G$6))),"")</f>
        <v/>
      </c>
      <c r="P98" s="24">
        <f>IFERROR(IF($F$7="","",IF($K$5+ROW()-26&gt;$K$6,"",IF(INDEX('Raw Pressure Data'!$A:$ZZ,$K$5+ROW()-26+$H$7,MATCH($F$7,'Raw Pressure Data'!$1:$1,0))=-999,"",INDEX('Raw Pressure Data'!$A:$ZZ,$K$5+ROW()-26+$H$7,MATCH($F$7,'Raw Pressure Data'!$1:$1,0))+$G$7))),"")</f>
        <v/>
      </c>
      <c r="Q98" s="24">
        <f>IFERROR(IF($F$8="","",IF($K$5+ROW()-26&gt;$K$6,"",IF(INDEX('Raw Pressure Data'!$A:$ZZ,$K$5+ROW()-26+$H$8,MATCH($F$8,'Raw Pressure Data'!$1:$1,0))=-999,"",INDEX('Raw Pressure Data'!$A:$ZZ,$K$5+ROW()-26+$H$8,MATCH($F$8,'Raw Pressure Data'!$1:$1,0))+$G$8))),"")</f>
        <v/>
      </c>
      <c r="R98" s="24">
        <f>IFERROR(IF($F$9="","",IF($K$5+ROW()-26&gt;$K$6,"",IF(INDEX('Raw Pressure Data'!$A:$ZZ,$K$5+ROW()-26+$H$9,MATCH($F$9,'Raw Pressure Data'!$1:$1,0))=-999,"",INDEX('Raw Pressure Data'!$A:$ZZ,$K$5+ROW()-26+$H$9,MATCH($F$9,'Raw Pressure Data'!$1:$1,0))+$G$9))),"")</f>
        <v/>
      </c>
      <c r="S98" s="24">
        <f>IFERROR(IF($F$10="","",IF($K$5+ROW()-26&gt;$K$6,"",IF(INDEX('Raw Pressure Data'!$A:$ZZ,$K$5+ROW()-26+$H$10,MATCH($F$10,'Raw Pressure Data'!$1:$1,0))=-999,"",INDEX('Raw Pressure Data'!$A:$ZZ,$K$5+ROW()-26+$H$10,MATCH($F$10,'Raw Pressure Data'!$1:$1,0))+$G$10))),"")</f>
        <v/>
      </c>
      <c r="T98" s="24">
        <f>IFERROR(IF($F$11="","",IF($K$5+ROW()-26&gt;$K$6,"",IF(INDEX('Raw Pressure Data'!$A:$ZZ,$K$5+ROW()-26+$H$11,MATCH($F$11,'Raw Pressure Data'!$1:$1,0))=-999,"",INDEX('Raw Pressure Data'!$A:$ZZ,$K$5+ROW()-26+$H$11,MATCH($F$11,'Raw Pressure Data'!$1:$1,0))+$G$11))),"")</f>
        <v/>
      </c>
      <c r="U98" s="24">
        <f>IFERROR(IF($F$12="","",IF($K$5+ROW()-26&gt;$K$6,"",IF(INDEX('Raw Pressure Data'!$A:$ZZ,$K$5+ROW()-26+$H$12,MATCH($F$12,'Raw Pressure Data'!$1:$1,0))=-999,"",INDEX('Raw Pressure Data'!$A:$ZZ,$K$5+ROW()-26+$H$12,MATCH($F$12,'Raw Pressure Data'!$1:$1,0))+$G$12))),"")</f>
        <v/>
      </c>
      <c r="V98" s="24">
        <f>IFERROR(IF($F$13="","",IF($K$5+ROW()-26&gt;$K$6,"",IF(INDEX('Raw Pressure Data'!$A:$ZZ,$K$5+ROW()-26+$H$13,MATCH($F$13,'Raw Pressure Data'!$1:$1,0))=-999,"",INDEX('Raw Pressure Data'!$A:$ZZ,$K$5+ROW()-26+$H$13,MATCH($F$13,'Raw Pressure Data'!$1:$1,0))+$G$13))),"")</f>
        <v/>
      </c>
      <c r="W98" s="24">
        <f>IFERROR(IF($F$14="","",IF($K$5+ROW()-26&gt;$K$6,"",IF(INDEX('Raw Pressure Data'!$A:$ZZ,$K$5+ROW()-26+$H$14,MATCH($F$14,'Raw Pressure Data'!$1:$1,0))=-999,"",INDEX('Raw Pressure Data'!$A:$ZZ,$K$5+ROW()-26+$H$14,MATCH($F$14,'Raw Pressure Data'!$1:$1,0))+$G$14))),"")</f>
        <v/>
      </c>
      <c r="X98" s="24">
        <f>IFERROR(IF($F$15="","",IF($K$5+ROW()-26&gt;$K$6,"",IF(INDEX('Raw Pressure Data'!$A:$ZZ,$K$5+ROW()-26+$H$15,MATCH($F$15,'Raw Pressure Data'!$1:$1,0))=-999,"",INDEX('Raw Pressure Data'!$A:$ZZ,$K$5+ROW()-26+$H$15,MATCH($F$15,'Raw Pressure Data'!$1:$1,0))+$G$15))),"")</f>
        <v/>
      </c>
      <c r="Y98" s="24">
        <f>IFERROR(IF($F$16="","",IF($K$5+ROW()-26&gt;$K$6,"",IF(INDEX('Raw Pressure Data'!$A:$ZZ,$K$5+ROW()-26+$H$16,MATCH($F$16,'Raw Pressure Data'!$1:$1,0))=-999,"",INDEX('Raw Pressure Data'!$A:$ZZ,$K$5+ROW()-26+$H$16,MATCH($F$16,'Raw Pressure Data'!$1:$1,0))+$G$16))),"")</f>
        <v/>
      </c>
      <c r="Z98" s="24">
        <f>IFERROR(IF($F$17="","",IF($K$5+ROW()-26&gt;$K$6,"",IF(INDEX('Raw Pressure Data'!$A:$ZZ,$K$5+ROW()-26+$H$17,MATCH($F$17,'Raw Pressure Data'!$1:$1,0))=-999,"",INDEX('Raw Pressure Data'!$A:$ZZ,$K$5+ROW()-26+$H$17,MATCH($F$17,'Raw Pressure Data'!$1:$1,0))+$G$17))),"")</f>
        <v/>
      </c>
      <c r="AA98" s="24">
        <f>IFERROR(IF($F$18="","",IF($K$5+ROW()-26&gt;$K$6,"",IF(INDEX('Raw Pressure Data'!$A:$ZZ,$K$5+ROW()-26+$H$18,MATCH($F$18,'Raw Pressure Data'!$1:$1,0))=-999,"",INDEX('Raw Pressure Data'!$A:$ZZ,$K$5+ROW()-26+$H$18,MATCH($F$18,'Raw Pressure Data'!$1:$1,0))+$G$18))),"")</f>
        <v/>
      </c>
      <c r="AB98" s="24">
        <f>IFERROR(IF($F$19="","",IF($K$5+ROW()-26&gt;$K$6,"",IF(INDEX('Raw Pressure Data'!$A:$ZZ,$K$5+ROW()-26+$H$19,MATCH($F$19,'Raw Pressure Data'!$1:$1,0))=-999,"",INDEX('Raw Pressure Data'!$A:$ZZ,$K$5+ROW()-26+$H$19,MATCH($F$19,'Raw Pressure Data'!$1:$1,0))+$G$19))),"")</f>
        <v/>
      </c>
      <c r="AC98" s="24">
        <f>IFERROR(IF($F$20="","",IF($K$5+ROW()-26&gt;$K$6,"",IF(INDEX('Raw Pressure Data'!$A:$ZZ,$K$5+ROW()-26+$H$20,MATCH($F$20,'Raw Pressure Data'!$1:$1,0))=-999,"",INDEX('Raw Pressure Data'!$A:$ZZ,$K$5+ROW()-26+$H$20,MATCH($F$20,'Raw Pressure Data'!$1:$1,0))+$G$20))),"")</f>
        <v/>
      </c>
      <c r="AD98" s="24">
        <f>IFERROR(IF($F$21="","",IF($K$5+ROW()-26&gt;$K$6,"",IF(INDEX('Raw Pressure Data'!$A:$ZZ,$K$5+ROW()-26+$H$21,MATCH($F$21,'Raw Pressure Data'!$1:$1,0))=-999,"",INDEX('Raw Pressure Data'!$A:$ZZ,$K$5+ROW()-26+$H$21,MATCH($F$21,'Raw Pressure Data'!$1:$1,0))+$G$21))),"")</f>
        <v/>
      </c>
      <c r="AE98" s="24">
        <f>IFERROR(IF($F$22="","",IF($K$5+ROW()-26&gt;$K$6,"",IF(INDEX('Raw Pressure Data'!$A:$ZZ,$K$5+ROW()-26+$H$22,MATCH($F$22,'Raw Pressure Data'!$1:$1,0))=-999,"",INDEX('Raw Pressure Data'!$A:$ZZ,$K$5+ROW()-26+$H$22,MATCH($F$22,'Raw Pressure Data'!$1:$1,0))+$G$22))),"")</f>
        <v/>
      </c>
    </row>
    <row r="99" ht="15" customHeight="1">
      <c r="A99" s="25">
        <f>IFERROR(IF($K$5+ROW()-26&gt;$K$6,"",IF(INDEX('Raw Flow Data'!$A:$A,$K$5+ROW()-26)="","",INDEX('Raw Flow Data'!$A:$A,$K$5+ROW()-26))),"")</f>
        <v/>
      </c>
      <c r="B99" s="26">
        <f>IFERROR(IF($B$3="","",IF($K$5+ROW()-26&gt;$K$6,"",IF(INDEX('Raw Flow Data'!$A:$ZZ,$K$5+ROW()-26+$D$3,MATCH($B$3,'Raw Flow Data'!$1:$1,0))=-999,"",INDEX('Raw Flow Data'!$A:$ZZ,$K$5+ROW()-26+$D$3,MATCH($B$3,'Raw Flow Data'!$1:$1,0))*$C$3))),"")</f>
        <v/>
      </c>
      <c r="C99" s="26">
        <f>IFERROR(IF($B$4="","",IF($K$5+ROW()-26&gt;$K$6,"",IF(INDEX('Raw Flow Data'!$A:$ZZ,$K$5+ROW()-26+$D$4,MATCH($B$4,'Raw Flow Data'!$1:$1,0))=-999,"",INDEX('Raw Flow Data'!$A:$ZZ,$K$5+ROW()-26+$D$4,MATCH($B$4,'Raw Flow Data'!$1:$1,0))*$C$4))),"")</f>
        <v/>
      </c>
      <c r="D99" s="26">
        <f>IFERROR(IF($B$5="","",IF($K$5+ROW()-26&gt;$K$6,"",IF(INDEX('Raw Flow Data'!$A:$ZZ,$K$5+ROW()-26+$D$5,MATCH($B$5,'Raw Flow Data'!$1:$1,0))=-999,"",INDEX('Raw Flow Data'!$A:$ZZ,$K$5+ROW()-26+$D$5,MATCH($B$5,'Raw Flow Data'!$1:$1,0))*$C$5))),"")</f>
        <v/>
      </c>
      <c r="E99" s="26">
        <f>IFERROR(IF($B$6="","",IF($K$5+ROW()-26&gt;$K$6,"",IF(INDEX('Raw Flow Data'!$A:$ZZ,$K$5+ROW()-26+$D$6,MATCH($B$6,'Raw Flow Data'!$1:$1,0))=-999,"",INDEX('Raw Flow Data'!$A:$ZZ,$K$5+ROW()-26+$D$6,MATCH($B$6,'Raw Flow Data'!$1:$1,0))*$C$6))),"")</f>
        <v/>
      </c>
      <c r="F99" s="26">
        <f>IFERROR(IF($B$7="","",IF($K$5+ROW()-26&gt;$K$6,"",IF(INDEX('Raw Flow Data'!$A:$ZZ,$K$5+ROW()-26+$D$7,MATCH($B$7,'Raw Flow Data'!$1:$1,0))=-999,"",INDEX('Raw Flow Data'!$A:$ZZ,$K$5+ROW()-26+$D$7,MATCH($B$7,'Raw Flow Data'!$1:$1,0))*$C$7))),"")</f>
        <v/>
      </c>
      <c r="G99" s="26">
        <f>IFERROR(IF($B$8="","",IF($K$5+ROW()-26&gt;$K$6,"",IF(INDEX('Raw Flow Data'!$A:$ZZ,$K$5+ROW()-26+$D$8,MATCH($B$8,'Raw Flow Data'!$1:$1,0))=-999,"",INDEX('Raw Flow Data'!$A:$ZZ,$K$5+ROW()-26+$D$8,MATCH($B$8,'Raw Flow Data'!$1:$1,0))*$C$8))),"")</f>
        <v/>
      </c>
      <c r="H99" s="26">
        <f>IFERROR(IF($B$9="","",IF($K$5+ROW()-26&gt;$K$6,"",IF(INDEX('Raw Flow Data'!$A:$ZZ,$K$5+ROW()-26+$D$9,MATCH($B$9,'Raw Flow Data'!$1:$1,0))=-999,"",INDEX('Raw Flow Data'!$A:$ZZ,$K$5+ROW()-26+$D$9,MATCH($B$9,'Raw Flow Data'!$1:$1,0))*$C$9))),"")</f>
        <v/>
      </c>
      <c r="I99" s="26">
        <f>IFERROR(IF($B$10="","",IF($K$5+ROW()-26&gt;$K$6,"",IF(INDEX('Raw Flow Data'!$A:$ZZ,$K$5+ROW()-26+$D$10,MATCH($B$10,'Raw Flow Data'!$1:$1,0))=-999,"",INDEX('Raw Flow Data'!$A:$ZZ,$K$5+ROW()-26+$D$10,MATCH($B$10,'Raw Flow Data'!$1:$1,0))*$C$10))),"")</f>
        <v/>
      </c>
      <c r="J99" s="26">
        <f>IFERROR(IF($B$11="","",IF($K$5+ROW()-26&gt;$K$6,"",IF(INDEX('Raw Flow Data'!$A:$ZZ,$K$5+ROW()-26+$D$11,MATCH($B$11,'Raw Flow Data'!$1:$1,0))=-999,"",INDEX('Raw Flow Data'!$A:$ZZ,$K$5+ROW()-26+$D$11,MATCH($B$11,'Raw Flow Data'!$1:$1,0))*$C$11))),"")</f>
        <v/>
      </c>
      <c r="K99" s="26">
        <f>IFERROR(IF($B$12="","",IF($K$5+ROW()-26&gt;$K$6,"",IF(INDEX('Raw Flow Data'!$A:$ZZ,$K$5+ROW()-26+$D$12,MATCH($B$12,'Raw Flow Data'!$1:$1,0))=-999,"",INDEX('Raw Flow Data'!$A:$ZZ,$K$5+ROW()-26+$D$12,MATCH($B$12,'Raw Flow Data'!$1:$1,0))*$C$12))),"")</f>
        <v/>
      </c>
      <c r="L99" s="26">
        <f>IFERROR(IF($F$3="","",IF($K$5+ROW()-26&gt;$K$6,"",IF(INDEX('Raw Pressure Data'!$A:$ZZ,$K$5+ROW()-26+$H$3,MATCH($F$3,'Raw Pressure Data'!$1:$1,0))=-999,"",INDEX('Raw Pressure Data'!$A:$ZZ,$K$5+ROW()-26+$H$3,MATCH($F$3,'Raw Pressure Data'!$1:$1,0))+$G$3))),"")</f>
        <v/>
      </c>
      <c r="M99" s="26">
        <f>IFERROR(IF($F$4="","",IF($K$5+ROW()-26&gt;$K$6,"",IF(INDEX('Raw Pressure Data'!$A:$ZZ,$K$5+ROW()-26+$H$4,MATCH($F$4,'Raw Pressure Data'!$1:$1,0))=-999,"",INDEX('Raw Pressure Data'!$A:$ZZ,$K$5+ROW()-26+$H$4,MATCH($F$4,'Raw Pressure Data'!$1:$1,0))+$G$4))),"")</f>
        <v/>
      </c>
      <c r="N99" s="26">
        <f>IFERROR(IF($F$5="","",IF($K$5+ROW()-26&gt;$K$6,"",IF(INDEX('Raw Pressure Data'!$A:$ZZ,$K$5+ROW()-26+$H$5,MATCH($F$5,'Raw Pressure Data'!$1:$1,0))=-999,"",INDEX('Raw Pressure Data'!$A:$ZZ,$K$5+ROW()-26+$H$5,MATCH($F$5,'Raw Pressure Data'!$1:$1,0))+$G$5))),"")</f>
        <v/>
      </c>
      <c r="O99" s="26">
        <f>IFERROR(IF($F$6="","",IF($K$5+ROW()-26&gt;$K$6,"",IF(INDEX('Raw Pressure Data'!$A:$ZZ,$K$5+ROW()-26+$H$6,MATCH($F$6,'Raw Pressure Data'!$1:$1,0))=-999,"",INDEX('Raw Pressure Data'!$A:$ZZ,$K$5+ROW()-26+$H$6,MATCH($F$6,'Raw Pressure Data'!$1:$1,0))+$G$6))),"")</f>
        <v/>
      </c>
      <c r="P99" s="26">
        <f>IFERROR(IF($F$7="","",IF($K$5+ROW()-26&gt;$K$6,"",IF(INDEX('Raw Pressure Data'!$A:$ZZ,$K$5+ROW()-26+$H$7,MATCH($F$7,'Raw Pressure Data'!$1:$1,0))=-999,"",INDEX('Raw Pressure Data'!$A:$ZZ,$K$5+ROW()-26+$H$7,MATCH($F$7,'Raw Pressure Data'!$1:$1,0))+$G$7))),"")</f>
        <v/>
      </c>
      <c r="Q99" s="26">
        <f>IFERROR(IF($F$8="","",IF($K$5+ROW()-26&gt;$K$6,"",IF(INDEX('Raw Pressure Data'!$A:$ZZ,$K$5+ROW()-26+$H$8,MATCH($F$8,'Raw Pressure Data'!$1:$1,0))=-999,"",INDEX('Raw Pressure Data'!$A:$ZZ,$K$5+ROW()-26+$H$8,MATCH($F$8,'Raw Pressure Data'!$1:$1,0))+$G$8))),"")</f>
        <v/>
      </c>
      <c r="R99" s="26">
        <f>IFERROR(IF($F$9="","",IF($K$5+ROW()-26&gt;$K$6,"",IF(INDEX('Raw Pressure Data'!$A:$ZZ,$K$5+ROW()-26+$H$9,MATCH($F$9,'Raw Pressure Data'!$1:$1,0))=-999,"",INDEX('Raw Pressure Data'!$A:$ZZ,$K$5+ROW()-26+$H$9,MATCH($F$9,'Raw Pressure Data'!$1:$1,0))+$G$9))),"")</f>
        <v/>
      </c>
      <c r="S99" s="26">
        <f>IFERROR(IF($F$10="","",IF($K$5+ROW()-26&gt;$K$6,"",IF(INDEX('Raw Pressure Data'!$A:$ZZ,$K$5+ROW()-26+$H$10,MATCH($F$10,'Raw Pressure Data'!$1:$1,0))=-999,"",INDEX('Raw Pressure Data'!$A:$ZZ,$K$5+ROW()-26+$H$10,MATCH($F$10,'Raw Pressure Data'!$1:$1,0))+$G$10))),"")</f>
        <v/>
      </c>
      <c r="T99" s="26">
        <f>IFERROR(IF($F$11="","",IF($K$5+ROW()-26&gt;$K$6,"",IF(INDEX('Raw Pressure Data'!$A:$ZZ,$K$5+ROW()-26+$H$11,MATCH($F$11,'Raw Pressure Data'!$1:$1,0))=-999,"",INDEX('Raw Pressure Data'!$A:$ZZ,$K$5+ROW()-26+$H$11,MATCH($F$11,'Raw Pressure Data'!$1:$1,0))+$G$11))),"")</f>
        <v/>
      </c>
      <c r="U99" s="26">
        <f>IFERROR(IF($F$12="","",IF($K$5+ROW()-26&gt;$K$6,"",IF(INDEX('Raw Pressure Data'!$A:$ZZ,$K$5+ROW()-26+$H$12,MATCH($F$12,'Raw Pressure Data'!$1:$1,0))=-999,"",INDEX('Raw Pressure Data'!$A:$ZZ,$K$5+ROW()-26+$H$12,MATCH($F$12,'Raw Pressure Data'!$1:$1,0))+$G$12))),"")</f>
        <v/>
      </c>
      <c r="V99" s="26">
        <f>IFERROR(IF($F$13="","",IF($K$5+ROW()-26&gt;$K$6,"",IF(INDEX('Raw Pressure Data'!$A:$ZZ,$K$5+ROW()-26+$H$13,MATCH($F$13,'Raw Pressure Data'!$1:$1,0))=-999,"",INDEX('Raw Pressure Data'!$A:$ZZ,$K$5+ROW()-26+$H$13,MATCH($F$13,'Raw Pressure Data'!$1:$1,0))+$G$13))),"")</f>
        <v/>
      </c>
      <c r="W99" s="26">
        <f>IFERROR(IF($F$14="","",IF($K$5+ROW()-26&gt;$K$6,"",IF(INDEX('Raw Pressure Data'!$A:$ZZ,$K$5+ROW()-26+$H$14,MATCH($F$14,'Raw Pressure Data'!$1:$1,0))=-999,"",INDEX('Raw Pressure Data'!$A:$ZZ,$K$5+ROW()-26+$H$14,MATCH($F$14,'Raw Pressure Data'!$1:$1,0))+$G$14))),"")</f>
        <v/>
      </c>
      <c r="X99" s="26">
        <f>IFERROR(IF($F$15="","",IF($K$5+ROW()-26&gt;$K$6,"",IF(INDEX('Raw Pressure Data'!$A:$ZZ,$K$5+ROW()-26+$H$15,MATCH($F$15,'Raw Pressure Data'!$1:$1,0))=-999,"",INDEX('Raw Pressure Data'!$A:$ZZ,$K$5+ROW()-26+$H$15,MATCH($F$15,'Raw Pressure Data'!$1:$1,0))+$G$15))),"")</f>
        <v/>
      </c>
      <c r="Y99" s="26">
        <f>IFERROR(IF($F$16="","",IF($K$5+ROW()-26&gt;$K$6,"",IF(INDEX('Raw Pressure Data'!$A:$ZZ,$K$5+ROW()-26+$H$16,MATCH($F$16,'Raw Pressure Data'!$1:$1,0))=-999,"",INDEX('Raw Pressure Data'!$A:$ZZ,$K$5+ROW()-26+$H$16,MATCH($F$16,'Raw Pressure Data'!$1:$1,0))+$G$16))),"")</f>
        <v/>
      </c>
      <c r="Z99" s="26">
        <f>IFERROR(IF($F$17="","",IF($K$5+ROW()-26&gt;$K$6,"",IF(INDEX('Raw Pressure Data'!$A:$ZZ,$K$5+ROW()-26+$H$17,MATCH($F$17,'Raw Pressure Data'!$1:$1,0))=-999,"",INDEX('Raw Pressure Data'!$A:$ZZ,$K$5+ROW()-26+$H$17,MATCH($F$17,'Raw Pressure Data'!$1:$1,0))+$G$17))),"")</f>
        <v/>
      </c>
      <c r="AA99" s="26">
        <f>IFERROR(IF($F$18="","",IF($K$5+ROW()-26&gt;$K$6,"",IF(INDEX('Raw Pressure Data'!$A:$ZZ,$K$5+ROW()-26+$H$18,MATCH($F$18,'Raw Pressure Data'!$1:$1,0))=-999,"",INDEX('Raw Pressure Data'!$A:$ZZ,$K$5+ROW()-26+$H$18,MATCH($F$18,'Raw Pressure Data'!$1:$1,0))+$G$18))),"")</f>
        <v/>
      </c>
      <c r="AB99" s="26">
        <f>IFERROR(IF($F$19="","",IF($K$5+ROW()-26&gt;$K$6,"",IF(INDEX('Raw Pressure Data'!$A:$ZZ,$K$5+ROW()-26+$H$19,MATCH($F$19,'Raw Pressure Data'!$1:$1,0))=-999,"",INDEX('Raw Pressure Data'!$A:$ZZ,$K$5+ROW()-26+$H$19,MATCH($F$19,'Raw Pressure Data'!$1:$1,0))+$G$19))),"")</f>
        <v/>
      </c>
      <c r="AC99" s="26">
        <f>IFERROR(IF($F$20="","",IF($K$5+ROW()-26&gt;$K$6,"",IF(INDEX('Raw Pressure Data'!$A:$ZZ,$K$5+ROW()-26+$H$20,MATCH($F$20,'Raw Pressure Data'!$1:$1,0))=-999,"",INDEX('Raw Pressure Data'!$A:$ZZ,$K$5+ROW()-26+$H$20,MATCH($F$20,'Raw Pressure Data'!$1:$1,0))+$G$20))),"")</f>
        <v/>
      </c>
      <c r="AD99" s="26">
        <f>IFERROR(IF($F$21="","",IF($K$5+ROW()-26&gt;$K$6,"",IF(INDEX('Raw Pressure Data'!$A:$ZZ,$K$5+ROW()-26+$H$21,MATCH($F$21,'Raw Pressure Data'!$1:$1,0))=-999,"",INDEX('Raw Pressure Data'!$A:$ZZ,$K$5+ROW()-26+$H$21,MATCH($F$21,'Raw Pressure Data'!$1:$1,0))+$G$21))),"")</f>
        <v/>
      </c>
      <c r="AE99" s="26">
        <f>IFERROR(IF($F$22="","",IF($K$5+ROW()-26&gt;$K$6,"",IF(INDEX('Raw Pressure Data'!$A:$ZZ,$K$5+ROW()-26+$H$22,MATCH($F$22,'Raw Pressure Data'!$1:$1,0))=-999,"",INDEX('Raw Pressure Data'!$A:$ZZ,$K$5+ROW()-26+$H$22,MATCH($F$22,'Raw Pressure Data'!$1:$1,0))+$G$22))),"")</f>
        <v/>
      </c>
    </row>
    <row r="100" ht="15" customHeight="1">
      <c r="A100" s="23">
        <f>IFERROR(IF($K$5+ROW()-26&gt;$K$6,"",IF(INDEX('Raw Flow Data'!$A:$A,$K$5+ROW()-26)="","",INDEX('Raw Flow Data'!$A:$A,$K$5+ROW()-26))),"")</f>
        <v/>
      </c>
      <c r="B100" s="24">
        <f>IFERROR(IF($B$3="","",IF($K$5+ROW()-26&gt;$K$6,"",IF(INDEX('Raw Flow Data'!$A:$ZZ,$K$5+ROW()-26+$D$3,MATCH($B$3,'Raw Flow Data'!$1:$1,0))=-999,"",INDEX('Raw Flow Data'!$A:$ZZ,$K$5+ROW()-26+$D$3,MATCH($B$3,'Raw Flow Data'!$1:$1,0))*$C$3))),"")</f>
        <v/>
      </c>
      <c r="C100" s="24">
        <f>IFERROR(IF($B$4="","",IF($K$5+ROW()-26&gt;$K$6,"",IF(INDEX('Raw Flow Data'!$A:$ZZ,$K$5+ROW()-26+$D$4,MATCH($B$4,'Raw Flow Data'!$1:$1,0))=-999,"",INDEX('Raw Flow Data'!$A:$ZZ,$K$5+ROW()-26+$D$4,MATCH($B$4,'Raw Flow Data'!$1:$1,0))*$C$4))),"")</f>
        <v/>
      </c>
      <c r="D100" s="24">
        <f>IFERROR(IF($B$5="","",IF($K$5+ROW()-26&gt;$K$6,"",IF(INDEX('Raw Flow Data'!$A:$ZZ,$K$5+ROW()-26+$D$5,MATCH($B$5,'Raw Flow Data'!$1:$1,0))=-999,"",INDEX('Raw Flow Data'!$A:$ZZ,$K$5+ROW()-26+$D$5,MATCH($B$5,'Raw Flow Data'!$1:$1,0))*$C$5))),"")</f>
        <v/>
      </c>
      <c r="E100" s="24">
        <f>IFERROR(IF($B$6="","",IF($K$5+ROW()-26&gt;$K$6,"",IF(INDEX('Raw Flow Data'!$A:$ZZ,$K$5+ROW()-26+$D$6,MATCH($B$6,'Raw Flow Data'!$1:$1,0))=-999,"",INDEX('Raw Flow Data'!$A:$ZZ,$K$5+ROW()-26+$D$6,MATCH($B$6,'Raw Flow Data'!$1:$1,0))*$C$6))),"")</f>
        <v/>
      </c>
      <c r="F100" s="24">
        <f>IFERROR(IF($B$7="","",IF($K$5+ROW()-26&gt;$K$6,"",IF(INDEX('Raw Flow Data'!$A:$ZZ,$K$5+ROW()-26+$D$7,MATCH($B$7,'Raw Flow Data'!$1:$1,0))=-999,"",INDEX('Raw Flow Data'!$A:$ZZ,$K$5+ROW()-26+$D$7,MATCH($B$7,'Raw Flow Data'!$1:$1,0))*$C$7))),"")</f>
        <v/>
      </c>
      <c r="G100" s="24">
        <f>IFERROR(IF($B$8="","",IF($K$5+ROW()-26&gt;$K$6,"",IF(INDEX('Raw Flow Data'!$A:$ZZ,$K$5+ROW()-26+$D$8,MATCH($B$8,'Raw Flow Data'!$1:$1,0))=-999,"",INDEX('Raw Flow Data'!$A:$ZZ,$K$5+ROW()-26+$D$8,MATCH($B$8,'Raw Flow Data'!$1:$1,0))*$C$8))),"")</f>
        <v/>
      </c>
      <c r="H100" s="24">
        <f>IFERROR(IF($B$9="","",IF($K$5+ROW()-26&gt;$K$6,"",IF(INDEX('Raw Flow Data'!$A:$ZZ,$K$5+ROW()-26+$D$9,MATCH($B$9,'Raw Flow Data'!$1:$1,0))=-999,"",INDEX('Raw Flow Data'!$A:$ZZ,$K$5+ROW()-26+$D$9,MATCH($B$9,'Raw Flow Data'!$1:$1,0))*$C$9))),"")</f>
        <v/>
      </c>
      <c r="I100" s="24">
        <f>IFERROR(IF($B$10="","",IF($K$5+ROW()-26&gt;$K$6,"",IF(INDEX('Raw Flow Data'!$A:$ZZ,$K$5+ROW()-26+$D$10,MATCH($B$10,'Raw Flow Data'!$1:$1,0))=-999,"",INDEX('Raw Flow Data'!$A:$ZZ,$K$5+ROW()-26+$D$10,MATCH($B$10,'Raw Flow Data'!$1:$1,0))*$C$10))),"")</f>
        <v/>
      </c>
      <c r="J100" s="24">
        <f>IFERROR(IF($B$11="","",IF($K$5+ROW()-26&gt;$K$6,"",IF(INDEX('Raw Flow Data'!$A:$ZZ,$K$5+ROW()-26+$D$11,MATCH($B$11,'Raw Flow Data'!$1:$1,0))=-999,"",INDEX('Raw Flow Data'!$A:$ZZ,$K$5+ROW()-26+$D$11,MATCH($B$11,'Raw Flow Data'!$1:$1,0))*$C$11))),"")</f>
        <v/>
      </c>
      <c r="K100" s="24">
        <f>IFERROR(IF($B$12="","",IF($K$5+ROW()-26&gt;$K$6,"",IF(INDEX('Raw Flow Data'!$A:$ZZ,$K$5+ROW()-26+$D$12,MATCH($B$12,'Raw Flow Data'!$1:$1,0))=-999,"",INDEX('Raw Flow Data'!$A:$ZZ,$K$5+ROW()-26+$D$12,MATCH($B$12,'Raw Flow Data'!$1:$1,0))*$C$12))),"")</f>
        <v/>
      </c>
      <c r="L100" s="24">
        <f>IFERROR(IF($F$3="","",IF($K$5+ROW()-26&gt;$K$6,"",IF(INDEX('Raw Pressure Data'!$A:$ZZ,$K$5+ROW()-26+$H$3,MATCH($F$3,'Raw Pressure Data'!$1:$1,0))=-999,"",INDEX('Raw Pressure Data'!$A:$ZZ,$K$5+ROW()-26+$H$3,MATCH($F$3,'Raw Pressure Data'!$1:$1,0))+$G$3))),"")</f>
        <v/>
      </c>
      <c r="M100" s="24">
        <f>IFERROR(IF($F$4="","",IF($K$5+ROW()-26&gt;$K$6,"",IF(INDEX('Raw Pressure Data'!$A:$ZZ,$K$5+ROW()-26+$H$4,MATCH($F$4,'Raw Pressure Data'!$1:$1,0))=-999,"",INDEX('Raw Pressure Data'!$A:$ZZ,$K$5+ROW()-26+$H$4,MATCH($F$4,'Raw Pressure Data'!$1:$1,0))+$G$4))),"")</f>
        <v/>
      </c>
      <c r="N100" s="24">
        <f>IFERROR(IF($F$5="","",IF($K$5+ROW()-26&gt;$K$6,"",IF(INDEX('Raw Pressure Data'!$A:$ZZ,$K$5+ROW()-26+$H$5,MATCH($F$5,'Raw Pressure Data'!$1:$1,0))=-999,"",INDEX('Raw Pressure Data'!$A:$ZZ,$K$5+ROW()-26+$H$5,MATCH($F$5,'Raw Pressure Data'!$1:$1,0))+$G$5))),"")</f>
        <v/>
      </c>
      <c r="O100" s="24">
        <f>IFERROR(IF($F$6="","",IF($K$5+ROW()-26&gt;$K$6,"",IF(INDEX('Raw Pressure Data'!$A:$ZZ,$K$5+ROW()-26+$H$6,MATCH($F$6,'Raw Pressure Data'!$1:$1,0))=-999,"",INDEX('Raw Pressure Data'!$A:$ZZ,$K$5+ROW()-26+$H$6,MATCH($F$6,'Raw Pressure Data'!$1:$1,0))+$G$6))),"")</f>
        <v/>
      </c>
      <c r="P100" s="24">
        <f>IFERROR(IF($F$7="","",IF($K$5+ROW()-26&gt;$K$6,"",IF(INDEX('Raw Pressure Data'!$A:$ZZ,$K$5+ROW()-26+$H$7,MATCH($F$7,'Raw Pressure Data'!$1:$1,0))=-999,"",INDEX('Raw Pressure Data'!$A:$ZZ,$K$5+ROW()-26+$H$7,MATCH($F$7,'Raw Pressure Data'!$1:$1,0))+$G$7))),"")</f>
        <v/>
      </c>
      <c r="Q100" s="24">
        <f>IFERROR(IF($F$8="","",IF($K$5+ROW()-26&gt;$K$6,"",IF(INDEX('Raw Pressure Data'!$A:$ZZ,$K$5+ROW()-26+$H$8,MATCH($F$8,'Raw Pressure Data'!$1:$1,0))=-999,"",INDEX('Raw Pressure Data'!$A:$ZZ,$K$5+ROW()-26+$H$8,MATCH($F$8,'Raw Pressure Data'!$1:$1,0))+$G$8))),"")</f>
        <v/>
      </c>
      <c r="R100" s="24">
        <f>IFERROR(IF($F$9="","",IF($K$5+ROW()-26&gt;$K$6,"",IF(INDEX('Raw Pressure Data'!$A:$ZZ,$K$5+ROW()-26+$H$9,MATCH($F$9,'Raw Pressure Data'!$1:$1,0))=-999,"",INDEX('Raw Pressure Data'!$A:$ZZ,$K$5+ROW()-26+$H$9,MATCH($F$9,'Raw Pressure Data'!$1:$1,0))+$G$9))),"")</f>
        <v/>
      </c>
      <c r="S100" s="24">
        <f>IFERROR(IF($F$10="","",IF($K$5+ROW()-26&gt;$K$6,"",IF(INDEX('Raw Pressure Data'!$A:$ZZ,$K$5+ROW()-26+$H$10,MATCH($F$10,'Raw Pressure Data'!$1:$1,0))=-999,"",INDEX('Raw Pressure Data'!$A:$ZZ,$K$5+ROW()-26+$H$10,MATCH($F$10,'Raw Pressure Data'!$1:$1,0))+$G$10))),"")</f>
        <v/>
      </c>
      <c r="T100" s="24">
        <f>IFERROR(IF($F$11="","",IF($K$5+ROW()-26&gt;$K$6,"",IF(INDEX('Raw Pressure Data'!$A:$ZZ,$K$5+ROW()-26+$H$11,MATCH($F$11,'Raw Pressure Data'!$1:$1,0))=-999,"",INDEX('Raw Pressure Data'!$A:$ZZ,$K$5+ROW()-26+$H$11,MATCH($F$11,'Raw Pressure Data'!$1:$1,0))+$G$11))),"")</f>
        <v/>
      </c>
      <c r="U100" s="24">
        <f>IFERROR(IF($F$12="","",IF($K$5+ROW()-26&gt;$K$6,"",IF(INDEX('Raw Pressure Data'!$A:$ZZ,$K$5+ROW()-26+$H$12,MATCH($F$12,'Raw Pressure Data'!$1:$1,0))=-999,"",INDEX('Raw Pressure Data'!$A:$ZZ,$K$5+ROW()-26+$H$12,MATCH($F$12,'Raw Pressure Data'!$1:$1,0))+$G$12))),"")</f>
        <v/>
      </c>
      <c r="V100" s="24">
        <f>IFERROR(IF($F$13="","",IF($K$5+ROW()-26&gt;$K$6,"",IF(INDEX('Raw Pressure Data'!$A:$ZZ,$K$5+ROW()-26+$H$13,MATCH($F$13,'Raw Pressure Data'!$1:$1,0))=-999,"",INDEX('Raw Pressure Data'!$A:$ZZ,$K$5+ROW()-26+$H$13,MATCH($F$13,'Raw Pressure Data'!$1:$1,0))+$G$13))),"")</f>
        <v/>
      </c>
      <c r="W100" s="24">
        <f>IFERROR(IF($F$14="","",IF($K$5+ROW()-26&gt;$K$6,"",IF(INDEX('Raw Pressure Data'!$A:$ZZ,$K$5+ROW()-26+$H$14,MATCH($F$14,'Raw Pressure Data'!$1:$1,0))=-999,"",INDEX('Raw Pressure Data'!$A:$ZZ,$K$5+ROW()-26+$H$14,MATCH($F$14,'Raw Pressure Data'!$1:$1,0))+$G$14))),"")</f>
        <v/>
      </c>
      <c r="X100" s="24">
        <f>IFERROR(IF($F$15="","",IF($K$5+ROW()-26&gt;$K$6,"",IF(INDEX('Raw Pressure Data'!$A:$ZZ,$K$5+ROW()-26+$H$15,MATCH($F$15,'Raw Pressure Data'!$1:$1,0))=-999,"",INDEX('Raw Pressure Data'!$A:$ZZ,$K$5+ROW()-26+$H$15,MATCH($F$15,'Raw Pressure Data'!$1:$1,0))+$G$15))),"")</f>
        <v/>
      </c>
      <c r="Y100" s="24">
        <f>IFERROR(IF($F$16="","",IF($K$5+ROW()-26&gt;$K$6,"",IF(INDEX('Raw Pressure Data'!$A:$ZZ,$K$5+ROW()-26+$H$16,MATCH($F$16,'Raw Pressure Data'!$1:$1,0))=-999,"",INDEX('Raw Pressure Data'!$A:$ZZ,$K$5+ROW()-26+$H$16,MATCH($F$16,'Raw Pressure Data'!$1:$1,0))+$G$16))),"")</f>
        <v/>
      </c>
      <c r="Z100" s="24">
        <f>IFERROR(IF($F$17="","",IF($K$5+ROW()-26&gt;$K$6,"",IF(INDEX('Raw Pressure Data'!$A:$ZZ,$K$5+ROW()-26+$H$17,MATCH($F$17,'Raw Pressure Data'!$1:$1,0))=-999,"",INDEX('Raw Pressure Data'!$A:$ZZ,$K$5+ROW()-26+$H$17,MATCH($F$17,'Raw Pressure Data'!$1:$1,0))+$G$17))),"")</f>
        <v/>
      </c>
      <c r="AA100" s="24">
        <f>IFERROR(IF($F$18="","",IF($K$5+ROW()-26&gt;$K$6,"",IF(INDEX('Raw Pressure Data'!$A:$ZZ,$K$5+ROW()-26+$H$18,MATCH($F$18,'Raw Pressure Data'!$1:$1,0))=-999,"",INDEX('Raw Pressure Data'!$A:$ZZ,$K$5+ROW()-26+$H$18,MATCH($F$18,'Raw Pressure Data'!$1:$1,0))+$G$18))),"")</f>
        <v/>
      </c>
      <c r="AB100" s="24">
        <f>IFERROR(IF($F$19="","",IF($K$5+ROW()-26&gt;$K$6,"",IF(INDEX('Raw Pressure Data'!$A:$ZZ,$K$5+ROW()-26+$H$19,MATCH($F$19,'Raw Pressure Data'!$1:$1,0))=-999,"",INDEX('Raw Pressure Data'!$A:$ZZ,$K$5+ROW()-26+$H$19,MATCH($F$19,'Raw Pressure Data'!$1:$1,0))+$G$19))),"")</f>
        <v/>
      </c>
      <c r="AC100" s="24">
        <f>IFERROR(IF($F$20="","",IF($K$5+ROW()-26&gt;$K$6,"",IF(INDEX('Raw Pressure Data'!$A:$ZZ,$K$5+ROW()-26+$H$20,MATCH($F$20,'Raw Pressure Data'!$1:$1,0))=-999,"",INDEX('Raw Pressure Data'!$A:$ZZ,$K$5+ROW()-26+$H$20,MATCH($F$20,'Raw Pressure Data'!$1:$1,0))+$G$20))),"")</f>
        <v/>
      </c>
      <c r="AD100" s="24">
        <f>IFERROR(IF($F$21="","",IF($K$5+ROW()-26&gt;$K$6,"",IF(INDEX('Raw Pressure Data'!$A:$ZZ,$K$5+ROW()-26+$H$21,MATCH($F$21,'Raw Pressure Data'!$1:$1,0))=-999,"",INDEX('Raw Pressure Data'!$A:$ZZ,$K$5+ROW()-26+$H$21,MATCH($F$21,'Raw Pressure Data'!$1:$1,0))+$G$21))),"")</f>
        <v/>
      </c>
      <c r="AE100" s="24">
        <f>IFERROR(IF($F$22="","",IF($K$5+ROW()-26&gt;$K$6,"",IF(INDEX('Raw Pressure Data'!$A:$ZZ,$K$5+ROW()-26+$H$22,MATCH($F$22,'Raw Pressure Data'!$1:$1,0))=-999,"",INDEX('Raw Pressure Data'!$A:$ZZ,$K$5+ROW()-26+$H$22,MATCH($F$22,'Raw Pressure Data'!$1:$1,0))+$G$22))),"")</f>
        <v/>
      </c>
    </row>
    <row r="101" ht="15" customHeight="1">
      <c r="A101" s="25">
        <f>IFERROR(IF($K$5+ROW()-26&gt;$K$6,"",IF(INDEX('Raw Flow Data'!$A:$A,$K$5+ROW()-26)="","",INDEX('Raw Flow Data'!$A:$A,$K$5+ROW()-26))),"")</f>
        <v/>
      </c>
      <c r="B101" s="26">
        <f>IFERROR(IF($B$3="","",IF($K$5+ROW()-26&gt;$K$6,"",IF(INDEX('Raw Flow Data'!$A:$ZZ,$K$5+ROW()-26+$D$3,MATCH($B$3,'Raw Flow Data'!$1:$1,0))=-999,"",INDEX('Raw Flow Data'!$A:$ZZ,$K$5+ROW()-26+$D$3,MATCH($B$3,'Raw Flow Data'!$1:$1,0))*$C$3))),"")</f>
        <v/>
      </c>
      <c r="C101" s="26">
        <f>IFERROR(IF($B$4="","",IF($K$5+ROW()-26&gt;$K$6,"",IF(INDEX('Raw Flow Data'!$A:$ZZ,$K$5+ROW()-26+$D$4,MATCH($B$4,'Raw Flow Data'!$1:$1,0))=-999,"",INDEX('Raw Flow Data'!$A:$ZZ,$K$5+ROW()-26+$D$4,MATCH($B$4,'Raw Flow Data'!$1:$1,0))*$C$4))),"")</f>
        <v/>
      </c>
      <c r="D101" s="26">
        <f>IFERROR(IF($B$5="","",IF($K$5+ROW()-26&gt;$K$6,"",IF(INDEX('Raw Flow Data'!$A:$ZZ,$K$5+ROW()-26+$D$5,MATCH($B$5,'Raw Flow Data'!$1:$1,0))=-999,"",INDEX('Raw Flow Data'!$A:$ZZ,$K$5+ROW()-26+$D$5,MATCH($B$5,'Raw Flow Data'!$1:$1,0))*$C$5))),"")</f>
        <v/>
      </c>
      <c r="E101" s="26">
        <f>IFERROR(IF($B$6="","",IF($K$5+ROW()-26&gt;$K$6,"",IF(INDEX('Raw Flow Data'!$A:$ZZ,$K$5+ROW()-26+$D$6,MATCH($B$6,'Raw Flow Data'!$1:$1,0))=-999,"",INDEX('Raw Flow Data'!$A:$ZZ,$K$5+ROW()-26+$D$6,MATCH($B$6,'Raw Flow Data'!$1:$1,0))*$C$6))),"")</f>
        <v/>
      </c>
      <c r="F101" s="26">
        <f>IFERROR(IF($B$7="","",IF($K$5+ROW()-26&gt;$K$6,"",IF(INDEX('Raw Flow Data'!$A:$ZZ,$K$5+ROW()-26+$D$7,MATCH($B$7,'Raw Flow Data'!$1:$1,0))=-999,"",INDEX('Raw Flow Data'!$A:$ZZ,$K$5+ROW()-26+$D$7,MATCH($B$7,'Raw Flow Data'!$1:$1,0))*$C$7))),"")</f>
        <v/>
      </c>
      <c r="G101" s="26">
        <f>IFERROR(IF($B$8="","",IF($K$5+ROW()-26&gt;$K$6,"",IF(INDEX('Raw Flow Data'!$A:$ZZ,$K$5+ROW()-26+$D$8,MATCH($B$8,'Raw Flow Data'!$1:$1,0))=-999,"",INDEX('Raw Flow Data'!$A:$ZZ,$K$5+ROW()-26+$D$8,MATCH($B$8,'Raw Flow Data'!$1:$1,0))*$C$8))),"")</f>
        <v/>
      </c>
      <c r="H101" s="26">
        <f>IFERROR(IF($B$9="","",IF($K$5+ROW()-26&gt;$K$6,"",IF(INDEX('Raw Flow Data'!$A:$ZZ,$K$5+ROW()-26+$D$9,MATCH($B$9,'Raw Flow Data'!$1:$1,0))=-999,"",INDEX('Raw Flow Data'!$A:$ZZ,$K$5+ROW()-26+$D$9,MATCH($B$9,'Raw Flow Data'!$1:$1,0))*$C$9))),"")</f>
        <v/>
      </c>
      <c r="I101" s="26">
        <f>IFERROR(IF($B$10="","",IF($K$5+ROW()-26&gt;$K$6,"",IF(INDEX('Raw Flow Data'!$A:$ZZ,$K$5+ROW()-26+$D$10,MATCH($B$10,'Raw Flow Data'!$1:$1,0))=-999,"",INDEX('Raw Flow Data'!$A:$ZZ,$K$5+ROW()-26+$D$10,MATCH($B$10,'Raw Flow Data'!$1:$1,0))*$C$10))),"")</f>
        <v/>
      </c>
      <c r="J101" s="26">
        <f>IFERROR(IF($B$11="","",IF($K$5+ROW()-26&gt;$K$6,"",IF(INDEX('Raw Flow Data'!$A:$ZZ,$K$5+ROW()-26+$D$11,MATCH($B$11,'Raw Flow Data'!$1:$1,0))=-999,"",INDEX('Raw Flow Data'!$A:$ZZ,$K$5+ROW()-26+$D$11,MATCH($B$11,'Raw Flow Data'!$1:$1,0))*$C$11))),"")</f>
        <v/>
      </c>
      <c r="K101" s="26">
        <f>IFERROR(IF($B$12="","",IF($K$5+ROW()-26&gt;$K$6,"",IF(INDEX('Raw Flow Data'!$A:$ZZ,$K$5+ROW()-26+$D$12,MATCH($B$12,'Raw Flow Data'!$1:$1,0))=-999,"",INDEX('Raw Flow Data'!$A:$ZZ,$K$5+ROW()-26+$D$12,MATCH($B$12,'Raw Flow Data'!$1:$1,0))*$C$12))),"")</f>
        <v/>
      </c>
      <c r="L101" s="26">
        <f>IFERROR(IF($F$3="","",IF($K$5+ROW()-26&gt;$K$6,"",IF(INDEX('Raw Pressure Data'!$A:$ZZ,$K$5+ROW()-26+$H$3,MATCH($F$3,'Raw Pressure Data'!$1:$1,0))=-999,"",INDEX('Raw Pressure Data'!$A:$ZZ,$K$5+ROW()-26+$H$3,MATCH($F$3,'Raw Pressure Data'!$1:$1,0))+$G$3))),"")</f>
        <v/>
      </c>
      <c r="M101" s="26">
        <f>IFERROR(IF($F$4="","",IF($K$5+ROW()-26&gt;$K$6,"",IF(INDEX('Raw Pressure Data'!$A:$ZZ,$K$5+ROW()-26+$H$4,MATCH($F$4,'Raw Pressure Data'!$1:$1,0))=-999,"",INDEX('Raw Pressure Data'!$A:$ZZ,$K$5+ROW()-26+$H$4,MATCH($F$4,'Raw Pressure Data'!$1:$1,0))+$G$4))),"")</f>
        <v/>
      </c>
      <c r="N101" s="26">
        <f>IFERROR(IF($F$5="","",IF($K$5+ROW()-26&gt;$K$6,"",IF(INDEX('Raw Pressure Data'!$A:$ZZ,$K$5+ROW()-26+$H$5,MATCH($F$5,'Raw Pressure Data'!$1:$1,0))=-999,"",INDEX('Raw Pressure Data'!$A:$ZZ,$K$5+ROW()-26+$H$5,MATCH($F$5,'Raw Pressure Data'!$1:$1,0))+$G$5))),"")</f>
        <v/>
      </c>
      <c r="O101" s="26">
        <f>IFERROR(IF($F$6="","",IF($K$5+ROW()-26&gt;$K$6,"",IF(INDEX('Raw Pressure Data'!$A:$ZZ,$K$5+ROW()-26+$H$6,MATCH($F$6,'Raw Pressure Data'!$1:$1,0))=-999,"",INDEX('Raw Pressure Data'!$A:$ZZ,$K$5+ROW()-26+$H$6,MATCH($F$6,'Raw Pressure Data'!$1:$1,0))+$G$6))),"")</f>
        <v/>
      </c>
      <c r="P101" s="26">
        <f>IFERROR(IF($F$7="","",IF($K$5+ROW()-26&gt;$K$6,"",IF(INDEX('Raw Pressure Data'!$A:$ZZ,$K$5+ROW()-26+$H$7,MATCH($F$7,'Raw Pressure Data'!$1:$1,0))=-999,"",INDEX('Raw Pressure Data'!$A:$ZZ,$K$5+ROW()-26+$H$7,MATCH($F$7,'Raw Pressure Data'!$1:$1,0))+$G$7))),"")</f>
        <v/>
      </c>
      <c r="Q101" s="26">
        <f>IFERROR(IF($F$8="","",IF($K$5+ROW()-26&gt;$K$6,"",IF(INDEX('Raw Pressure Data'!$A:$ZZ,$K$5+ROW()-26+$H$8,MATCH($F$8,'Raw Pressure Data'!$1:$1,0))=-999,"",INDEX('Raw Pressure Data'!$A:$ZZ,$K$5+ROW()-26+$H$8,MATCH($F$8,'Raw Pressure Data'!$1:$1,0))+$G$8))),"")</f>
        <v/>
      </c>
      <c r="R101" s="26">
        <f>IFERROR(IF($F$9="","",IF($K$5+ROW()-26&gt;$K$6,"",IF(INDEX('Raw Pressure Data'!$A:$ZZ,$K$5+ROW()-26+$H$9,MATCH($F$9,'Raw Pressure Data'!$1:$1,0))=-999,"",INDEX('Raw Pressure Data'!$A:$ZZ,$K$5+ROW()-26+$H$9,MATCH($F$9,'Raw Pressure Data'!$1:$1,0))+$G$9))),"")</f>
        <v/>
      </c>
      <c r="S101" s="26">
        <f>IFERROR(IF($F$10="","",IF($K$5+ROW()-26&gt;$K$6,"",IF(INDEX('Raw Pressure Data'!$A:$ZZ,$K$5+ROW()-26+$H$10,MATCH($F$10,'Raw Pressure Data'!$1:$1,0))=-999,"",INDEX('Raw Pressure Data'!$A:$ZZ,$K$5+ROW()-26+$H$10,MATCH($F$10,'Raw Pressure Data'!$1:$1,0))+$G$10))),"")</f>
        <v/>
      </c>
      <c r="T101" s="26">
        <f>IFERROR(IF($F$11="","",IF($K$5+ROW()-26&gt;$K$6,"",IF(INDEX('Raw Pressure Data'!$A:$ZZ,$K$5+ROW()-26+$H$11,MATCH($F$11,'Raw Pressure Data'!$1:$1,0))=-999,"",INDEX('Raw Pressure Data'!$A:$ZZ,$K$5+ROW()-26+$H$11,MATCH($F$11,'Raw Pressure Data'!$1:$1,0))+$G$11))),"")</f>
        <v/>
      </c>
      <c r="U101" s="26">
        <f>IFERROR(IF($F$12="","",IF($K$5+ROW()-26&gt;$K$6,"",IF(INDEX('Raw Pressure Data'!$A:$ZZ,$K$5+ROW()-26+$H$12,MATCH($F$12,'Raw Pressure Data'!$1:$1,0))=-999,"",INDEX('Raw Pressure Data'!$A:$ZZ,$K$5+ROW()-26+$H$12,MATCH($F$12,'Raw Pressure Data'!$1:$1,0))+$G$12))),"")</f>
        <v/>
      </c>
      <c r="V101" s="26">
        <f>IFERROR(IF($F$13="","",IF($K$5+ROW()-26&gt;$K$6,"",IF(INDEX('Raw Pressure Data'!$A:$ZZ,$K$5+ROW()-26+$H$13,MATCH($F$13,'Raw Pressure Data'!$1:$1,0))=-999,"",INDEX('Raw Pressure Data'!$A:$ZZ,$K$5+ROW()-26+$H$13,MATCH($F$13,'Raw Pressure Data'!$1:$1,0))+$G$13))),"")</f>
        <v/>
      </c>
      <c r="W101" s="26">
        <f>IFERROR(IF($F$14="","",IF($K$5+ROW()-26&gt;$K$6,"",IF(INDEX('Raw Pressure Data'!$A:$ZZ,$K$5+ROW()-26+$H$14,MATCH($F$14,'Raw Pressure Data'!$1:$1,0))=-999,"",INDEX('Raw Pressure Data'!$A:$ZZ,$K$5+ROW()-26+$H$14,MATCH($F$14,'Raw Pressure Data'!$1:$1,0))+$G$14))),"")</f>
        <v/>
      </c>
      <c r="X101" s="26">
        <f>IFERROR(IF($F$15="","",IF($K$5+ROW()-26&gt;$K$6,"",IF(INDEX('Raw Pressure Data'!$A:$ZZ,$K$5+ROW()-26+$H$15,MATCH($F$15,'Raw Pressure Data'!$1:$1,0))=-999,"",INDEX('Raw Pressure Data'!$A:$ZZ,$K$5+ROW()-26+$H$15,MATCH($F$15,'Raw Pressure Data'!$1:$1,0))+$G$15))),"")</f>
        <v/>
      </c>
      <c r="Y101" s="26">
        <f>IFERROR(IF($F$16="","",IF($K$5+ROW()-26&gt;$K$6,"",IF(INDEX('Raw Pressure Data'!$A:$ZZ,$K$5+ROW()-26+$H$16,MATCH($F$16,'Raw Pressure Data'!$1:$1,0))=-999,"",INDEX('Raw Pressure Data'!$A:$ZZ,$K$5+ROW()-26+$H$16,MATCH($F$16,'Raw Pressure Data'!$1:$1,0))+$G$16))),"")</f>
        <v/>
      </c>
      <c r="Z101" s="26">
        <f>IFERROR(IF($F$17="","",IF($K$5+ROW()-26&gt;$K$6,"",IF(INDEX('Raw Pressure Data'!$A:$ZZ,$K$5+ROW()-26+$H$17,MATCH($F$17,'Raw Pressure Data'!$1:$1,0))=-999,"",INDEX('Raw Pressure Data'!$A:$ZZ,$K$5+ROW()-26+$H$17,MATCH($F$17,'Raw Pressure Data'!$1:$1,0))+$G$17))),"")</f>
        <v/>
      </c>
      <c r="AA101" s="26">
        <f>IFERROR(IF($F$18="","",IF($K$5+ROW()-26&gt;$K$6,"",IF(INDEX('Raw Pressure Data'!$A:$ZZ,$K$5+ROW()-26+$H$18,MATCH($F$18,'Raw Pressure Data'!$1:$1,0))=-999,"",INDEX('Raw Pressure Data'!$A:$ZZ,$K$5+ROW()-26+$H$18,MATCH($F$18,'Raw Pressure Data'!$1:$1,0))+$G$18))),"")</f>
        <v/>
      </c>
      <c r="AB101" s="26">
        <f>IFERROR(IF($F$19="","",IF($K$5+ROW()-26&gt;$K$6,"",IF(INDEX('Raw Pressure Data'!$A:$ZZ,$K$5+ROW()-26+$H$19,MATCH($F$19,'Raw Pressure Data'!$1:$1,0))=-999,"",INDEX('Raw Pressure Data'!$A:$ZZ,$K$5+ROW()-26+$H$19,MATCH($F$19,'Raw Pressure Data'!$1:$1,0))+$G$19))),"")</f>
        <v/>
      </c>
      <c r="AC101" s="26">
        <f>IFERROR(IF($F$20="","",IF($K$5+ROW()-26&gt;$K$6,"",IF(INDEX('Raw Pressure Data'!$A:$ZZ,$K$5+ROW()-26+$H$20,MATCH($F$20,'Raw Pressure Data'!$1:$1,0))=-999,"",INDEX('Raw Pressure Data'!$A:$ZZ,$K$5+ROW()-26+$H$20,MATCH($F$20,'Raw Pressure Data'!$1:$1,0))+$G$20))),"")</f>
        <v/>
      </c>
      <c r="AD101" s="26">
        <f>IFERROR(IF($F$21="","",IF($K$5+ROW()-26&gt;$K$6,"",IF(INDEX('Raw Pressure Data'!$A:$ZZ,$K$5+ROW()-26+$H$21,MATCH($F$21,'Raw Pressure Data'!$1:$1,0))=-999,"",INDEX('Raw Pressure Data'!$A:$ZZ,$K$5+ROW()-26+$H$21,MATCH($F$21,'Raw Pressure Data'!$1:$1,0))+$G$21))),"")</f>
        <v/>
      </c>
      <c r="AE101" s="26">
        <f>IFERROR(IF($F$22="","",IF($K$5+ROW()-26&gt;$K$6,"",IF(INDEX('Raw Pressure Data'!$A:$ZZ,$K$5+ROW()-26+$H$22,MATCH($F$22,'Raw Pressure Data'!$1:$1,0))=-999,"",INDEX('Raw Pressure Data'!$A:$ZZ,$K$5+ROW()-26+$H$22,MATCH($F$22,'Raw Pressure Data'!$1:$1,0))+$G$22))),"")</f>
        <v/>
      </c>
    </row>
    <row r="102" ht="15" customHeight="1">
      <c r="A102" s="23">
        <f>IFERROR(IF($K$5+ROW()-26&gt;$K$6,"",IF(INDEX('Raw Flow Data'!$A:$A,$K$5+ROW()-26)="","",INDEX('Raw Flow Data'!$A:$A,$K$5+ROW()-26))),"")</f>
        <v/>
      </c>
      <c r="B102" s="24">
        <f>IFERROR(IF($B$3="","",IF($K$5+ROW()-26&gt;$K$6,"",IF(INDEX('Raw Flow Data'!$A:$ZZ,$K$5+ROW()-26+$D$3,MATCH($B$3,'Raw Flow Data'!$1:$1,0))=-999,"",INDEX('Raw Flow Data'!$A:$ZZ,$K$5+ROW()-26+$D$3,MATCH($B$3,'Raw Flow Data'!$1:$1,0))*$C$3))),"")</f>
        <v/>
      </c>
      <c r="C102" s="24">
        <f>IFERROR(IF($B$4="","",IF($K$5+ROW()-26&gt;$K$6,"",IF(INDEX('Raw Flow Data'!$A:$ZZ,$K$5+ROW()-26+$D$4,MATCH($B$4,'Raw Flow Data'!$1:$1,0))=-999,"",INDEX('Raw Flow Data'!$A:$ZZ,$K$5+ROW()-26+$D$4,MATCH($B$4,'Raw Flow Data'!$1:$1,0))*$C$4))),"")</f>
        <v/>
      </c>
      <c r="D102" s="24">
        <f>IFERROR(IF($B$5="","",IF($K$5+ROW()-26&gt;$K$6,"",IF(INDEX('Raw Flow Data'!$A:$ZZ,$K$5+ROW()-26+$D$5,MATCH($B$5,'Raw Flow Data'!$1:$1,0))=-999,"",INDEX('Raw Flow Data'!$A:$ZZ,$K$5+ROW()-26+$D$5,MATCH($B$5,'Raw Flow Data'!$1:$1,0))*$C$5))),"")</f>
        <v/>
      </c>
      <c r="E102" s="24">
        <f>IFERROR(IF($B$6="","",IF($K$5+ROW()-26&gt;$K$6,"",IF(INDEX('Raw Flow Data'!$A:$ZZ,$K$5+ROW()-26+$D$6,MATCH($B$6,'Raw Flow Data'!$1:$1,0))=-999,"",INDEX('Raw Flow Data'!$A:$ZZ,$K$5+ROW()-26+$D$6,MATCH($B$6,'Raw Flow Data'!$1:$1,0))*$C$6))),"")</f>
        <v/>
      </c>
      <c r="F102" s="24">
        <f>IFERROR(IF($B$7="","",IF($K$5+ROW()-26&gt;$K$6,"",IF(INDEX('Raw Flow Data'!$A:$ZZ,$K$5+ROW()-26+$D$7,MATCH($B$7,'Raw Flow Data'!$1:$1,0))=-999,"",INDEX('Raw Flow Data'!$A:$ZZ,$K$5+ROW()-26+$D$7,MATCH($B$7,'Raw Flow Data'!$1:$1,0))*$C$7))),"")</f>
        <v/>
      </c>
      <c r="G102" s="24">
        <f>IFERROR(IF($B$8="","",IF($K$5+ROW()-26&gt;$K$6,"",IF(INDEX('Raw Flow Data'!$A:$ZZ,$K$5+ROW()-26+$D$8,MATCH($B$8,'Raw Flow Data'!$1:$1,0))=-999,"",INDEX('Raw Flow Data'!$A:$ZZ,$K$5+ROW()-26+$D$8,MATCH($B$8,'Raw Flow Data'!$1:$1,0))*$C$8))),"")</f>
        <v/>
      </c>
      <c r="H102" s="24">
        <f>IFERROR(IF($B$9="","",IF($K$5+ROW()-26&gt;$K$6,"",IF(INDEX('Raw Flow Data'!$A:$ZZ,$K$5+ROW()-26+$D$9,MATCH($B$9,'Raw Flow Data'!$1:$1,0))=-999,"",INDEX('Raw Flow Data'!$A:$ZZ,$K$5+ROW()-26+$D$9,MATCH($B$9,'Raw Flow Data'!$1:$1,0))*$C$9))),"")</f>
        <v/>
      </c>
      <c r="I102" s="24">
        <f>IFERROR(IF($B$10="","",IF($K$5+ROW()-26&gt;$K$6,"",IF(INDEX('Raw Flow Data'!$A:$ZZ,$K$5+ROW()-26+$D$10,MATCH($B$10,'Raw Flow Data'!$1:$1,0))=-999,"",INDEX('Raw Flow Data'!$A:$ZZ,$K$5+ROW()-26+$D$10,MATCH($B$10,'Raw Flow Data'!$1:$1,0))*$C$10))),"")</f>
        <v/>
      </c>
      <c r="J102" s="24">
        <f>IFERROR(IF($B$11="","",IF($K$5+ROW()-26&gt;$K$6,"",IF(INDEX('Raw Flow Data'!$A:$ZZ,$K$5+ROW()-26+$D$11,MATCH($B$11,'Raw Flow Data'!$1:$1,0))=-999,"",INDEX('Raw Flow Data'!$A:$ZZ,$K$5+ROW()-26+$D$11,MATCH($B$11,'Raw Flow Data'!$1:$1,0))*$C$11))),"")</f>
        <v/>
      </c>
      <c r="K102" s="24">
        <f>IFERROR(IF($B$12="","",IF($K$5+ROW()-26&gt;$K$6,"",IF(INDEX('Raw Flow Data'!$A:$ZZ,$K$5+ROW()-26+$D$12,MATCH($B$12,'Raw Flow Data'!$1:$1,0))=-999,"",INDEX('Raw Flow Data'!$A:$ZZ,$K$5+ROW()-26+$D$12,MATCH($B$12,'Raw Flow Data'!$1:$1,0))*$C$12))),"")</f>
        <v/>
      </c>
      <c r="L102" s="24">
        <f>IFERROR(IF($F$3="","",IF($K$5+ROW()-26&gt;$K$6,"",IF(INDEX('Raw Pressure Data'!$A:$ZZ,$K$5+ROW()-26+$H$3,MATCH($F$3,'Raw Pressure Data'!$1:$1,0))=-999,"",INDEX('Raw Pressure Data'!$A:$ZZ,$K$5+ROW()-26+$H$3,MATCH($F$3,'Raw Pressure Data'!$1:$1,0))+$G$3))),"")</f>
        <v/>
      </c>
      <c r="M102" s="24">
        <f>IFERROR(IF($F$4="","",IF($K$5+ROW()-26&gt;$K$6,"",IF(INDEX('Raw Pressure Data'!$A:$ZZ,$K$5+ROW()-26+$H$4,MATCH($F$4,'Raw Pressure Data'!$1:$1,0))=-999,"",INDEX('Raw Pressure Data'!$A:$ZZ,$K$5+ROW()-26+$H$4,MATCH($F$4,'Raw Pressure Data'!$1:$1,0))+$G$4))),"")</f>
        <v/>
      </c>
      <c r="N102" s="24">
        <f>IFERROR(IF($F$5="","",IF($K$5+ROW()-26&gt;$K$6,"",IF(INDEX('Raw Pressure Data'!$A:$ZZ,$K$5+ROW()-26+$H$5,MATCH($F$5,'Raw Pressure Data'!$1:$1,0))=-999,"",INDEX('Raw Pressure Data'!$A:$ZZ,$K$5+ROW()-26+$H$5,MATCH($F$5,'Raw Pressure Data'!$1:$1,0))+$G$5))),"")</f>
        <v/>
      </c>
      <c r="O102" s="24">
        <f>IFERROR(IF($F$6="","",IF($K$5+ROW()-26&gt;$K$6,"",IF(INDEX('Raw Pressure Data'!$A:$ZZ,$K$5+ROW()-26+$H$6,MATCH($F$6,'Raw Pressure Data'!$1:$1,0))=-999,"",INDEX('Raw Pressure Data'!$A:$ZZ,$K$5+ROW()-26+$H$6,MATCH($F$6,'Raw Pressure Data'!$1:$1,0))+$G$6))),"")</f>
        <v/>
      </c>
      <c r="P102" s="24">
        <f>IFERROR(IF($F$7="","",IF($K$5+ROW()-26&gt;$K$6,"",IF(INDEX('Raw Pressure Data'!$A:$ZZ,$K$5+ROW()-26+$H$7,MATCH($F$7,'Raw Pressure Data'!$1:$1,0))=-999,"",INDEX('Raw Pressure Data'!$A:$ZZ,$K$5+ROW()-26+$H$7,MATCH($F$7,'Raw Pressure Data'!$1:$1,0))+$G$7))),"")</f>
        <v/>
      </c>
      <c r="Q102" s="24">
        <f>IFERROR(IF($F$8="","",IF($K$5+ROW()-26&gt;$K$6,"",IF(INDEX('Raw Pressure Data'!$A:$ZZ,$K$5+ROW()-26+$H$8,MATCH($F$8,'Raw Pressure Data'!$1:$1,0))=-999,"",INDEX('Raw Pressure Data'!$A:$ZZ,$K$5+ROW()-26+$H$8,MATCH($F$8,'Raw Pressure Data'!$1:$1,0))+$G$8))),"")</f>
        <v/>
      </c>
      <c r="R102" s="24">
        <f>IFERROR(IF($F$9="","",IF($K$5+ROW()-26&gt;$K$6,"",IF(INDEX('Raw Pressure Data'!$A:$ZZ,$K$5+ROW()-26+$H$9,MATCH($F$9,'Raw Pressure Data'!$1:$1,0))=-999,"",INDEX('Raw Pressure Data'!$A:$ZZ,$K$5+ROW()-26+$H$9,MATCH($F$9,'Raw Pressure Data'!$1:$1,0))+$G$9))),"")</f>
        <v/>
      </c>
      <c r="S102" s="24">
        <f>IFERROR(IF($F$10="","",IF($K$5+ROW()-26&gt;$K$6,"",IF(INDEX('Raw Pressure Data'!$A:$ZZ,$K$5+ROW()-26+$H$10,MATCH($F$10,'Raw Pressure Data'!$1:$1,0))=-999,"",INDEX('Raw Pressure Data'!$A:$ZZ,$K$5+ROW()-26+$H$10,MATCH($F$10,'Raw Pressure Data'!$1:$1,0))+$G$10))),"")</f>
        <v/>
      </c>
      <c r="T102" s="24">
        <f>IFERROR(IF($F$11="","",IF($K$5+ROW()-26&gt;$K$6,"",IF(INDEX('Raw Pressure Data'!$A:$ZZ,$K$5+ROW()-26+$H$11,MATCH($F$11,'Raw Pressure Data'!$1:$1,0))=-999,"",INDEX('Raw Pressure Data'!$A:$ZZ,$K$5+ROW()-26+$H$11,MATCH($F$11,'Raw Pressure Data'!$1:$1,0))+$G$11))),"")</f>
        <v/>
      </c>
      <c r="U102" s="24">
        <f>IFERROR(IF($F$12="","",IF($K$5+ROW()-26&gt;$K$6,"",IF(INDEX('Raw Pressure Data'!$A:$ZZ,$K$5+ROW()-26+$H$12,MATCH($F$12,'Raw Pressure Data'!$1:$1,0))=-999,"",INDEX('Raw Pressure Data'!$A:$ZZ,$K$5+ROW()-26+$H$12,MATCH($F$12,'Raw Pressure Data'!$1:$1,0))+$G$12))),"")</f>
        <v/>
      </c>
      <c r="V102" s="24">
        <f>IFERROR(IF($F$13="","",IF($K$5+ROW()-26&gt;$K$6,"",IF(INDEX('Raw Pressure Data'!$A:$ZZ,$K$5+ROW()-26+$H$13,MATCH($F$13,'Raw Pressure Data'!$1:$1,0))=-999,"",INDEX('Raw Pressure Data'!$A:$ZZ,$K$5+ROW()-26+$H$13,MATCH($F$13,'Raw Pressure Data'!$1:$1,0))+$G$13))),"")</f>
        <v/>
      </c>
      <c r="W102" s="24">
        <f>IFERROR(IF($F$14="","",IF($K$5+ROW()-26&gt;$K$6,"",IF(INDEX('Raw Pressure Data'!$A:$ZZ,$K$5+ROW()-26+$H$14,MATCH($F$14,'Raw Pressure Data'!$1:$1,0))=-999,"",INDEX('Raw Pressure Data'!$A:$ZZ,$K$5+ROW()-26+$H$14,MATCH($F$14,'Raw Pressure Data'!$1:$1,0))+$G$14))),"")</f>
        <v/>
      </c>
      <c r="X102" s="24">
        <f>IFERROR(IF($F$15="","",IF($K$5+ROW()-26&gt;$K$6,"",IF(INDEX('Raw Pressure Data'!$A:$ZZ,$K$5+ROW()-26+$H$15,MATCH($F$15,'Raw Pressure Data'!$1:$1,0))=-999,"",INDEX('Raw Pressure Data'!$A:$ZZ,$K$5+ROW()-26+$H$15,MATCH($F$15,'Raw Pressure Data'!$1:$1,0))+$G$15))),"")</f>
        <v/>
      </c>
      <c r="Y102" s="24">
        <f>IFERROR(IF($F$16="","",IF($K$5+ROW()-26&gt;$K$6,"",IF(INDEX('Raw Pressure Data'!$A:$ZZ,$K$5+ROW()-26+$H$16,MATCH($F$16,'Raw Pressure Data'!$1:$1,0))=-999,"",INDEX('Raw Pressure Data'!$A:$ZZ,$K$5+ROW()-26+$H$16,MATCH($F$16,'Raw Pressure Data'!$1:$1,0))+$G$16))),"")</f>
        <v/>
      </c>
      <c r="Z102" s="24">
        <f>IFERROR(IF($F$17="","",IF($K$5+ROW()-26&gt;$K$6,"",IF(INDEX('Raw Pressure Data'!$A:$ZZ,$K$5+ROW()-26+$H$17,MATCH($F$17,'Raw Pressure Data'!$1:$1,0))=-999,"",INDEX('Raw Pressure Data'!$A:$ZZ,$K$5+ROW()-26+$H$17,MATCH($F$17,'Raw Pressure Data'!$1:$1,0))+$G$17))),"")</f>
        <v/>
      </c>
      <c r="AA102" s="24">
        <f>IFERROR(IF($F$18="","",IF($K$5+ROW()-26&gt;$K$6,"",IF(INDEX('Raw Pressure Data'!$A:$ZZ,$K$5+ROW()-26+$H$18,MATCH($F$18,'Raw Pressure Data'!$1:$1,0))=-999,"",INDEX('Raw Pressure Data'!$A:$ZZ,$K$5+ROW()-26+$H$18,MATCH($F$18,'Raw Pressure Data'!$1:$1,0))+$G$18))),"")</f>
        <v/>
      </c>
      <c r="AB102" s="24">
        <f>IFERROR(IF($F$19="","",IF($K$5+ROW()-26&gt;$K$6,"",IF(INDEX('Raw Pressure Data'!$A:$ZZ,$K$5+ROW()-26+$H$19,MATCH($F$19,'Raw Pressure Data'!$1:$1,0))=-999,"",INDEX('Raw Pressure Data'!$A:$ZZ,$K$5+ROW()-26+$H$19,MATCH($F$19,'Raw Pressure Data'!$1:$1,0))+$G$19))),"")</f>
        <v/>
      </c>
      <c r="AC102" s="24">
        <f>IFERROR(IF($F$20="","",IF($K$5+ROW()-26&gt;$K$6,"",IF(INDEX('Raw Pressure Data'!$A:$ZZ,$K$5+ROW()-26+$H$20,MATCH($F$20,'Raw Pressure Data'!$1:$1,0))=-999,"",INDEX('Raw Pressure Data'!$A:$ZZ,$K$5+ROW()-26+$H$20,MATCH($F$20,'Raw Pressure Data'!$1:$1,0))+$G$20))),"")</f>
        <v/>
      </c>
      <c r="AD102" s="24">
        <f>IFERROR(IF($F$21="","",IF($K$5+ROW()-26&gt;$K$6,"",IF(INDEX('Raw Pressure Data'!$A:$ZZ,$K$5+ROW()-26+$H$21,MATCH($F$21,'Raw Pressure Data'!$1:$1,0))=-999,"",INDEX('Raw Pressure Data'!$A:$ZZ,$K$5+ROW()-26+$H$21,MATCH($F$21,'Raw Pressure Data'!$1:$1,0))+$G$21))),"")</f>
        <v/>
      </c>
      <c r="AE102" s="24">
        <f>IFERROR(IF($F$22="","",IF($K$5+ROW()-26&gt;$K$6,"",IF(INDEX('Raw Pressure Data'!$A:$ZZ,$K$5+ROW()-26+$H$22,MATCH($F$22,'Raw Pressure Data'!$1:$1,0))=-999,"",INDEX('Raw Pressure Data'!$A:$ZZ,$K$5+ROW()-26+$H$22,MATCH($F$22,'Raw Pressure Data'!$1:$1,0))+$G$22))),"")</f>
        <v/>
      </c>
    </row>
    <row r="103" ht="15" customHeight="1">
      <c r="A103" s="25">
        <f>IFERROR(IF($K$5+ROW()-26&gt;$K$6,"",IF(INDEX('Raw Flow Data'!$A:$A,$K$5+ROW()-26)="","",INDEX('Raw Flow Data'!$A:$A,$K$5+ROW()-26))),"")</f>
        <v/>
      </c>
      <c r="B103" s="26">
        <f>IFERROR(IF($B$3="","",IF($K$5+ROW()-26&gt;$K$6,"",IF(INDEX('Raw Flow Data'!$A:$ZZ,$K$5+ROW()-26+$D$3,MATCH($B$3,'Raw Flow Data'!$1:$1,0))=-999,"",INDEX('Raw Flow Data'!$A:$ZZ,$K$5+ROW()-26+$D$3,MATCH($B$3,'Raw Flow Data'!$1:$1,0))*$C$3))),"")</f>
        <v/>
      </c>
      <c r="C103" s="26">
        <f>IFERROR(IF($B$4="","",IF($K$5+ROW()-26&gt;$K$6,"",IF(INDEX('Raw Flow Data'!$A:$ZZ,$K$5+ROW()-26+$D$4,MATCH($B$4,'Raw Flow Data'!$1:$1,0))=-999,"",INDEX('Raw Flow Data'!$A:$ZZ,$K$5+ROW()-26+$D$4,MATCH($B$4,'Raw Flow Data'!$1:$1,0))*$C$4))),"")</f>
        <v/>
      </c>
      <c r="D103" s="26">
        <f>IFERROR(IF($B$5="","",IF($K$5+ROW()-26&gt;$K$6,"",IF(INDEX('Raw Flow Data'!$A:$ZZ,$K$5+ROW()-26+$D$5,MATCH($B$5,'Raw Flow Data'!$1:$1,0))=-999,"",INDEX('Raw Flow Data'!$A:$ZZ,$K$5+ROW()-26+$D$5,MATCH($B$5,'Raw Flow Data'!$1:$1,0))*$C$5))),"")</f>
        <v/>
      </c>
      <c r="E103" s="26">
        <f>IFERROR(IF($B$6="","",IF($K$5+ROW()-26&gt;$K$6,"",IF(INDEX('Raw Flow Data'!$A:$ZZ,$K$5+ROW()-26+$D$6,MATCH($B$6,'Raw Flow Data'!$1:$1,0))=-999,"",INDEX('Raw Flow Data'!$A:$ZZ,$K$5+ROW()-26+$D$6,MATCH($B$6,'Raw Flow Data'!$1:$1,0))*$C$6))),"")</f>
        <v/>
      </c>
      <c r="F103" s="26">
        <f>IFERROR(IF($B$7="","",IF($K$5+ROW()-26&gt;$K$6,"",IF(INDEX('Raw Flow Data'!$A:$ZZ,$K$5+ROW()-26+$D$7,MATCH($B$7,'Raw Flow Data'!$1:$1,0))=-999,"",INDEX('Raw Flow Data'!$A:$ZZ,$K$5+ROW()-26+$D$7,MATCH($B$7,'Raw Flow Data'!$1:$1,0))*$C$7))),"")</f>
        <v/>
      </c>
      <c r="G103" s="26">
        <f>IFERROR(IF($B$8="","",IF($K$5+ROW()-26&gt;$K$6,"",IF(INDEX('Raw Flow Data'!$A:$ZZ,$K$5+ROW()-26+$D$8,MATCH($B$8,'Raw Flow Data'!$1:$1,0))=-999,"",INDEX('Raw Flow Data'!$A:$ZZ,$K$5+ROW()-26+$D$8,MATCH($B$8,'Raw Flow Data'!$1:$1,0))*$C$8))),"")</f>
        <v/>
      </c>
      <c r="H103" s="26">
        <f>IFERROR(IF($B$9="","",IF($K$5+ROW()-26&gt;$K$6,"",IF(INDEX('Raw Flow Data'!$A:$ZZ,$K$5+ROW()-26+$D$9,MATCH($B$9,'Raw Flow Data'!$1:$1,0))=-999,"",INDEX('Raw Flow Data'!$A:$ZZ,$K$5+ROW()-26+$D$9,MATCH($B$9,'Raw Flow Data'!$1:$1,0))*$C$9))),"")</f>
        <v/>
      </c>
      <c r="I103" s="26">
        <f>IFERROR(IF($B$10="","",IF($K$5+ROW()-26&gt;$K$6,"",IF(INDEX('Raw Flow Data'!$A:$ZZ,$K$5+ROW()-26+$D$10,MATCH($B$10,'Raw Flow Data'!$1:$1,0))=-999,"",INDEX('Raw Flow Data'!$A:$ZZ,$K$5+ROW()-26+$D$10,MATCH($B$10,'Raw Flow Data'!$1:$1,0))*$C$10))),"")</f>
        <v/>
      </c>
      <c r="J103" s="26">
        <f>IFERROR(IF($B$11="","",IF($K$5+ROW()-26&gt;$K$6,"",IF(INDEX('Raw Flow Data'!$A:$ZZ,$K$5+ROW()-26+$D$11,MATCH($B$11,'Raw Flow Data'!$1:$1,0))=-999,"",INDEX('Raw Flow Data'!$A:$ZZ,$K$5+ROW()-26+$D$11,MATCH($B$11,'Raw Flow Data'!$1:$1,0))*$C$11))),"")</f>
        <v/>
      </c>
      <c r="K103" s="26">
        <f>IFERROR(IF($B$12="","",IF($K$5+ROW()-26&gt;$K$6,"",IF(INDEX('Raw Flow Data'!$A:$ZZ,$K$5+ROW()-26+$D$12,MATCH($B$12,'Raw Flow Data'!$1:$1,0))=-999,"",INDEX('Raw Flow Data'!$A:$ZZ,$K$5+ROW()-26+$D$12,MATCH($B$12,'Raw Flow Data'!$1:$1,0))*$C$12))),"")</f>
        <v/>
      </c>
      <c r="L103" s="26">
        <f>IFERROR(IF($F$3="","",IF($K$5+ROW()-26&gt;$K$6,"",IF(INDEX('Raw Pressure Data'!$A:$ZZ,$K$5+ROW()-26+$H$3,MATCH($F$3,'Raw Pressure Data'!$1:$1,0))=-999,"",INDEX('Raw Pressure Data'!$A:$ZZ,$K$5+ROW()-26+$H$3,MATCH($F$3,'Raw Pressure Data'!$1:$1,0))+$G$3))),"")</f>
        <v/>
      </c>
      <c r="M103" s="26">
        <f>IFERROR(IF($F$4="","",IF($K$5+ROW()-26&gt;$K$6,"",IF(INDEX('Raw Pressure Data'!$A:$ZZ,$K$5+ROW()-26+$H$4,MATCH($F$4,'Raw Pressure Data'!$1:$1,0))=-999,"",INDEX('Raw Pressure Data'!$A:$ZZ,$K$5+ROW()-26+$H$4,MATCH($F$4,'Raw Pressure Data'!$1:$1,0))+$G$4))),"")</f>
        <v/>
      </c>
      <c r="N103" s="26">
        <f>IFERROR(IF($F$5="","",IF($K$5+ROW()-26&gt;$K$6,"",IF(INDEX('Raw Pressure Data'!$A:$ZZ,$K$5+ROW()-26+$H$5,MATCH($F$5,'Raw Pressure Data'!$1:$1,0))=-999,"",INDEX('Raw Pressure Data'!$A:$ZZ,$K$5+ROW()-26+$H$5,MATCH($F$5,'Raw Pressure Data'!$1:$1,0))+$G$5))),"")</f>
        <v/>
      </c>
      <c r="O103" s="26">
        <f>IFERROR(IF($F$6="","",IF($K$5+ROW()-26&gt;$K$6,"",IF(INDEX('Raw Pressure Data'!$A:$ZZ,$K$5+ROW()-26+$H$6,MATCH($F$6,'Raw Pressure Data'!$1:$1,0))=-999,"",INDEX('Raw Pressure Data'!$A:$ZZ,$K$5+ROW()-26+$H$6,MATCH($F$6,'Raw Pressure Data'!$1:$1,0))+$G$6))),"")</f>
        <v/>
      </c>
      <c r="P103" s="26">
        <f>IFERROR(IF($F$7="","",IF($K$5+ROW()-26&gt;$K$6,"",IF(INDEX('Raw Pressure Data'!$A:$ZZ,$K$5+ROW()-26+$H$7,MATCH($F$7,'Raw Pressure Data'!$1:$1,0))=-999,"",INDEX('Raw Pressure Data'!$A:$ZZ,$K$5+ROW()-26+$H$7,MATCH($F$7,'Raw Pressure Data'!$1:$1,0))+$G$7))),"")</f>
        <v/>
      </c>
      <c r="Q103" s="26">
        <f>IFERROR(IF($F$8="","",IF($K$5+ROW()-26&gt;$K$6,"",IF(INDEX('Raw Pressure Data'!$A:$ZZ,$K$5+ROW()-26+$H$8,MATCH($F$8,'Raw Pressure Data'!$1:$1,0))=-999,"",INDEX('Raw Pressure Data'!$A:$ZZ,$K$5+ROW()-26+$H$8,MATCH($F$8,'Raw Pressure Data'!$1:$1,0))+$G$8))),"")</f>
        <v/>
      </c>
      <c r="R103" s="26">
        <f>IFERROR(IF($F$9="","",IF($K$5+ROW()-26&gt;$K$6,"",IF(INDEX('Raw Pressure Data'!$A:$ZZ,$K$5+ROW()-26+$H$9,MATCH($F$9,'Raw Pressure Data'!$1:$1,0))=-999,"",INDEX('Raw Pressure Data'!$A:$ZZ,$K$5+ROW()-26+$H$9,MATCH($F$9,'Raw Pressure Data'!$1:$1,0))+$G$9))),"")</f>
        <v/>
      </c>
      <c r="S103" s="26">
        <f>IFERROR(IF($F$10="","",IF($K$5+ROW()-26&gt;$K$6,"",IF(INDEX('Raw Pressure Data'!$A:$ZZ,$K$5+ROW()-26+$H$10,MATCH($F$10,'Raw Pressure Data'!$1:$1,0))=-999,"",INDEX('Raw Pressure Data'!$A:$ZZ,$K$5+ROW()-26+$H$10,MATCH($F$10,'Raw Pressure Data'!$1:$1,0))+$G$10))),"")</f>
        <v/>
      </c>
      <c r="T103" s="26">
        <f>IFERROR(IF($F$11="","",IF($K$5+ROW()-26&gt;$K$6,"",IF(INDEX('Raw Pressure Data'!$A:$ZZ,$K$5+ROW()-26+$H$11,MATCH($F$11,'Raw Pressure Data'!$1:$1,0))=-999,"",INDEX('Raw Pressure Data'!$A:$ZZ,$K$5+ROW()-26+$H$11,MATCH($F$11,'Raw Pressure Data'!$1:$1,0))+$G$11))),"")</f>
        <v/>
      </c>
      <c r="U103" s="26">
        <f>IFERROR(IF($F$12="","",IF($K$5+ROW()-26&gt;$K$6,"",IF(INDEX('Raw Pressure Data'!$A:$ZZ,$K$5+ROW()-26+$H$12,MATCH($F$12,'Raw Pressure Data'!$1:$1,0))=-999,"",INDEX('Raw Pressure Data'!$A:$ZZ,$K$5+ROW()-26+$H$12,MATCH($F$12,'Raw Pressure Data'!$1:$1,0))+$G$12))),"")</f>
        <v/>
      </c>
      <c r="V103" s="26">
        <f>IFERROR(IF($F$13="","",IF($K$5+ROW()-26&gt;$K$6,"",IF(INDEX('Raw Pressure Data'!$A:$ZZ,$K$5+ROW()-26+$H$13,MATCH($F$13,'Raw Pressure Data'!$1:$1,0))=-999,"",INDEX('Raw Pressure Data'!$A:$ZZ,$K$5+ROW()-26+$H$13,MATCH($F$13,'Raw Pressure Data'!$1:$1,0))+$G$13))),"")</f>
        <v/>
      </c>
      <c r="W103" s="26">
        <f>IFERROR(IF($F$14="","",IF($K$5+ROW()-26&gt;$K$6,"",IF(INDEX('Raw Pressure Data'!$A:$ZZ,$K$5+ROW()-26+$H$14,MATCH($F$14,'Raw Pressure Data'!$1:$1,0))=-999,"",INDEX('Raw Pressure Data'!$A:$ZZ,$K$5+ROW()-26+$H$14,MATCH($F$14,'Raw Pressure Data'!$1:$1,0))+$G$14))),"")</f>
        <v/>
      </c>
      <c r="X103" s="26">
        <f>IFERROR(IF($F$15="","",IF($K$5+ROW()-26&gt;$K$6,"",IF(INDEX('Raw Pressure Data'!$A:$ZZ,$K$5+ROW()-26+$H$15,MATCH($F$15,'Raw Pressure Data'!$1:$1,0))=-999,"",INDEX('Raw Pressure Data'!$A:$ZZ,$K$5+ROW()-26+$H$15,MATCH($F$15,'Raw Pressure Data'!$1:$1,0))+$G$15))),"")</f>
        <v/>
      </c>
      <c r="Y103" s="26">
        <f>IFERROR(IF($F$16="","",IF($K$5+ROW()-26&gt;$K$6,"",IF(INDEX('Raw Pressure Data'!$A:$ZZ,$K$5+ROW()-26+$H$16,MATCH($F$16,'Raw Pressure Data'!$1:$1,0))=-999,"",INDEX('Raw Pressure Data'!$A:$ZZ,$K$5+ROW()-26+$H$16,MATCH($F$16,'Raw Pressure Data'!$1:$1,0))+$G$16))),"")</f>
        <v/>
      </c>
      <c r="Z103" s="26">
        <f>IFERROR(IF($F$17="","",IF($K$5+ROW()-26&gt;$K$6,"",IF(INDEX('Raw Pressure Data'!$A:$ZZ,$K$5+ROW()-26+$H$17,MATCH($F$17,'Raw Pressure Data'!$1:$1,0))=-999,"",INDEX('Raw Pressure Data'!$A:$ZZ,$K$5+ROW()-26+$H$17,MATCH($F$17,'Raw Pressure Data'!$1:$1,0))+$G$17))),"")</f>
        <v/>
      </c>
      <c r="AA103" s="26">
        <f>IFERROR(IF($F$18="","",IF($K$5+ROW()-26&gt;$K$6,"",IF(INDEX('Raw Pressure Data'!$A:$ZZ,$K$5+ROW()-26+$H$18,MATCH($F$18,'Raw Pressure Data'!$1:$1,0))=-999,"",INDEX('Raw Pressure Data'!$A:$ZZ,$K$5+ROW()-26+$H$18,MATCH($F$18,'Raw Pressure Data'!$1:$1,0))+$G$18))),"")</f>
        <v/>
      </c>
      <c r="AB103" s="26">
        <f>IFERROR(IF($F$19="","",IF($K$5+ROW()-26&gt;$K$6,"",IF(INDEX('Raw Pressure Data'!$A:$ZZ,$K$5+ROW()-26+$H$19,MATCH($F$19,'Raw Pressure Data'!$1:$1,0))=-999,"",INDEX('Raw Pressure Data'!$A:$ZZ,$K$5+ROW()-26+$H$19,MATCH($F$19,'Raw Pressure Data'!$1:$1,0))+$G$19))),"")</f>
        <v/>
      </c>
      <c r="AC103" s="26">
        <f>IFERROR(IF($F$20="","",IF($K$5+ROW()-26&gt;$K$6,"",IF(INDEX('Raw Pressure Data'!$A:$ZZ,$K$5+ROW()-26+$H$20,MATCH($F$20,'Raw Pressure Data'!$1:$1,0))=-999,"",INDEX('Raw Pressure Data'!$A:$ZZ,$K$5+ROW()-26+$H$20,MATCH($F$20,'Raw Pressure Data'!$1:$1,0))+$G$20))),"")</f>
        <v/>
      </c>
      <c r="AD103" s="26">
        <f>IFERROR(IF($F$21="","",IF($K$5+ROW()-26&gt;$K$6,"",IF(INDEX('Raw Pressure Data'!$A:$ZZ,$K$5+ROW()-26+$H$21,MATCH($F$21,'Raw Pressure Data'!$1:$1,0))=-999,"",INDEX('Raw Pressure Data'!$A:$ZZ,$K$5+ROW()-26+$H$21,MATCH($F$21,'Raw Pressure Data'!$1:$1,0))+$G$21))),"")</f>
        <v/>
      </c>
      <c r="AE103" s="26">
        <f>IFERROR(IF($F$22="","",IF($K$5+ROW()-26&gt;$K$6,"",IF(INDEX('Raw Pressure Data'!$A:$ZZ,$K$5+ROW()-26+$H$22,MATCH($F$22,'Raw Pressure Data'!$1:$1,0))=-999,"",INDEX('Raw Pressure Data'!$A:$ZZ,$K$5+ROW()-26+$H$22,MATCH($F$22,'Raw Pressure Data'!$1:$1,0))+$G$22))),"")</f>
        <v/>
      </c>
    </row>
    <row r="104" ht="15" customHeight="1">
      <c r="A104" s="23">
        <f>IFERROR(IF($K$5+ROW()-26&gt;$K$6,"",IF(INDEX('Raw Flow Data'!$A:$A,$K$5+ROW()-26)="","",INDEX('Raw Flow Data'!$A:$A,$K$5+ROW()-26))),"")</f>
        <v/>
      </c>
      <c r="B104" s="24">
        <f>IFERROR(IF($B$3="","",IF($K$5+ROW()-26&gt;$K$6,"",IF(INDEX('Raw Flow Data'!$A:$ZZ,$K$5+ROW()-26+$D$3,MATCH($B$3,'Raw Flow Data'!$1:$1,0))=-999,"",INDEX('Raw Flow Data'!$A:$ZZ,$K$5+ROW()-26+$D$3,MATCH($B$3,'Raw Flow Data'!$1:$1,0))*$C$3))),"")</f>
        <v/>
      </c>
      <c r="C104" s="24">
        <f>IFERROR(IF($B$4="","",IF($K$5+ROW()-26&gt;$K$6,"",IF(INDEX('Raw Flow Data'!$A:$ZZ,$K$5+ROW()-26+$D$4,MATCH($B$4,'Raw Flow Data'!$1:$1,0))=-999,"",INDEX('Raw Flow Data'!$A:$ZZ,$K$5+ROW()-26+$D$4,MATCH($B$4,'Raw Flow Data'!$1:$1,0))*$C$4))),"")</f>
        <v/>
      </c>
      <c r="D104" s="24">
        <f>IFERROR(IF($B$5="","",IF($K$5+ROW()-26&gt;$K$6,"",IF(INDEX('Raw Flow Data'!$A:$ZZ,$K$5+ROW()-26+$D$5,MATCH($B$5,'Raw Flow Data'!$1:$1,0))=-999,"",INDEX('Raw Flow Data'!$A:$ZZ,$K$5+ROW()-26+$D$5,MATCH($B$5,'Raw Flow Data'!$1:$1,0))*$C$5))),"")</f>
        <v/>
      </c>
      <c r="E104" s="24">
        <f>IFERROR(IF($B$6="","",IF($K$5+ROW()-26&gt;$K$6,"",IF(INDEX('Raw Flow Data'!$A:$ZZ,$K$5+ROW()-26+$D$6,MATCH($B$6,'Raw Flow Data'!$1:$1,0))=-999,"",INDEX('Raw Flow Data'!$A:$ZZ,$K$5+ROW()-26+$D$6,MATCH($B$6,'Raw Flow Data'!$1:$1,0))*$C$6))),"")</f>
        <v/>
      </c>
      <c r="F104" s="24">
        <f>IFERROR(IF($B$7="","",IF($K$5+ROW()-26&gt;$K$6,"",IF(INDEX('Raw Flow Data'!$A:$ZZ,$K$5+ROW()-26+$D$7,MATCH($B$7,'Raw Flow Data'!$1:$1,0))=-999,"",INDEX('Raw Flow Data'!$A:$ZZ,$K$5+ROW()-26+$D$7,MATCH($B$7,'Raw Flow Data'!$1:$1,0))*$C$7))),"")</f>
        <v/>
      </c>
      <c r="G104" s="24">
        <f>IFERROR(IF($B$8="","",IF($K$5+ROW()-26&gt;$K$6,"",IF(INDEX('Raw Flow Data'!$A:$ZZ,$K$5+ROW()-26+$D$8,MATCH($B$8,'Raw Flow Data'!$1:$1,0))=-999,"",INDEX('Raw Flow Data'!$A:$ZZ,$K$5+ROW()-26+$D$8,MATCH($B$8,'Raw Flow Data'!$1:$1,0))*$C$8))),"")</f>
        <v/>
      </c>
      <c r="H104" s="24">
        <f>IFERROR(IF($B$9="","",IF($K$5+ROW()-26&gt;$K$6,"",IF(INDEX('Raw Flow Data'!$A:$ZZ,$K$5+ROW()-26+$D$9,MATCH($B$9,'Raw Flow Data'!$1:$1,0))=-999,"",INDEX('Raw Flow Data'!$A:$ZZ,$K$5+ROW()-26+$D$9,MATCH($B$9,'Raw Flow Data'!$1:$1,0))*$C$9))),"")</f>
        <v/>
      </c>
      <c r="I104" s="24">
        <f>IFERROR(IF($B$10="","",IF($K$5+ROW()-26&gt;$K$6,"",IF(INDEX('Raw Flow Data'!$A:$ZZ,$K$5+ROW()-26+$D$10,MATCH($B$10,'Raw Flow Data'!$1:$1,0))=-999,"",INDEX('Raw Flow Data'!$A:$ZZ,$K$5+ROW()-26+$D$10,MATCH($B$10,'Raw Flow Data'!$1:$1,0))*$C$10))),"")</f>
        <v/>
      </c>
      <c r="J104" s="24">
        <f>IFERROR(IF($B$11="","",IF($K$5+ROW()-26&gt;$K$6,"",IF(INDEX('Raw Flow Data'!$A:$ZZ,$K$5+ROW()-26+$D$11,MATCH($B$11,'Raw Flow Data'!$1:$1,0))=-999,"",INDEX('Raw Flow Data'!$A:$ZZ,$K$5+ROW()-26+$D$11,MATCH($B$11,'Raw Flow Data'!$1:$1,0))*$C$11))),"")</f>
        <v/>
      </c>
      <c r="K104" s="24">
        <f>IFERROR(IF($B$12="","",IF($K$5+ROW()-26&gt;$K$6,"",IF(INDEX('Raw Flow Data'!$A:$ZZ,$K$5+ROW()-26+$D$12,MATCH($B$12,'Raw Flow Data'!$1:$1,0))=-999,"",INDEX('Raw Flow Data'!$A:$ZZ,$K$5+ROW()-26+$D$12,MATCH($B$12,'Raw Flow Data'!$1:$1,0))*$C$12))),"")</f>
        <v/>
      </c>
      <c r="L104" s="24">
        <f>IFERROR(IF($F$3="","",IF($K$5+ROW()-26&gt;$K$6,"",IF(INDEX('Raw Pressure Data'!$A:$ZZ,$K$5+ROW()-26+$H$3,MATCH($F$3,'Raw Pressure Data'!$1:$1,0))=-999,"",INDEX('Raw Pressure Data'!$A:$ZZ,$K$5+ROW()-26+$H$3,MATCH($F$3,'Raw Pressure Data'!$1:$1,0))+$G$3))),"")</f>
        <v/>
      </c>
      <c r="M104" s="24">
        <f>IFERROR(IF($F$4="","",IF($K$5+ROW()-26&gt;$K$6,"",IF(INDEX('Raw Pressure Data'!$A:$ZZ,$K$5+ROW()-26+$H$4,MATCH($F$4,'Raw Pressure Data'!$1:$1,0))=-999,"",INDEX('Raw Pressure Data'!$A:$ZZ,$K$5+ROW()-26+$H$4,MATCH($F$4,'Raw Pressure Data'!$1:$1,0))+$G$4))),"")</f>
        <v/>
      </c>
      <c r="N104" s="24">
        <f>IFERROR(IF($F$5="","",IF($K$5+ROW()-26&gt;$K$6,"",IF(INDEX('Raw Pressure Data'!$A:$ZZ,$K$5+ROW()-26+$H$5,MATCH($F$5,'Raw Pressure Data'!$1:$1,0))=-999,"",INDEX('Raw Pressure Data'!$A:$ZZ,$K$5+ROW()-26+$H$5,MATCH($F$5,'Raw Pressure Data'!$1:$1,0))+$G$5))),"")</f>
        <v/>
      </c>
      <c r="O104" s="24">
        <f>IFERROR(IF($F$6="","",IF($K$5+ROW()-26&gt;$K$6,"",IF(INDEX('Raw Pressure Data'!$A:$ZZ,$K$5+ROW()-26+$H$6,MATCH($F$6,'Raw Pressure Data'!$1:$1,0))=-999,"",INDEX('Raw Pressure Data'!$A:$ZZ,$K$5+ROW()-26+$H$6,MATCH($F$6,'Raw Pressure Data'!$1:$1,0))+$G$6))),"")</f>
        <v/>
      </c>
      <c r="P104" s="24">
        <f>IFERROR(IF($F$7="","",IF($K$5+ROW()-26&gt;$K$6,"",IF(INDEX('Raw Pressure Data'!$A:$ZZ,$K$5+ROW()-26+$H$7,MATCH($F$7,'Raw Pressure Data'!$1:$1,0))=-999,"",INDEX('Raw Pressure Data'!$A:$ZZ,$K$5+ROW()-26+$H$7,MATCH($F$7,'Raw Pressure Data'!$1:$1,0))+$G$7))),"")</f>
        <v/>
      </c>
      <c r="Q104" s="24">
        <f>IFERROR(IF($F$8="","",IF($K$5+ROW()-26&gt;$K$6,"",IF(INDEX('Raw Pressure Data'!$A:$ZZ,$K$5+ROW()-26+$H$8,MATCH($F$8,'Raw Pressure Data'!$1:$1,0))=-999,"",INDEX('Raw Pressure Data'!$A:$ZZ,$K$5+ROW()-26+$H$8,MATCH($F$8,'Raw Pressure Data'!$1:$1,0))+$G$8))),"")</f>
        <v/>
      </c>
      <c r="R104" s="24">
        <f>IFERROR(IF($F$9="","",IF($K$5+ROW()-26&gt;$K$6,"",IF(INDEX('Raw Pressure Data'!$A:$ZZ,$K$5+ROW()-26+$H$9,MATCH($F$9,'Raw Pressure Data'!$1:$1,0))=-999,"",INDEX('Raw Pressure Data'!$A:$ZZ,$K$5+ROW()-26+$H$9,MATCH($F$9,'Raw Pressure Data'!$1:$1,0))+$G$9))),"")</f>
        <v/>
      </c>
      <c r="S104" s="24">
        <f>IFERROR(IF($F$10="","",IF($K$5+ROW()-26&gt;$K$6,"",IF(INDEX('Raw Pressure Data'!$A:$ZZ,$K$5+ROW()-26+$H$10,MATCH($F$10,'Raw Pressure Data'!$1:$1,0))=-999,"",INDEX('Raw Pressure Data'!$A:$ZZ,$K$5+ROW()-26+$H$10,MATCH($F$10,'Raw Pressure Data'!$1:$1,0))+$G$10))),"")</f>
        <v/>
      </c>
      <c r="T104" s="24">
        <f>IFERROR(IF($F$11="","",IF($K$5+ROW()-26&gt;$K$6,"",IF(INDEX('Raw Pressure Data'!$A:$ZZ,$K$5+ROW()-26+$H$11,MATCH($F$11,'Raw Pressure Data'!$1:$1,0))=-999,"",INDEX('Raw Pressure Data'!$A:$ZZ,$K$5+ROW()-26+$H$11,MATCH($F$11,'Raw Pressure Data'!$1:$1,0))+$G$11))),"")</f>
        <v/>
      </c>
      <c r="U104" s="24">
        <f>IFERROR(IF($F$12="","",IF($K$5+ROW()-26&gt;$K$6,"",IF(INDEX('Raw Pressure Data'!$A:$ZZ,$K$5+ROW()-26+$H$12,MATCH($F$12,'Raw Pressure Data'!$1:$1,0))=-999,"",INDEX('Raw Pressure Data'!$A:$ZZ,$K$5+ROW()-26+$H$12,MATCH($F$12,'Raw Pressure Data'!$1:$1,0))+$G$12))),"")</f>
        <v/>
      </c>
      <c r="V104" s="24">
        <f>IFERROR(IF($F$13="","",IF($K$5+ROW()-26&gt;$K$6,"",IF(INDEX('Raw Pressure Data'!$A:$ZZ,$K$5+ROW()-26+$H$13,MATCH($F$13,'Raw Pressure Data'!$1:$1,0))=-999,"",INDEX('Raw Pressure Data'!$A:$ZZ,$K$5+ROW()-26+$H$13,MATCH($F$13,'Raw Pressure Data'!$1:$1,0))+$G$13))),"")</f>
        <v/>
      </c>
      <c r="W104" s="24">
        <f>IFERROR(IF($F$14="","",IF($K$5+ROW()-26&gt;$K$6,"",IF(INDEX('Raw Pressure Data'!$A:$ZZ,$K$5+ROW()-26+$H$14,MATCH($F$14,'Raw Pressure Data'!$1:$1,0))=-999,"",INDEX('Raw Pressure Data'!$A:$ZZ,$K$5+ROW()-26+$H$14,MATCH($F$14,'Raw Pressure Data'!$1:$1,0))+$G$14))),"")</f>
        <v/>
      </c>
      <c r="X104" s="24">
        <f>IFERROR(IF($F$15="","",IF($K$5+ROW()-26&gt;$K$6,"",IF(INDEX('Raw Pressure Data'!$A:$ZZ,$K$5+ROW()-26+$H$15,MATCH($F$15,'Raw Pressure Data'!$1:$1,0))=-999,"",INDEX('Raw Pressure Data'!$A:$ZZ,$K$5+ROW()-26+$H$15,MATCH($F$15,'Raw Pressure Data'!$1:$1,0))+$G$15))),"")</f>
        <v/>
      </c>
      <c r="Y104" s="24">
        <f>IFERROR(IF($F$16="","",IF($K$5+ROW()-26&gt;$K$6,"",IF(INDEX('Raw Pressure Data'!$A:$ZZ,$K$5+ROW()-26+$H$16,MATCH($F$16,'Raw Pressure Data'!$1:$1,0))=-999,"",INDEX('Raw Pressure Data'!$A:$ZZ,$K$5+ROW()-26+$H$16,MATCH($F$16,'Raw Pressure Data'!$1:$1,0))+$G$16))),"")</f>
        <v/>
      </c>
      <c r="Z104" s="24">
        <f>IFERROR(IF($F$17="","",IF($K$5+ROW()-26&gt;$K$6,"",IF(INDEX('Raw Pressure Data'!$A:$ZZ,$K$5+ROW()-26+$H$17,MATCH($F$17,'Raw Pressure Data'!$1:$1,0))=-999,"",INDEX('Raw Pressure Data'!$A:$ZZ,$K$5+ROW()-26+$H$17,MATCH($F$17,'Raw Pressure Data'!$1:$1,0))+$G$17))),"")</f>
        <v/>
      </c>
      <c r="AA104" s="24">
        <f>IFERROR(IF($F$18="","",IF($K$5+ROW()-26&gt;$K$6,"",IF(INDEX('Raw Pressure Data'!$A:$ZZ,$K$5+ROW()-26+$H$18,MATCH($F$18,'Raw Pressure Data'!$1:$1,0))=-999,"",INDEX('Raw Pressure Data'!$A:$ZZ,$K$5+ROW()-26+$H$18,MATCH($F$18,'Raw Pressure Data'!$1:$1,0))+$G$18))),"")</f>
        <v/>
      </c>
      <c r="AB104" s="24">
        <f>IFERROR(IF($F$19="","",IF($K$5+ROW()-26&gt;$K$6,"",IF(INDEX('Raw Pressure Data'!$A:$ZZ,$K$5+ROW()-26+$H$19,MATCH($F$19,'Raw Pressure Data'!$1:$1,0))=-999,"",INDEX('Raw Pressure Data'!$A:$ZZ,$K$5+ROW()-26+$H$19,MATCH($F$19,'Raw Pressure Data'!$1:$1,0))+$G$19))),"")</f>
        <v/>
      </c>
      <c r="AC104" s="24">
        <f>IFERROR(IF($F$20="","",IF($K$5+ROW()-26&gt;$K$6,"",IF(INDEX('Raw Pressure Data'!$A:$ZZ,$K$5+ROW()-26+$H$20,MATCH($F$20,'Raw Pressure Data'!$1:$1,0))=-999,"",INDEX('Raw Pressure Data'!$A:$ZZ,$K$5+ROW()-26+$H$20,MATCH($F$20,'Raw Pressure Data'!$1:$1,0))+$G$20))),"")</f>
        <v/>
      </c>
      <c r="AD104" s="24">
        <f>IFERROR(IF($F$21="","",IF($K$5+ROW()-26&gt;$K$6,"",IF(INDEX('Raw Pressure Data'!$A:$ZZ,$K$5+ROW()-26+$H$21,MATCH($F$21,'Raw Pressure Data'!$1:$1,0))=-999,"",INDEX('Raw Pressure Data'!$A:$ZZ,$K$5+ROW()-26+$H$21,MATCH($F$21,'Raw Pressure Data'!$1:$1,0))+$G$21))),"")</f>
        <v/>
      </c>
      <c r="AE104" s="24">
        <f>IFERROR(IF($F$22="","",IF($K$5+ROW()-26&gt;$K$6,"",IF(INDEX('Raw Pressure Data'!$A:$ZZ,$K$5+ROW()-26+$H$22,MATCH($F$22,'Raw Pressure Data'!$1:$1,0))=-999,"",INDEX('Raw Pressure Data'!$A:$ZZ,$K$5+ROW()-26+$H$22,MATCH($F$22,'Raw Pressure Data'!$1:$1,0))+$G$22))),"")</f>
        <v/>
      </c>
    </row>
    <row r="105" ht="15" customHeight="1">
      <c r="A105" s="25">
        <f>IFERROR(IF($K$5+ROW()-26&gt;$K$6,"",IF(INDEX('Raw Flow Data'!$A:$A,$K$5+ROW()-26)="","",INDEX('Raw Flow Data'!$A:$A,$K$5+ROW()-26))),"")</f>
        <v/>
      </c>
      <c r="B105" s="26">
        <f>IFERROR(IF($B$3="","",IF($K$5+ROW()-26&gt;$K$6,"",IF(INDEX('Raw Flow Data'!$A:$ZZ,$K$5+ROW()-26+$D$3,MATCH($B$3,'Raw Flow Data'!$1:$1,0))=-999,"",INDEX('Raw Flow Data'!$A:$ZZ,$K$5+ROW()-26+$D$3,MATCH($B$3,'Raw Flow Data'!$1:$1,0))*$C$3))),"")</f>
        <v/>
      </c>
      <c r="C105" s="26">
        <f>IFERROR(IF($B$4="","",IF($K$5+ROW()-26&gt;$K$6,"",IF(INDEX('Raw Flow Data'!$A:$ZZ,$K$5+ROW()-26+$D$4,MATCH($B$4,'Raw Flow Data'!$1:$1,0))=-999,"",INDEX('Raw Flow Data'!$A:$ZZ,$K$5+ROW()-26+$D$4,MATCH($B$4,'Raw Flow Data'!$1:$1,0))*$C$4))),"")</f>
        <v/>
      </c>
      <c r="D105" s="26">
        <f>IFERROR(IF($B$5="","",IF($K$5+ROW()-26&gt;$K$6,"",IF(INDEX('Raw Flow Data'!$A:$ZZ,$K$5+ROW()-26+$D$5,MATCH($B$5,'Raw Flow Data'!$1:$1,0))=-999,"",INDEX('Raw Flow Data'!$A:$ZZ,$K$5+ROW()-26+$D$5,MATCH($B$5,'Raw Flow Data'!$1:$1,0))*$C$5))),"")</f>
        <v/>
      </c>
      <c r="E105" s="26">
        <f>IFERROR(IF($B$6="","",IF($K$5+ROW()-26&gt;$K$6,"",IF(INDEX('Raw Flow Data'!$A:$ZZ,$K$5+ROW()-26+$D$6,MATCH($B$6,'Raw Flow Data'!$1:$1,0))=-999,"",INDEX('Raw Flow Data'!$A:$ZZ,$K$5+ROW()-26+$D$6,MATCH($B$6,'Raw Flow Data'!$1:$1,0))*$C$6))),"")</f>
        <v/>
      </c>
      <c r="F105" s="26">
        <f>IFERROR(IF($B$7="","",IF($K$5+ROW()-26&gt;$K$6,"",IF(INDEX('Raw Flow Data'!$A:$ZZ,$K$5+ROW()-26+$D$7,MATCH($B$7,'Raw Flow Data'!$1:$1,0))=-999,"",INDEX('Raw Flow Data'!$A:$ZZ,$K$5+ROW()-26+$D$7,MATCH($B$7,'Raw Flow Data'!$1:$1,0))*$C$7))),"")</f>
        <v/>
      </c>
      <c r="G105" s="26">
        <f>IFERROR(IF($B$8="","",IF($K$5+ROW()-26&gt;$K$6,"",IF(INDEX('Raw Flow Data'!$A:$ZZ,$K$5+ROW()-26+$D$8,MATCH($B$8,'Raw Flow Data'!$1:$1,0))=-999,"",INDEX('Raw Flow Data'!$A:$ZZ,$K$5+ROW()-26+$D$8,MATCH($B$8,'Raw Flow Data'!$1:$1,0))*$C$8))),"")</f>
        <v/>
      </c>
      <c r="H105" s="26">
        <f>IFERROR(IF($B$9="","",IF($K$5+ROW()-26&gt;$K$6,"",IF(INDEX('Raw Flow Data'!$A:$ZZ,$K$5+ROW()-26+$D$9,MATCH($B$9,'Raw Flow Data'!$1:$1,0))=-999,"",INDEX('Raw Flow Data'!$A:$ZZ,$K$5+ROW()-26+$D$9,MATCH($B$9,'Raw Flow Data'!$1:$1,0))*$C$9))),"")</f>
        <v/>
      </c>
      <c r="I105" s="26">
        <f>IFERROR(IF($B$10="","",IF($K$5+ROW()-26&gt;$K$6,"",IF(INDEX('Raw Flow Data'!$A:$ZZ,$K$5+ROW()-26+$D$10,MATCH($B$10,'Raw Flow Data'!$1:$1,0))=-999,"",INDEX('Raw Flow Data'!$A:$ZZ,$K$5+ROW()-26+$D$10,MATCH($B$10,'Raw Flow Data'!$1:$1,0))*$C$10))),"")</f>
        <v/>
      </c>
      <c r="J105" s="26">
        <f>IFERROR(IF($B$11="","",IF($K$5+ROW()-26&gt;$K$6,"",IF(INDEX('Raw Flow Data'!$A:$ZZ,$K$5+ROW()-26+$D$11,MATCH($B$11,'Raw Flow Data'!$1:$1,0))=-999,"",INDEX('Raw Flow Data'!$A:$ZZ,$K$5+ROW()-26+$D$11,MATCH($B$11,'Raw Flow Data'!$1:$1,0))*$C$11))),"")</f>
        <v/>
      </c>
      <c r="K105" s="26">
        <f>IFERROR(IF($B$12="","",IF($K$5+ROW()-26&gt;$K$6,"",IF(INDEX('Raw Flow Data'!$A:$ZZ,$K$5+ROW()-26+$D$12,MATCH($B$12,'Raw Flow Data'!$1:$1,0))=-999,"",INDEX('Raw Flow Data'!$A:$ZZ,$K$5+ROW()-26+$D$12,MATCH($B$12,'Raw Flow Data'!$1:$1,0))*$C$12))),"")</f>
        <v/>
      </c>
      <c r="L105" s="26">
        <f>IFERROR(IF($F$3="","",IF($K$5+ROW()-26&gt;$K$6,"",IF(INDEX('Raw Pressure Data'!$A:$ZZ,$K$5+ROW()-26+$H$3,MATCH($F$3,'Raw Pressure Data'!$1:$1,0))=-999,"",INDEX('Raw Pressure Data'!$A:$ZZ,$K$5+ROW()-26+$H$3,MATCH($F$3,'Raw Pressure Data'!$1:$1,0))+$G$3))),"")</f>
        <v/>
      </c>
      <c r="M105" s="26">
        <f>IFERROR(IF($F$4="","",IF($K$5+ROW()-26&gt;$K$6,"",IF(INDEX('Raw Pressure Data'!$A:$ZZ,$K$5+ROW()-26+$H$4,MATCH($F$4,'Raw Pressure Data'!$1:$1,0))=-999,"",INDEX('Raw Pressure Data'!$A:$ZZ,$K$5+ROW()-26+$H$4,MATCH($F$4,'Raw Pressure Data'!$1:$1,0))+$G$4))),"")</f>
        <v/>
      </c>
      <c r="N105" s="26">
        <f>IFERROR(IF($F$5="","",IF($K$5+ROW()-26&gt;$K$6,"",IF(INDEX('Raw Pressure Data'!$A:$ZZ,$K$5+ROW()-26+$H$5,MATCH($F$5,'Raw Pressure Data'!$1:$1,0))=-999,"",INDEX('Raw Pressure Data'!$A:$ZZ,$K$5+ROW()-26+$H$5,MATCH($F$5,'Raw Pressure Data'!$1:$1,0))+$G$5))),"")</f>
        <v/>
      </c>
      <c r="O105" s="26">
        <f>IFERROR(IF($F$6="","",IF($K$5+ROW()-26&gt;$K$6,"",IF(INDEX('Raw Pressure Data'!$A:$ZZ,$K$5+ROW()-26+$H$6,MATCH($F$6,'Raw Pressure Data'!$1:$1,0))=-999,"",INDEX('Raw Pressure Data'!$A:$ZZ,$K$5+ROW()-26+$H$6,MATCH($F$6,'Raw Pressure Data'!$1:$1,0))+$G$6))),"")</f>
        <v/>
      </c>
      <c r="P105" s="26">
        <f>IFERROR(IF($F$7="","",IF($K$5+ROW()-26&gt;$K$6,"",IF(INDEX('Raw Pressure Data'!$A:$ZZ,$K$5+ROW()-26+$H$7,MATCH($F$7,'Raw Pressure Data'!$1:$1,0))=-999,"",INDEX('Raw Pressure Data'!$A:$ZZ,$K$5+ROW()-26+$H$7,MATCH($F$7,'Raw Pressure Data'!$1:$1,0))+$G$7))),"")</f>
        <v/>
      </c>
      <c r="Q105" s="26">
        <f>IFERROR(IF($F$8="","",IF($K$5+ROW()-26&gt;$K$6,"",IF(INDEX('Raw Pressure Data'!$A:$ZZ,$K$5+ROW()-26+$H$8,MATCH($F$8,'Raw Pressure Data'!$1:$1,0))=-999,"",INDEX('Raw Pressure Data'!$A:$ZZ,$K$5+ROW()-26+$H$8,MATCH($F$8,'Raw Pressure Data'!$1:$1,0))+$G$8))),"")</f>
        <v/>
      </c>
      <c r="R105" s="26">
        <f>IFERROR(IF($F$9="","",IF($K$5+ROW()-26&gt;$K$6,"",IF(INDEX('Raw Pressure Data'!$A:$ZZ,$K$5+ROW()-26+$H$9,MATCH($F$9,'Raw Pressure Data'!$1:$1,0))=-999,"",INDEX('Raw Pressure Data'!$A:$ZZ,$K$5+ROW()-26+$H$9,MATCH($F$9,'Raw Pressure Data'!$1:$1,0))+$G$9))),"")</f>
        <v/>
      </c>
      <c r="S105" s="26">
        <f>IFERROR(IF($F$10="","",IF($K$5+ROW()-26&gt;$K$6,"",IF(INDEX('Raw Pressure Data'!$A:$ZZ,$K$5+ROW()-26+$H$10,MATCH($F$10,'Raw Pressure Data'!$1:$1,0))=-999,"",INDEX('Raw Pressure Data'!$A:$ZZ,$K$5+ROW()-26+$H$10,MATCH($F$10,'Raw Pressure Data'!$1:$1,0))+$G$10))),"")</f>
        <v/>
      </c>
      <c r="T105" s="26">
        <f>IFERROR(IF($F$11="","",IF($K$5+ROW()-26&gt;$K$6,"",IF(INDEX('Raw Pressure Data'!$A:$ZZ,$K$5+ROW()-26+$H$11,MATCH($F$11,'Raw Pressure Data'!$1:$1,0))=-999,"",INDEX('Raw Pressure Data'!$A:$ZZ,$K$5+ROW()-26+$H$11,MATCH($F$11,'Raw Pressure Data'!$1:$1,0))+$G$11))),"")</f>
        <v/>
      </c>
      <c r="U105" s="26">
        <f>IFERROR(IF($F$12="","",IF($K$5+ROW()-26&gt;$K$6,"",IF(INDEX('Raw Pressure Data'!$A:$ZZ,$K$5+ROW()-26+$H$12,MATCH($F$12,'Raw Pressure Data'!$1:$1,0))=-999,"",INDEX('Raw Pressure Data'!$A:$ZZ,$K$5+ROW()-26+$H$12,MATCH($F$12,'Raw Pressure Data'!$1:$1,0))+$G$12))),"")</f>
        <v/>
      </c>
      <c r="V105" s="26">
        <f>IFERROR(IF($F$13="","",IF($K$5+ROW()-26&gt;$K$6,"",IF(INDEX('Raw Pressure Data'!$A:$ZZ,$K$5+ROW()-26+$H$13,MATCH($F$13,'Raw Pressure Data'!$1:$1,0))=-999,"",INDEX('Raw Pressure Data'!$A:$ZZ,$K$5+ROW()-26+$H$13,MATCH($F$13,'Raw Pressure Data'!$1:$1,0))+$G$13))),"")</f>
        <v/>
      </c>
      <c r="W105" s="26">
        <f>IFERROR(IF($F$14="","",IF($K$5+ROW()-26&gt;$K$6,"",IF(INDEX('Raw Pressure Data'!$A:$ZZ,$K$5+ROW()-26+$H$14,MATCH($F$14,'Raw Pressure Data'!$1:$1,0))=-999,"",INDEX('Raw Pressure Data'!$A:$ZZ,$K$5+ROW()-26+$H$14,MATCH($F$14,'Raw Pressure Data'!$1:$1,0))+$G$14))),"")</f>
        <v/>
      </c>
      <c r="X105" s="26">
        <f>IFERROR(IF($F$15="","",IF($K$5+ROW()-26&gt;$K$6,"",IF(INDEX('Raw Pressure Data'!$A:$ZZ,$K$5+ROW()-26+$H$15,MATCH($F$15,'Raw Pressure Data'!$1:$1,0))=-999,"",INDEX('Raw Pressure Data'!$A:$ZZ,$K$5+ROW()-26+$H$15,MATCH($F$15,'Raw Pressure Data'!$1:$1,0))+$G$15))),"")</f>
        <v/>
      </c>
      <c r="Y105" s="26">
        <f>IFERROR(IF($F$16="","",IF($K$5+ROW()-26&gt;$K$6,"",IF(INDEX('Raw Pressure Data'!$A:$ZZ,$K$5+ROW()-26+$H$16,MATCH($F$16,'Raw Pressure Data'!$1:$1,0))=-999,"",INDEX('Raw Pressure Data'!$A:$ZZ,$K$5+ROW()-26+$H$16,MATCH($F$16,'Raw Pressure Data'!$1:$1,0))+$G$16))),"")</f>
        <v/>
      </c>
      <c r="Z105" s="26">
        <f>IFERROR(IF($F$17="","",IF($K$5+ROW()-26&gt;$K$6,"",IF(INDEX('Raw Pressure Data'!$A:$ZZ,$K$5+ROW()-26+$H$17,MATCH($F$17,'Raw Pressure Data'!$1:$1,0))=-999,"",INDEX('Raw Pressure Data'!$A:$ZZ,$K$5+ROW()-26+$H$17,MATCH($F$17,'Raw Pressure Data'!$1:$1,0))+$G$17))),"")</f>
        <v/>
      </c>
      <c r="AA105" s="26">
        <f>IFERROR(IF($F$18="","",IF($K$5+ROW()-26&gt;$K$6,"",IF(INDEX('Raw Pressure Data'!$A:$ZZ,$K$5+ROW()-26+$H$18,MATCH($F$18,'Raw Pressure Data'!$1:$1,0))=-999,"",INDEX('Raw Pressure Data'!$A:$ZZ,$K$5+ROW()-26+$H$18,MATCH($F$18,'Raw Pressure Data'!$1:$1,0))+$G$18))),"")</f>
        <v/>
      </c>
      <c r="AB105" s="26">
        <f>IFERROR(IF($F$19="","",IF($K$5+ROW()-26&gt;$K$6,"",IF(INDEX('Raw Pressure Data'!$A:$ZZ,$K$5+ROW()-26+$H$19,MATCH($F$19,'Raw Pressure Data'!$1:$1,0))=-999,"",INDEX('Raw Pressure Data'!$A:$ZZ,$K$5+ROW()-26+$H$19,MATCH($F$19,'Raw Pressure Data'!$1:$1,0))+$G$19))),"")</f>
        <v/>
      </c>
      <c r="AC105" s="26">
        <f>IFERROR(IF($F$20="","",IF($K$5+ROW()-26&gt;$K$6,"",IF(INDEX('Raw Pressure Data'!$A:$ZZ,$K$5+ROW()-26+$H$20,MATCH($F$20,'Raw Pressure Data'!$1:$1,0))=-999,"",INDEX('Raw Pressure Data'!$A:$ZZ,$K$5+ROW()-26+$H$20,MATCH($F$20,'Raw Pressure Data'!$1:$1,0))+$G$20))),"")</f>
        <v/>
      </c>
      <c r="AD105" s="26">
        <f>IFERROR(IF($F$21="","",IF($K$5+ROW()-26&gt;$K$6,"",IF(INDEX('Raw Pressure Data'!$A:$ZZ,$K$5+ROW()-26+$H$21,MATCH($F$21,'Raw Pressure Data'!$1:$1,0))=-999,"",INDEX('Raw Pressure Data'!$A:$ZZ,$K$5+ROW()-26+$H$21,MATCH($F$21,'Raw Pressure Data'!$1:$1,0))+$G$21))),"")</f>
        <v/>
      </c>
      <c r="AE105" s="26">
        <f>IFERROR(IF($F$22="","",IF($K$5+ROW()-26&gt;$K$6,"",IF(INDEX('Raw Pressure Data'!$A:$ZZ,$K$5+ROW()-26+$H$22,MATCH($F$22,'Raw Pressure Data'!$1:$1,0))=-999,"",INDEX('Raw Pressure Data'!$A:$ZZ,$K$5+ROW()-26+$H$22,MATCH($F$22,'Raw Pressure Data'!$1:$1,0))+$G$22))),"")</f>
        <v/>
      </c>
    </row>
    <row r="106" ht="15" customHeight="1">
      <c r="A106" s="23">
        <f>IFERROR(IF($K$5+ROW()-26&gt;$K$6,"",IF(INDEX('Raw Flow Data'!$A:$A,$K$5+ROW()-26)="","",INDEX('Raw Flow Data'!$A:$A,$K$5+ROW()-26))),"")</f>
        <v/>
      </c>
      <c r="B106" s="24">
        <f>IFERROR(IF($B$3="","",IF($K$5+ROW()-26&gt;$K$6,"",IF(INDEX('Raw Flow Data'!$A:$ZZ,$K$5+ROW()-26+$D$3,MATCH($B$3,'Raw Flow Data'!$1:$1,0))=-999,"",INDEX('Raw Flow Data'!$A:$ZZ,$K$5+ROW()-26+$D$3,MATCH($B$3,'Raw Flow Data'!$1:$1,0))*$C$3))),"")</f>
        <v/>
      </c>
      <c r="C106" s="24">
        <f>IFERROR(IF($B$4="","",IF($K$5+ROW()-26&gt;$K$6,"",IF(INDEX('Raw Flow Data'!$A:$ZZ,$K$5+ROW()-26+$D$4,MATCH($B$4,'Raw Flow Data'!$1:$1,0))=-999,"",INDEX('Raw Flow Data'!$A:$ZZ,$K$5+ROW()-26+$D$4,MATCH($B$4,'Raw Flow Data'!$1:$1,0))*$C$4))),"")</f>
        <v/>
      </c>
      <c r="D106" s="24">
        <f>IFERROR(IF($B$5="","",IF($K$5+ROW()-26&gt;$K$6,"",IF(INDEX('Raw Flow Data'!$A:$ZZ,$K$5+ROW()-26+$D$5,MATCH($B$5,'Raw Flow Data'!$1:$1,0))=-999,"",INDEX('Raw Flow Data'!$A:$ZZ,$K$5+ROW()-26+$D$5,MATCH($B$5,'Raw Flow Data'!$1:$1,0))*$C$5))),"")</f>
        <v/>
      </c>
      <c r="E106" s="24">
        <f>IFERROR(IF($B$6="","",IF($K$5+ROW()-26&gt;$K$6,"",IF(INDEX('Raw Flow Data'!$A:$ZZ,$K$5+ROW()-26+$D$6,MATCH($B$6,'Raw Flow Data'!$1:$1,0))=-999,"",INDEX('Raw Flow Data'!$A:$ZZ,$K$5+ROW()-26+$D$6,MATCH($B$6,'Raw Flow Data'!$1:$1,0))*$C$6))),"")</f>
        <v/>
      </c>
      <c r="F106" s="24">
        <f>IFERROR(IF($B$7="","",IF($K$5+ROW()-26&gt;$K$6,"",IF(INDEX('Raw Flow Data'!$A:$ZZ,$K$5+ROW()-26+$D$7,MATCH($B$7,'Raw Flow Data'!$1:$1,0))=-999,"",INDEX('Raw Flow Data'!$A:$ZZ,$K$5+ROW()-26+$D$7,MATCH($B$7,'Raw Flow Data'!$1:$1,0))*$C$7))),"")</f>
        <v/>
      </c>
      <c r="G106" s="24">
        <f>IFERROR(IF($B$8="","",IF($K$5+ROW()-26&gt;$K$6,"",IF(INDEX('Raw Flow Data'!$A:$ZZ,$K$5+ROW()-26+$D$8,MATCH($B$8,'Raw Flow Data'!$1:$1,0))=-999,"",INDEX('Raw Flow Data'!$A:$ZZ,$K$5+ROW()-26+$D$8,MATCH($B$8,'Raw Flow Data'!$1:$1,0))*$C$8))),"")</f>
        <v/>
      </c>
      <c r="H106" s="24">
        <f>IFERROR(IF($B$9="","",IF($K$5+ROW()-26&gt;$K$6,"",IF(INDEX('Raw Flow Data'!$A:$ZZ,$K$5+ROW()-26+$D$9,MATCH($B$9,'Raw Flow Data'!$1:$1,0))=-999,"",INDEX('Raw Flow Data'!$A:$ZZ,$K$5+ROW()-26+$D$9,MATCH($B$9,'Raw Flow Data'!$1:$1,0))*$C$9))),"")</f>
        <v/>
      </c>
      <c r="I106" s="24">
        <f>IFERROR(IF($B$10="","",IF($K$5+ROW()-26&gt;$K$6,"",IF(INDEX('Raw Flow Data'!$A:$ZZ,$K$5+ROW()-26+$D$10,MATCH($B$10,'Raw Flow Data'!$1:$1,0))=-999,"",INDEX('Raw Flow Data'!$A:$ZZ,$K$5+ROW()-26+$D$10,MATCH($B$10,'Raw Flow Data'!$1:$1,0))*$C$10))),"")</f>
        <v/>
      </c>
      <c r="J106" s="24">
        <f>IFERROR(IF($B$11="","",IF($K$5+ROW()-26&gt;$K$6,"",IF(INDEX('Raw Flow Data'!$A:$ZZ,$K$5+ROW()-26+$D$11,MATCH($B$11,'Raw Flow Data'!$1:$1,0))=-999,"",INDEX('Raw Flow Data'!$A:$ZZ,$K$5+ROW()-26+$D$11,MATCH($B$11,'Raw Flow Data'!$1:$1,0))*$C$11))),"")</f>
        <v/>
      </c>
      <c r="K106" s="24">
        <f>IFERROR(IF($B$12="","",IF($K$5+ROW()-26&gt;$K$6,"",IF(INDEX('Raw Flow Data'!$A:$ZZ,$K$5+ROW()-26+$D$12,MATCH($B$12,'Raw Flow Data'!$1:$1,0))=-999,"",INDEX('Raw Flow Data'!$A:$ZZ,$K$5+ROW()-26+$D$12,MATCH($B$12,'Raw Flow Data'!$1:$1,0))*$C$12))),"")</f>
        <v/>
      </c>
      <c r="L106" s="24">
        <f>IFERROR(IF($F$3="","",IF($K$5+ROW()-26&gt;$K$6,"",IF(INDEX('Raw Pressure Data'!$A:$ZZ,$K$5+ROW()-26+$H$3,MATCH($F$3,'Raw Pressure Data'!$1:$1,0))=-999,"",INDEX('Raw Pressure Data'!$A:$ZZ,$K$5+ROW()-26+$H$3,MATCH($F$3,'Raw Pressure Data'!$1:$1,0))+$G$3))),"")</f>
        <v/>
      </c>
      <c r="M106" s="24">
        <f>IFERROR(IF($F$4="","",IF($K$5+ROW()-26&gt;$K$6,"",IF(INDEX('Raw Pressure Data'!$A:$ZZ,$K$5+ROW()-26+$H$4,MATCH($F$4,'Raw Pressure Data'!$1:$1,0))=-999,"",INDEX('Raw Pressure Data'!$A:$ZZ,$K$5+ROW()-26+$H$4,MATCH($F$4,'Raw Pressure Data'!$1:$1,0))+$G$4))),"")</f>
        <v/>
      </c>
      <c r="N106" s="24">
        <f>IFERROR(IF($F$5="","",IF($K$5+ROW()-26&gt;$K$6,"",IF(INDEX('Raw Pressure Data'!$A:$ZZ,$K$5+ROW()-26+$H$5,MATCH($F$5,'Raw Pressure Data'!$1:$1,0))=-999,"",INDEX('Raw Pressure Data'!$A:$ZZ,$K$5+ROW()-26+$H$5,MATCH($F$5,'Raw Pressure Data'!$1:$1,0))+$G$5))),"")</f>
        <v/>
      </c>
      <c r="O106" s="24">
        <f>IFERROR(IF($F$6="","",IF($K$5+ROW()-26&gt;$K$6,"",IF(INDEX('Raw Pressure Data'!$A:$ZZ,$K$5+ROW()-26+$H$6,MATCH($F$6,'Raw Pressure Data'!$1:$1,0))=-999,"",INDEX('Raw Pressure Data'!$A:$ZZ,$K$5+ROW()-26+$H$6,MATCH($F$6,'Raw Pressure Data'!$1:$1,0))+$G$6))),"")</f>
        <v/>
      </c>
      <c r="P106" s="24">
        <f>IFERROR(IF($F$7="","",IF($K$5+ROW()-26&gt;$K$6,"",IF(INDEX('Raw Pressure Data'!$A:$ZZ,$K$5+ROW()-26+$H$7,MATCH($F$7,'Raw Pressure Data'!$1:$1,0))=-999,"",INDEX('Raw Pressure Data'!$A:$ZZ,$K$5+ROW()-26+$H$7,MATCH($F$7,'Raw Pressure Data'!$1:$1,0))+$G$7))),"")</f>
        <v/>
      </c>
      <c r="Q106" s="24">
        <f>IFERROR(IF($F$8="","",IF($K$5+ROW()-26&gt;$K$6,"",IF(INDEX('Raw Pressure Data'!$A:$ZZ,$K$5+ROW()-26+$H$8,MATCH($F$8,'Raw Pressure Data'!$1:$1,0))=-999,"",INDEX('Raw Pressure Data'!$A:$ZZ,$K$5+ROW()-26+$H$8,MATCH($F$8,'Raw Pressure Data'!$1:$1,0))+$G$8))),"")</f>
        <v/>
      </c>
      <c r="R106" s="24">
        <f>IFERROR(IF($F$9="","",IF($K$5+ROW()-26&gt;$K$6,"",IF(INDEX('Raw Pressure Data'!$A:$ZZ,$K$5+ROW()-26+$H$9,MATCH($F$9,'Raw Pressure Data'!$1:$1,0))=-999,"",INDEX('Raw Pressure Data'!$A:$ZZ,$K$5+ROW()-26+$H$9,MATCH($F$9,'Raw Pressure Data'!$1:$1,0))+$G$9))),"")</f>
        <v/>
      </c>
      <c r="S106" s="24">
        <f>IFERROR(IF($F$10="","",IF($K$5+ROW()-26&gt;$K$6,"",IF(INDEX('Raw Pressure Data'!$A:$ZZ,$K$5+ROW()-26+$H$10,MATCH($F$10,'Raw Pressure Data'!$1:$1,0))=-999,"",INDEX('Raw Pressure Data'!$A:$ZZ,$K$5+ROW()-26+$H$10,MATCH($F$10,'Raw Pressure Data'!$1:$1,0))+$G$10))),"")</f>
        <v/>
      </c>
      <c r="T106" s="24">
        <f>IFERROR(IF($F$11="","",IF($K$5+ROW()-26&gt;$K$6,"",IF(INDEX('Raw Pressure Data'!$A:$ZZ,$K$5+ROW()-26+$H$11,MATCH($F$11,'Raw Pressure Data'!$1:$1,0))=-999,"",INDEX('Raw Pressure Data'!$A:$ZZ,$K$5+ROW()-26+$H$11,MATCH($F$11,'Raw Pressure Data'!$1:$1,0))+$G$11))),"")</f>
        <v/>
      </c>
      <c r="U106" s="24">
        <f>IFERROR(IF($F$12="","",IF($K$5+ROW()-26&gt;$K$6,"",IF(INDEX('Raw Pressure Data'!$A:$ZZ,$K$5+ROW()-26+$H$12,MATCH($F$12,'Raw Pressure Data'!$1:$1,0))=-999,"",INDEX('Raw Pressure Data'!$A:$ZZ,$K$5+ROW()-26+$H$12,MATCH($F$12,'Raw Pressure Data'!$1:$1,0))+$G$12))),"")</f>
        <v/>
      </c>
      <c r="V106" s="24">
        <f>IFERROR(IF($F$13="","",IF($K$5+ROW()-26&gt;$K$6,"",IF(INDEX('Raw Pressure Data'!$A:$ZZ,$K$5+ROW()-26+$H$13,MATCH($F$13,'Raw Pressure Data'!$1:$1,0))=-999,"",INDEX('Raw Pressure Data'!$A:$ZZ,$K$5+ROW()-26+$H$13,MATCH($F$13,'Raw Pressure Data'!$1:$1,0))+$G$13))),"")</f>
        <v/>
      </c>
      <c r="W106" s="24">
        <f>IFERROR(IF($F$14="","",IF($K$5+ROW()-26&gt;$K$6,"",IF(INDEX('Raw Pressure Data'!$A:$ZZ,$K$5+ROW()-26+$H$14,MATCH($F$14,'Raw Pressure Data'!$1:$1,0))=-999,"",INDEX('Raw Pressure Data'!$A:$ZZ,$K$5+ROW()-26+$H$14,MATCH($F$14,'Raw Pressure Data'!$1:$1,0))+$G$14))),"")</f>
        <v/>
      </c>
      <c r="X106" s="24">
        <f>IFERROR(IF($F$15="","",IF($K$5+ROW()-26&gt;$K$6,"",IF(INDEX('Raw Pressure Data'!$A:$ZZ,$K$5+ROW()-26+$H$15,MATCH($F$15,'Raw Pressure Data'!$1:$1,0))=-999,"",INDEX('Raw Pressure Data'!$A:$ZZ,$K$5+ROW()-26+$H$15,MATCH($F$15,'Raw Pressure Data'!$1:$1,0))+$G$15))),"")</f>
        <v/>
      </c>
      <c r="Y106" s="24">
        <f>IFERROR(IF($F$16="","",IF($K$5+ROW()-26&gt;$K$6,"",IF(INDEX('Raw Pressure Data'!$A:$ZZ,$K$5+ROW()-26+$H$16,MATCH($F$16,'Raw Pressure Data'!$1:$1,0))=-999,"",INDEX('Raw Pressure Data'!$A:$ZZ,$K$5+ROW()-26+$H$16,MATCH($F$16,'Raw Pressure Data'!$1:$1,0))+$G$16))),"")</f>
        <v/>
      </c>
      <c r="Z106" s="24">
        <f>IFERROR(IF($F$17="","",IF($K$5+ROW()-26&gt;$K$6,"",IF(INDEX('Raw Pressure Data'!$A:$ZZ,$K$5+ROW()-26+$H$17,MATCH($F$17,'Raw Pressure Data'!$1:$1,0))=-999,"",INDEX('Raw Pressure Data'!$A:$ZZ,$K$5+ROW()-26+$H$17,MATCH($F$17,'Raw Pressure Data'!$1:$1,0))+$G$17))),"")</f>
        <v/>
      </c>
      <c r="AA106" s="24">
        <f>IFERROR(IF($F$18="","",IF($K$5+ROW()-26&gt;$K$6,"",IF(INDEX('Raw Pressure Data'!$A:$ZZ,$K$5+ROW()-26+$H$18,MATCH($F$18,'Raw Pressure Data'!$1:$1,0))=-999,"",INDEX('Raw Pressure Data'!$A:$ZZ,$K$5+ROW()-26+$H$18,MATCH($F$18,'Raw Pressure Data'!$1:$1,0))+$G$18))),"")</f>
        <v/>
      </c>
      <c r="AB106" s="24">
        <f>IFERROR(IF($F$19="","",IF($K$5+ROW()-26&gt;$K$6,"",IF(INDEX('Raw Pressure Data'!$A:$ZZ,$K$5+ROW()-26+$H$19,MATCH($F$19,'Raw Pressure Data'!$1:$1,0))=-999,"",INDEX('Raw Pressure Data'!$A:$ZZ,$K$5+ROW()-26+$H$19,MATCH($F$19,'Raw Pressure Data'!$1:$1,0))+$G$19))),"")</f>
        <v/>
      </c>
      <c r="AC106" s="24">
        <f>IFERROR(IF($F$20="","",IF($K$5+ROW()-26&gt;$K$6,"",IF(INDEX('Raw Pressure Data'!$A:$ZZ,$K$5+ROW()-26+$H$20,MATCH($F$20,'Raw Pressure Data'!$1:$1,0))=-999,"",INDEX('Raw Pressure Data'!$A:$ZZ,$K$5+ROW()-26+$H$20,MATCH($F$20,'Raw Pressure Data'!$1:$1,0))+$G$20))),"")</f>
        <v/>
      </c>
      <c r="AD106" s="24">
        <f>IFERROR(IF($F$21="","",IF($K$5+ROW()-26&gt;$K$6,"",IF(INDEX('Raw Pressure Data'!$A:$ZZ,$K$5+ROW()-26+$H$21,MATCH($F$21,'Raw Pressure Data'!$1:$1,0))=-999,"",INDEX('Raw Pressure Data'!$A:$ZZ,$K$5+ROW()-26+$H$21,MATCH($F$21,'Raw Pressure Data'!$1:$1,0))+$G$21))),"")</f>
        <v/>
      </c>
      <c r="AE106" s="24">
        <f>IFERROR(IF($F$22="","",IF($K$5+ROW()-26&gt;$K$6,"",IF(INDEX('Raw Pressure Data'!$A:$ZZ,$K$5+ROW()-26+$H$22,MATCH($F$22,'Raw Pressure Data'!$1:$1,0))=-999,"",INDEX('Raw Pressure Data'!$A:$ZZ,$K$5+ROW()-26+$H$22,MATCH($F$22,'Raw Pressure Data'!$1:$1,0))+$G$22))),"")</f>
        <v/>
      </c>
    </row>
    <row r="107" ht="15" customHeight="1">
      <c r="A107" s="25">
        <f>IFERROR(IF($K$5+ROW()-26&gt;$K$6,"",IF(INDEX('Raw Flow Data'!$A:$A,$K$5+ROW()-26)="","",INDEX('Raw Flow Data'!$A:$A,$K$5+ROW()-26))),"")</f>
        <v/>
      </c>
      <c r="B107" s="26">
        <f>IFERROR(IF($B$3="","",IF($K$5+ROW()-26&gt;$K$6,"",IF(INDEX('Raw Flow Data'!$A:$ZZ,$K$5+ROW()-26+$D$3,MATCH($B$3,'Raw Flow Data'!$1:$1,0))=-999,"",INDEX('Raw Flow Data'!$A:$ZZ,$K$5+ROW()-26+$D$3,MATCH($B$3,'Raw Flow Data'!$1:$1,0))*$C$3))),"")</f>
        <v/>
      </c>
      <c r="C107" s="26">
        <f>IFERROR(IF($B$4="","",IF($K$5+ROW()-26&gt;$K$6,"",IF(INDEX('Raw Flow Data'!$A:$ZZ,$K$5+ROW()-26+$D$4,MATCH($B$4,'Raw Flow Data'!$1:$1,0))=-999,"",INDEX('Raw Flow Data'!$A:$ZZ,$K$5+ROW()-26+$D$4,MATCH($B$4,'Raw Flow Data'!$1:$1,0))*$C$4))),"")</f>
        <v/>
      </c>
      <c r="D107" s="26">
        <f>IFERROR(IF($B$5="","",IF($K$5+ROW()-26&gt;$K$6,"",IF(INDEX('Raw Flow Data'!$A:$ZZ,$K$5+ROW()-26+$D$5,MATCH($B$5,'Raw Flow Data'!$1:$1,0))=-999,"",INDEX('Raw Flow Data'!$A:$ZZ,$K$5+ROW()-26+$D$5,MATCH($B$5,'Raw Flow Data'!$1:$1,0))*$C$5))),"")</f>
        <v/>
      </c>
      <c r="E107" s="26">
        <f>IFERROR(IF($B$6="","",IF($K$5+ROW()-26&gt;$K$6,"",IF(INDEX('Raw Flow Data'!$A:$ZZ,$K$5+ROW()-26+$D$6,MATCH($B$6,'Raw Flow Data'!$1:$1,0))=-999,"",INDEX('Raw Flow Data'!$A:$ZZ,$K$5+ROW()-26+$D$6,MATCH($B$6,'Raw Flow Data'!$1:$1,0))*$C$6))),"")</f>
        <v/>
      </c>
      <c r="F107" s="26">
        <f>IFERROR(IF($B$7="","",IF($K$5+ROW()-26&gt;$K$6,"",IF(INDEX('Raw Flow Data'!$A:$ZZ,$K$5+ROW()-26+$D$7,MATCH($B$7,'Raw Flow Data'!$1:$1,0))=-999,"",INDEX('Raw Flow Data'!$A:$ZZ,$K$5+ROW()-26+$D$7,MATCH($B$7,'Raw Flow Data'!$1:$1,0))*$C$7))),"")</f>
        <v/>
      </c>
      <c r="G107" s="26">
        <f>IFERROR(IF($B$8="","",IF($K$5+ROW()-26&gt;$K$6,"",IF(INDEX('Raw Flow Data'!$A:$ZZ,$K$5+ROW()-26+$D$8,MATCH($B$8,'Raw Flow Data'!$1:$1,0))=-999,"",INDEX('Raw Flow Data'!$A:$ZZ,$K$5+ROW()-26+$D$8,MATCH($B$8,'Raw Flow Data'!$1:$1,0))*$C$8))),"")</f>
        <v/>
      </c>
      <c r="H107" s="26">
        <f>IFERROR(IF($B$9="","",IF($K$5+ROW()-26&gt;$K$6,"",IF(INDEX('Raw Flow Data'!$A:$ZZ,$K$5+ROW()-26+$D$9,MATCH($B$9,'Raw Flow Data'!$1:$1,0))=-999,"",INDEX('Raw Flow Data'!$A:$ZZ,$K$5+ROW()-26+$D$9,MATCH($B$9,'Raw Flow Data'!$1:$1,0))*$C$9))),"")</f>
        <v/>
      </c>
      <c r="I107" s="26">
        <f>IFERROR(IF($B$10="","",IF($K$5+ROW()-26&gt;$K$6,"",IF(INDEX('Raw Flow Data'!$A:$ZZ,$K$5+ROW()-26+$D$10,MATCH($B$10,'Raw Flow Data'!$1:$1,0))=-999,"",INDEX('Raw Flow Data'!$A:$ZZ,$K$5+ROW()-26+$D$10,MATCH($B$10,'Raw Flow Data'!$1:$1,0))*$C$10))),"")</f>
        <v/>
      </c>
      <c r="J107" s="26">
        <f>IFERROR(IF($B$11="","",IF($K$5+ROW()-26&gt;$K$6,"",IF(INDEX('Raw Flow Data'!$A:$ZZ,$K$5+ROW()-26+$D$11,MATCH($B$11,'Raw Flow Data'!$1:$1,0))=-999,"",INDEX('Raw Flow Data'!$A:$ZZ,$K$5+ROW()-26+$D$11,MATCH($B$11,'Raw Flow Data'!$1:$1,0))*$C$11))),"")</f>
        <v/>
      </c>
      <c r="K107" s="26">
        <f>IFERROR(IF($B$12="","",IF($K$5+ROW()-26&gt;$K$6,"",IF(INDEX('Raw Flow Data'!$A:$ZZ,$K$5+ROW()-26+$D$12,MATCH($B$12,'Raw Flow Data'!$1:$1,0))=-999,"",INDEX('Raw Flow Data'!$A:$ZZ,$K$5+ROW()-26+$D$12,MATCH($B$12,'Raw Flow Data'!$1:$1,0))*$C$12))),"")</f>
        <v/>
      </c>
      <c r="L107" s="26">
        <f>IFERROR(IF($F$3="","",IF($K$5+ROW()-26&gt;$K$6,"",IF(INDEX('Raw Pressure Data'!$A:$ZZ,$K$5+ROW()-26+$H$3,MATCH($F$3,'Raw Pressure Data'!$1:$1,0))=-999,"",INDEX('Raw Pressure Data'!$A:$ZZ,$K$5+ROW()-26+$H$3,MATCH($F$3,'Raw Pressure Data'!$1:$1,0))+$G$3))),"")</f>
        <v/>
      </c>
      <c r="M107" s="26">
        <f>IFERROR(IF($F$4="","",IF($K$5+ROW()-26&gt;$K$6,"",IF(INDEX('Raw Pressure Data'!$A:$ZZ,$K$5+ROW()-26+$H$4,MATCH($F$4,'Raw Pressure Data'!$1:$1,0))=-999,"",INDEX('Raw Pressure Data'!$A:$ZZ,$K$5+ROW()-26+$H$4,MATCH($F$4,'Raw Pressure Data'!$1:$1,0))+$G$4))),"")</f>
        <v/>
      </c>
      <c r="N107" s="26">
        <f>IFERROR(IF($F$5="","",IF($K$5+ROW()-26&gt;$K$6,"",IF(INDEX('Raw Pressure Data'!$A:$ZZ,$K$5+ROW()-26+$H$5,MATCH($F$5,'Raw Pressure Data'!$1:$1,0))=-999,"",INDEX('Raw Pressure Data'!$A:$ZZ,$K$5+ROW()-26+$H$5,MATCH($F$5,'Raw Pressure Data'!$1:$1,0))+$G$5))),"")</f>
        <v/>
      </c>
      <c r="O107" s="26">
        <f>IFERROR(IF($F$6="","",IF($K$5+ROW()-26&gt;$K$6,"",IF(INDEX('Raw Pressure Data'!$A:$ZZ,$K$5+ROW()-26+$H$6,MATCH($F$6,'Raw Pressure Data'!$1:$1,0))=-999,"",INDEX('Raw Pressure Data'!$A:$ZZ,$K$5+ROW()-26+$H$6,MATCH($F$6,'Raw Pressure Data'!$1:$1,0))+$G$6))),"")</f>
        <v/>
      </c>
      <c r="P107" s="26">
        <f>IFERROR(IF($F$7="","",IF($K$5+ROW()-26&gt;$K$6,"",IF(INDEX('Raw Pressure Data'!$A:$ZZ,$K$5+ROW()-26+$H$7,MATCH($F$7,'Raw Pressure Data'!$1:$1,0))=-999,"",INDEX('Raw Pressure Data'!$A:$ZZ,$K$5+ROW()-26+$H$7,MATCH($F$7,'Raw Pressure Data'!$1:$1,0))+$G$7))),"")</f>
        <v/>
      </c>
      <c r="Q107" s="26">
        <f>IFERROR(IF($F$8="","",IF($K$5+ROW()-26&gt;$K$6,"",IF(INDEX('Raw Pressure Data'!$A:$ZZ,$K$5+ROW()-26+$H$8,MATCH($F$8,'Raw Pressure Data'!$1:$1,0))=-999,"",INDEX('Raw Pressure Data'!$A:$ZZ,$K$5+ROW()-26+$H$8,MATCH($F$8,'Raw Pressure Data'!$1:$1,0))+$G$8))),"")</f>
        <v/>
      </c>
      <c r="R107" s="26">
        <f>IFERROR(IF($F$9="","",IF($K$5+ROW()-26&gt;$K$6,"",IF(INDEX('Raw Pressure Data'!$A:$ZZ,$K$5+ROW()-26+$H$9,MATCH($F$9,'Raw Pressure Data'!$1:$1,0))=-999,"",INDEX('Raw Pressure Data'!$A:$ZZ,$K$5+ROW()-26+$H$9,MATCH($F$9,'Raw Pressure Data'!$1:$1,0))+$G$9))),"")</f>
        <v/>
      </c>
      <c r="S107" s="26">
        <f>IFERROR(IF($F$10="","",IF($K$5+ROW()-26&gt;$K$6,"",IF(INDEX('Raw Pressure Data'!$A:$ZZ,$K$5+ROW()-26+$H$10,MATCH($F$10,'Raw Pressure Data'!$1:$1,0))=-999,"",INDEX('Raw Pressure Data'!$A:$ZZ,$K$5+ROW()-26+$H$10,MATCH($F$10,'Raw Pressure Data'!$1:$1,0))+$G$10))),"")</f>
        <v/>
      </c>
      <c r="T107" s="26">
        <f>IFERROR(IF($F$11="","",IF($K$5+ROW()-26&gt;$K$6,"",IF(INDEX('Raw Pressure Data'!$A:$ZZ,$K$5+ROW()-26+$H$11,MATCH($F$11,'Raw Pressure Data'!$1:$1,0))=-999,"",INDEX('Raw Pressure Data'!$A:$ZZ,$K$5+ROW()-26+$H$11,MATCH($F$11,'Raw Pressure Data'!$1:$1,0))+$G$11))),"")</f>
        <v/>
      </c>
      <c r="U107" s="26">
        <f>IFERROR(IF($F$12="","",IF($K$5+ROW()-26&gt;$K$6,"",IF(INDEX('Raw Pressure Data'!$A:$ZZ,$K$5+ROW()-26+$H$12,MATCH($F$12,'Raw Pressure Data'!$1:$1,0))=-999,"",INDEX('Raw Pressure Data'!$A:$ZZ,$K$5+ROW()-26+$H$12,MATCH($F$12,'Raw Pressure Data'!$1:$1,0))+$G$12))),"")</f>
        <v/>
      </c>
      <c r="V107" s="26">
        <f>IFERROR(IF($F$13="","",IF($K$5+ROW()-26&gt;$K$6,"",IF(INDEX('Raw Pressure Data'!$A:$ZZ,$K$5+ROW()-26+$H$13,MATCH($F$13,'Raw Pressure Data'!$1:$1,0))=-999,"",INDEX('Raw Pressure Data'!$A:$ZZ,$K$5+ROW()-26+$H$13,MATCH($F$13,'Raw Pressure Data'!$1:$1,0))+$G$13))),"")</f>
        <v/>
      </c>
      <c r="W107" s="26">
        <f>IFERROR(IF($F$14="","",IF($K$5+ROW()-26&gt;$K$6,"",IF(INDEX('Raw Pressure Data'!$A:$ZZ,$K$5+ROW()-26+$H$14,MATCH($F$14,'Raw Pressure Data'!$1:$1,0))=-999,"",INDEX('Raw Pressure Data'!$A:$ZZ,$K$5+ROW()-26+$H$14,MATCH($F$14,'Raw Pressure Data'!$1:$1,0))+$G$14))),"")</f>
        <v/>
      </c>
      <c r="X107" s="26">
        <f>IFERROR(IF($F$15="","",IF($K$5+ROW()-26&gt;$K$6,"",IF(INDEX('Raw Pressure Data'!$A:$ZZ,$K$5+ROW()-26+$H$15,MATCH($F$15,'Raw Pressure Data'!$1:$1,0))=-999,"",INDEX('Raw Pressure Data'!$A:$ZZ,$K$5+ROW()-26+$H$15,MATCH($F$15,'Raw Pressure Data'!$1:$1,0))+$G$15))),"")</f>
        <v/>
      </c>
      <c r="Y107" s="26">
        <f>IFERROR(IF($F$16="","",IF($K$5+ROW()-26&gt;$K$6,"",IF(INDEX('Raw Pressure Data'!$A:$ZZ,$K$5+ROW()-26+$H$16,MATCH($F$16,'Raw Pressure Data'!$1:$1,0))=-999,"",INDEX('Raw Pressure Data'!$A:$ZZ,$K$5+ROW()-26+$H$16,MATCH($F$16,'Raw Pressure Data'!$1:$1,0))+$G$16))),"")</f>
        <v/>
      </c>
      <c r="Z107" s="26">
        <f>IFERROR(IF($F$17="","",IF($K$5+ROW()-26&gt;$K$6,"",IF(INDEX('Raw Pressure Data'!$A:$ZZ,$K$5+ROW()-26+$H$17,MATCH($F$17,'Raw Pressure Data'!$1:$1,0))=-999,"",INDEX('Raw Pressure Data'!$A:$ZZ,$K$5+ROW()-26+$H$17,MATCH($F$17,'Raw Pressure Data'!$1:$1,0))+$G$17))),"")</f>
        <v/>
      </c>
      <c r="AA107" s="26">
        <f>IFERROR(IF($F$18="","",IF($K$5+ROW()-26&gt;$K$6,"",IF(INDEX('Raw Pressure Data'!$A:$ZZ,$K$5+ROW()-26+$H$18,MATCH($F$18,'Raw Pressure Data'!$1:$1,0))=-999,"",INDEX('Raw Pressure Data'!$A:$ZZ,$K$5+ROW()-26+$H$18,MATCH($F$18,'Raw Pressure Data'!$1:$1,0))+$G$18))),"")</f>
        <v/>
      </c>
      <c r="AB107" s="26">
        <f>IFERROR(IF($F$19="","",IF($K$5+ROW()-26&gt;$K$6,"",IF(INDEX('Raw Pressure Data'!$A:$ZZ,$K$5+ROW()-26+$H$19,MATCH($F$19,'Raw Pressure Data'!$1:$1,0))=-999,"",INDEX('Raw Pressure Data'!$A:$ZZ,$K$5+ROW()-26+$H$19,MATCH($F$19,'Raw Pressure Data'!$1:$1,0))+$G$19))),"")</f>
        <v/>
      </c>
      <c r="AC107" s="26">
        <f>IFERROR(IF($F$20="","",IF($K$5+ROW()-26&gt;$K$6,"",IF(INDEX('Raw Pressure Data'!$A:$ZZ,$K$5+ROW()-26+$H$20,MATCH($F$20,'Raw Pressure Data'!$1:$1,0))=-999,"",INDEX('Raw Pressure Data'!$A:$ZZ,$K$5+ROW()-26+$H$20,MATCH($F$20,'Raw Pressure Data'!$1:$1,0))+$G$20))),"")</f>
        <v/>
      </c>
      <c r="AD107" s="26">
        <f>IFERROR(IF($F$21="","",IF($K$5+ROW()-26&gt;$K$6,"",IF(INDEX('Raw Pressure Data'!$A:$ZZ,$K$5+ROW()-26+$H$21,MATCH($F$21,'Raw Pressure Data'!$1:$1,0))=-999,"",INDEX('Raw Pressure Data'!$A:$ZZ,$K$5+ROW()-26+$H$21,MATCH($F$21,'Raw Pressure Data'!$1:$1,0))+$G$21))),"")</f>
        <v/>
      </c>
      <c r="AE107" s="26">
        <f>IFERROR(IF($F$22="","",IF($K$5+ROW()-26&gt;$K$6,"",IF(INDEX('Raw Pressure Data'!$A:$ZZ,$K$5+ROW()-26+$H$22,MATCH($F$22,'Raw Pressure Data'!$1:$1,0))=-999,"",INDEX('Raw Pressure Data'!$A:$ZZ,$K$5+ROW()-26+$H$22,MATCH($F$22,'Raw Pressure Data'!$1:$1,0))+$G$22))),"")</f>
        <v/>
      </c>
    </row>
    <row r="108" ht="15" customHeight="1">
      <c r="A108" s="23">
        <f>IFERROR(IF($K$5+ROW()-26&gt;$K$6,"",IF(INDEX('Raw Flow Data'!$A:$A,$K$5+ROW()-26)="","",INDEX('Raw Flow Data'!$A:$A,$K$5+ROW()-26))),"")</f>
        <v/>
      </c>
      <c r="B108" s="24">
        <f>IFERROR(IF($B$3="","",IF($K$5+ROW()-26&gt;$K$6,"",IF(INDEX('Raw Flow Data'!$A:$ZZ,$K$5+ROW()-26+$D$3,MATCH($B$3,'Raw Flow Data'!$1:$1,0))=-999,"",INDEX('Raw Flow Data'!$A:$ZZ,$K$5+ROW()-26+$D$3,MATCH($B$3,'Raw Flow Data'!$1:$1,0))*$C$3))),"")</f>
        <v/>
      </c>
      <c r="C108" s="24">
        <f>IFERROR(IF($B$4="","",IF($K$5+ROW()-26&gt;$K$6,"",IF(INDEX('Raw Flow Data'!$A:$ZZ,$K$5+ROW()-26+$D$4,MATCH($B$4,'Raw Flow Data'!$1:$1,0))=-999,"",INDEX('Raw Flow Data'!$A:$ZZ,$K$5+ROW()-26+$D$4,MATCH($B$4,'Raw Flow Data'!$1:$1,0))*$C$4))),"")</f>
        <v/>
      </c>
      <c r="D108" s="24">
        <f>IFERROR(IF($B$5="","",IF($K$5+ROW()-26&gt;$K$6,"",IF(INDEX('Raw Flow Data'!$A:$ZZ,$K$5+ROW()-26+$D$5,MATCH($B$5,'Raw Flow Data'!$1:$1,0))=-999,"",INDEX('Raw Flow Data'!$A:$ZZ,$K$5+ROW()-26+$D$5,MATCH($B$5,'Raw Flow Data'!$1:$1,0))*$C$5))),"")</f>
        <v/>
      </c>
      <c r="E108" s="24">
        <f>IFERROR(IF($B$6="","",IF($K$5+ROW()-26&gt;$K$6,"",IF(INDEX('Raw Flow Data'!$A:$ZZ,$K$5+ROW()-26+$D$6,MATCH($B$6,'Raw Flow Data'!$1:$1,0))=-999,"",INDEX('Raw Flow Data'!$A:$ZZ,$K$5+ROW()-26+$D$6,MATCH($B$6,'Raw Flow Data'!$1:$1,0))*$C$6))),"")</f>
        <v/>
      </c>
      <c r="F108" s="24">
        <f>IFERROR(IF($B$7="","",IF($K$5+ROW()-26&gt;$K$6,"",IF(INDEX('Raw Flow Data'!$A:$ZZ,$K$5+ROW()-26+$D$7,MATCH($B$7,'Raw Flow Data'!$1:$1,0))=-999,"",INDEX('Raw Flow Data'!$A:$ZZ,$K$5+ROW()-26+$D$7,MATCH($B$7,'Raw Flow Data'!$1:$1,0))*$C$7))),"")</f>
        <v/>
      </c>
      <c r="G108" s="24">
        <f>IFERROR(IF($B$8="","",IF($K$5+ROW()-26&gt;$K$6,"",IF(INDEX('Raw Flow Data'!$A:$ZZ,$K$5+ROW()-26+$D$8,MATCH($B$8,'Raw Flow Data'!$1:$1,0))=-999,"",INDEX('Raw Flow Data'!$A:$ZZ,$K$5+ROW()-26+$D$8,MATCH($B$8,'Raw Flow Data'!$1:$1,0))*$C$8))),"")</f>
        <v/>
      </c>
      <c r="H108" s="24">
        <f>IFERROR(IF($B$9="","",IF($K$5+ROW()-26&gt;$K$6,"",IF(INDEX('Raw Flow Data'!$A:$ZZ,$K$5+ROW()-26+$D$9,MATCH($B$9,'Raw Flow Data'!$1:$1,0))=-999,"",INDEX('Raw Flow Data'!$A:$ZZ,$K$5+ROW()-26+$D$9,MATCH($B$9,'Raw Flow Data'!$1:$1,0))*$C$9))),"")</f>
        <v/>
      </c>
      <c r="I108" s="24">
        <f>IFERROR(IF($B$10="","",IF($K$5+ROW()-26&gt;$K$6,"",IF(INDEX('Raw Flow Data'!$A:$ZZ,$K$5+ROW()-26+$D$10,MATCH($B$10,'Raw Flow Data'!$1:$1,0))=-999,"",INDEX('Raw Flow Data'!$A:$ZZ,$K$5+ROW()-26+$D$10,MATCH($B$10,'Raw Flow Data'!$1:$1,0))*$C$10))),"")</f>
        <v/>
      </c>
      <c r="J108" s="24">
        <f>IFERROR(IF($B$11="","",IF($K$5+ROW()-26&gt;$K$6,"",IF(INDEX('Raw Flow Data'!$A:$ZZ,$K$5+ROW()-26+$D$11,MATCH($B$11,'Raw Flow Data'!$1:$1,0))=-999,"",INDEX('Raw Flow Data'!$A:$ZZ,$K$5+ROW()-26+$D$11,MATCH($B$11,'Raw Flow Data'!$1:$1,0))*$C$11))),"")</f>
        <v/>
      </c>
      <c r="K108" s="24">
        <f>IFERROR(IF($B$12="","",IF($K$5+ROW()-26&gt;$K$6,"",IF(INDEX('Raw Flow Data'!$A:$ZZ,$K$5+ROW()-26+$D$12,MATCH($B$12,'Raw Flow Data'!$1:$1,0))=-999,"",INDEX('Raw Flow Data'!$A:$ZZ,$K$5+ROW()-26+$D$12,MATCH($B$12,'Raw Flow Data'!$1:$1,0))*$C$12))),"")</f>
        <v/>
      </c>
      <c r="L108" s="24">
        <f>IFERROR(IF($F$3="","",IF($K$5+ROW()-26&gt;$K$6,"",IF(INDEX('Raw Pressure Data'!$A:$ZZ,$K$5+ROW()-26+$H$3,MATCH($F$3,'Raw Pressure Data'!$1:$1,0))=-999,"",INDEX('Raw Pressure Data'!$A:$ZZ,$K$5+ROW()-26+$H$3,MATCH($F$3,'Raw Pressure Data'!$1:$1,0))+$G$3))),"")</f>
        <v/>
      </c>
      <c r="M108" s="24">
        <f>IFERROR(IF($F$4="","",IF($K$5+ROW()-26&gt;$K$6,"",IF(INDEX('Raw Pressure Data'!$A:$ZZ,$K$5+ROW()-26+$H$4,MATCH($F$4,'Raw Pressure Data'!$1:$1,0))=-999,"",INDEX('Raw Pressure Data'!$A:$ZZ,$K$5+ROW()-26+$H$4,MATCH($F$4,'Raw Pressure Data'!$1:$1,0))+$G$4))),"")</f>
        <v/>
      </c>
      <c r="N108" s="24">
        <f>IFERROR(IF($F$5="","",IF($K$5+ROW()-26&gt;$K$6,"",IF(INDEX('Raw Pressure Data'!$A:$ZZ,$K$5+ROW()-26+$H$5,MATCH($F$5,'Raw Pressure Data'!$1:$1,0))=-999,"",INDEX('Raw Pressure Data'!$A:$ZZ,$K$5+ROW()-26+$H$5,MATCH($F$5,'Raw Pressure Data'!$1:$1,0))+$G$5))),"")</f>
        <v/>
      </c>
      <c r="O108" s="24">
        <f>IFERROR(IF($F$6="","",IF($K$5+ROW()-26&gt;$K$6,"",IF(INDEX('Raw Pressure Data'!$A:$ZZ,$K$5+ROW()-26+$H$6,MATCH($F$6,'Raw Pressure Data'!$1:$1,0))=-999,"",INDEX('Raw Pressure Data'!$A:$ZZ,$K$5+ROW()-26+$H$6,MATCH($F$6,'Raw Pressure Data'!$1:$1,0))+$G$6))),"")</f>
        <v/>
      </c>
      <c r="P108" s="24">
        <f>IFERROR(IF($F$7="","",IF($K$5+ROW()-26&gt;$K$6,"",IF(INDEX('Raw Pressure Data'!$A:$ZZ,$K$5+ROW()-26+$H$7,MATCH($F$7,'Raw Pressure Data'!$1:$1,0))=-999,"",INDEX('Raw Pressure Data'!$A:$ZZ,$K$5+ROW()-26+$H$7,MATCH($F$7,'Raw Pressure Data'!$1:$1,0))+$G$7))),"")</f>
        <v/>
      </c>
      <c r="Q108" s="24">
        <f>IFERROR(IF($F$8="","",IF($K$5+ROW()-26&gt;$K$6,"",IF(INDEX('Raw Pressure Data'!$A:$ZZ,$K$5+ROW()-26+$H$8,MATCH($F$8,'Raw Pressure Data'!$1:$1,0))=-999,"",INDEX('Raw Pressure Data'!$A:$ZZ,$K$5+ROW()-26+$H$8,MATCH($F$8,'Raw Pressure Data'!$1:$1,0))+$G$8))),"")</f>
        <v/>
      </c>
      <c r="R108" s="24">
        <f>IFERROR(IF($F$9="","",IF($K$5+ROW()-26&gt;$K$6,"",IF(INDEX('Raw Pressure Data'!$A:$ZZ,$K$5+ROW()-26+$H$9,MATCH($F$9,'Raw Pressure Data'!$1:$1,0))=-999,"",INDEX('Raw Pressure Data'!$A:$ZZ,$K$5+ROW()-26+$H$9,MATCH($F$9,'Raw Pressure Data'!$1:$1,0))+$G$9))),"")</f>
        <v/>
      </c>
      <c r="S108" s="24">
        <f>IFERROR(IF($F$10="","",IF($K$5+ROW()-26&gt;$K$6,"",IF(INDEX('Raw Pressure Data'!$A:$ZZ,$K$5+ROW()-26+$H$10,MATCH($F$10,'Raw Pressure Data'!$1:$1,0))=-999,"",INDEX('Raw Pressure Data'!$A:$ZZ,$K$5+ROW()-26+$H$10,MATCH($F$10,'Raw Pressure Data'!$1:$1,0))+$G$10))),"")</f>
        <v/>
      </c>
      <c r="T108" s="24">
        <f>IFERROR(IF($F$11="","",IF($K$5+ROW()-26&gt;$K$6,"",IF(INDEX('Raw Pressure Data'!$A:$ZZ,$K$5+ROW()-26+$H$11,MATCH($F$11,'Raw Pressure Data'!$1:$1,0))=-999,"",INDEX('Raw Pressure Data'!$A:$ZZ,$K$5+ROW()-26+$H$11,MATCH($F$11,'Raw Pressure Data'!$1:$1,0))+$G$11))),"")</f>
        <v/>
      </c>
      <c r="U108" s="24">
        <f>IFERROR(IF($F$12="","",IF($K$5+ROW()-26&gt;$K$6,"",IF(INDEX('Raw Pressure Data'!$A:$ZZ,$K$5+ROW()-26+$H$12,MATCH($F$12,'Raw Pressure Data'!$1:$1,0))=-999,"",INDEX('Raw Pressure Data'!$A:$ZZ,$K$5+ROW()-26+$H$12,MATCH($F$12,'Raw Pressure Data'!$1:$1,0))+$G$12))),"")</f>
        <v/>
      </c>
      <c r="V108" s="24">
        <f>IFERROR(IF($F$13="","",IF($K$5+ROW()-26&gt;$K$6,"",IF(INDEX('Raw Pressure Data'!$A:$ZZ,$K$5+ROW()-26+$H$13,MATCH($F$13,'Raw Pressure Data'!$1:$1,0))=-999,"",INDEX('Raw Pressure Data'!$A:$ZZ,$K$5+ROW()-26+$H$13,MATCH($F$13,'Raw Pressure Data'!$1:$1,0))+$G$13))),"")</f>
        <v/>
      </c>
      <c r="W108" s="24">
        <f>IFERROR(IF($F$14="","",IF($K$5+ROW()-26&gt;$K$6,"",IF(INDEX('Raw Pressure Data'!$A:$ZZ,$K$5+ROW()-26+$H$14,MATCH($F$14,'Raw Pressure Data'!$1:$1,0))=-999,"",INDEX('Raw Pressure Data'!$A:$ZZ,$K$5+ROW()-26+$H$14,MATCH($F$14,'Raw Pressure Data'!$1:$1,0))+$G$14))),"")</f>
        <v/>
      </c>
      <c r="X108" s="24">
        <f>IFERROR(IF($F$15="","",IF($K$5+ROW()-26&gt;$K$6,"",IF(INDEX('Raw Pressure Data'!$A:$ZZ,$K$5+ROW()-26+$H$15,MATCH($F$15,'Raw Pressure Data'!$1:$1,0))=-999,"",INDEX('Raw Pressure Data'!$A:$ZZ,$K$5+ROW()-26+$H$15,MATCH($F$15,'Raw Pressure Data'!$1:$1,0))+$G$15))),"")</f>
        <v/>
      </c>
      <c r="Y108" s="24">
        <f>IFERROR(IF($F$16="","",IF($K$5+ROW()-26&gt;$K$6,"",IF(INDEX('Raw Pressure Data'!$A:$ZZ,$K$5+ROW()-26+$H$16,MATCH($F$16,'Raw Pressure Data'!$1:$1,0))=-999,"",INDEX('Raw Pressure Data'!$A:$ZZ,$K$5+ROW()-26+$H$16,MATCH($F$16,'Raw Pressure Data'!$1:$1,0))+$G$16))),"")</f>
        <v/>
      </c>
      <c r="Z108" s="24">
        <f>IFERROR(IF($F$17="","",IF($K$5+ROW()-26&gt;$K$6,"",IF(INDEX('Raw Pressure Data'!$A:$ZZ,$K$5+ROW()-26+$H$17,MATCH($F$17,'Raw Pressure Data'!$1:$1,0))=-999,"",INDEX('Raw Pressure Data'!$A:$ZZ,$K$5+ROW()-26+$H$17,MATCH($F$17,'Raw Pressure Data'!$1:$1,0))+$G$17))),"")</f>
        <v/>
      </c>
      <c r="AA108" s="24">
        <f>IFERROR(IF($F$18="","",IF($K$5+ROW()-26&gt;$K$6,"",IF(INDEX('Raw Pressure Data'!$A:$ZZ,$K$5+ROW()-26+$H$18,MATCH($F$18,'Raw Pressure Data'!$1:$1,0))=-999,"",INDEX('Raw Pressure Data'!$A:$ZZ,$K$5+ROW()-26+$H$18,MATCH($F$18,'Raw Pressure Data'!$1:$1,0))+$G$18))),"")</f>
        <v/>
      </c>
      <c r="AB108" s="24">
        <f>IFERROR(IF($F$19="","",IF($K$5+ROW()-26&gt;$K$6,"",IF(INDEX('Raw Pressure Data'!$A:$ZZ,$K$5+ROW()-26+$H$19,MATCH($F$19,'Raw Pressure Data'!$1:$1,0))=-999,"",INDEX('Raw Pressure Data'!$A:$ZZ,$K$5+ROW()-26+$H$19,MATCH($F$19,'Raw Pressure Data'!$1:$1,0))+$G$19))),"")</f>
        <v/>
      </c>
      <c r="AC108" s="24">
        <f>IFERROR(IF($F$20="","",IF($K$5+ROW()-26&gt;$K$6,"",IF(INDEX('Raw Pressure Data'!$A:$ZZ,$K$5+ROW()-26+$H$20,MATCH($F$20,'Raw Pressure Data'!$1:$1,0))=-999,"",INDEX('Raw Pressure Data'!$A:$ZZ,$K$5+ROW()-26+$H$20,MATCH($F$20,'Raw Pressure Data'!$1:$1,0))+$G$20))),"")</f>
        <v/>
      </c>
      <c r="AD108" s="24">
        <f>IFERROR(IF($F$21="","",IF($K$5+ROW()-26&gt;$K$6,"",IF(INDEX('Raw Pressure Data'!$A:$ZZ,$K$5+ROW()-26+$H$21,MATCH($F$21,'Raw Pressure Data'!$1:$1,0))=-999,"",INDEX('Raw Pressure Data'!$A:$ZZ,$K$5+ROW()-26+$H$21,MATCH($F$21,'Raw Pressure Data'!$1:$1,0))+$G$21))),"")</f>
        <v/>
      </c>
      <c r="AE108" s="24">
        <f>IFERROR(IF($F$22="","",IF($K$5+ROW()-26&gt;$K$6,"",IF(INDEX('Raw Pressure Data'!$A:$ZZ,$K$5+ROW()-26+$H$22,MATCH($F$22,'Raw Pressure Data'!$1:$1,0))=-999,"",INDEX('Raw Pressure Data'!$A:$ZZ,$K$5+ROW()-26+$H$22,MATCH($F$22,'Raw Pressure Data'!$1:$1,0))+$G$22))),"")</f>
        <v/>
      </c>
    </row>
    <row r="109" ht="15" customHeight="1">
      <c r="A109" s="25">
        <f>IFERROR(IF($K$5+ROW()-26&gt;$K$6,"",IF(INDEX('Raw Flow Data'!$A:$A,$K$5+ROW()-26)="","",INDEX('Raw Flow Data'!$A:$A,$K$5+ROW()-26))),"")</f>
        <v/>
      </c>
      <c r="B109" s="26">
        <f>IFERROR(IF($B$3="","",IF($K$5+ROW()-26&gt;$K$6,"",IF(INDEX('Raw Flow Data'!$A:$ZZ,$K$5+ROW()-26+$D$3,MATCH($B$3,'Raw Flow Data'!$1:$1,0))=-999,"",INDEX('Raw Flow Data'!$A:$ZZ,$K$5+ROW()-26+$D$3,MATCH($B$3,'Raw Flow Data'!$1:$1,0))*$C$3))),"")</f>
        <v/>
      </c>
      <c r="C109" s="26">
        <f>IFERROR(IF($B$4="","",IF($K$5+ROW()-26&gt;$K$6,"",IF(INDEX('Raw Flow Data'!$A:$ZZ,$K$5+ROW()-26+$D$4,MATCH($B$4,'Raw Flow Data'!$1:$1,0))=-999,"",INDEX('Raw Flow Data'!$A:$ZZ,$K$5+ROW()-26+$D$4,MATCH($B$4,'Raw Flow Data'!$1:$1,0))*$C$4))),"")</f>
        <v/>
      </c>
      <c r="D109" s="26">
        <f>IFERROR(IF($B$5="","",IF($K$5+ROW()-26&gt;$K$6,"",IF(INDEX('Raw Flow Data'!$A:$ZZ,$K$5+ROW()-26+$D$5,MATCH($B$5,'Raw Flow Data'!$1:$1,0))=-999,"",INDEX('Raw Flow Data'!$A:$ZZ,$K$5+ROW()-26+$D$5,MATCH($B$5,'Raw Flow Data'!$1:$1,0))*$C$5))),"")</f>
        <v/>
      </c>
      <c r="E109" s="26">
        <f>IFERROR(IF($B$6="","",IF($K$5+ROW()-26&gt;$K$6,"",IF(INDEX('Raw Flow Data'!$A:$ZZ,$K$5+ROW()-26+$D$6,MATCH($B$6,'Raw Flow Data'!$1:$1,0))=-999,"",INDEX('Raw Flow Data'!$A:$ZZ,$K$5+ROW()-26+$D$6,MATCH($B$6,'Raw Flow Data'!$1:$1,0))*$C$6))),"")</f>
        <v/>
      </c>
      <c r="F109" s="26">
        <f>IFERROR(IF($B$7="","",IF($K$5+ROW()-26&gt;$K$6,"",IF(INDEX('Raw Flow Data'!$A:$ZZ,$K$5+ROW()-26+$D$7,MATCH($B$7,'Raw Flow Data'!$1:$1,0))=-999,"",INDEX('Raw Flow Data'!$A:$ZZ,$K$5+ROW()-26+$D$7,MATCH($B$7,'Raw Flow Data'!$1:$1,0))*$C$7))),"")</f>
        <v/>
      </c>
      <c r="G109" s="26">
        <f>IFERROR(IF($B$8="","",IF($K$5+ROW()-26&gt;$K$6,"",IF(INDEX('Raw Flow Data'!$A:$ZZ,$K$5+ROW()-26+$D$8,MATCH($B$8,'Raw Flow Data'!$1:$1,0))=-999,"",INDEX('Raw Flow Data'!$A:$ZZ,$K$5+ROW()-26+$D$8,MATCH($B$8,'Raw Flow Data'!$1:$1,0))*$C$8))),"")</f>
        <v/>
      </c>
      <c r="H109" s="26">
        <f>IFERROR(IF($B$9="","",IF($K$5+ROW()-26&gt;$K$6,"",IF(INDEX('Raw Flow Data'!$A:$ZZ,$K$5+ROW()-26+$D$9,MATCH($B$9,'Raw Flow Data'!$1:$1,0))=-999,"",INDEX('Raw Flow Data'!$A:$ZZ,$K$5+ROW()-26+$D$9,MATCH($B$9,'Raw Flow Data'!$1:$1,0))*$C$9))),"")</f>
        <v/>
      </c>
      <c r="I109" s="26">
        <f>IFERROR(IF($B$10="","",IF($K$5+ROW()-26&gt;$K$6,"",IF(INDEX('Raw Flow Data'!$A:$ZZ,$K$5+ROW()-26+$D$10,MATCH($B$10,'Raw Flow Data'!$1:$1,0))=-999,"",INDEX('Raw Flow Data'!$A:$ZZ,$K$5+ROW()-26+$D$10,MATCH($B$10,'Raw Flow Data'!$1:$1,0))*$C$10))),"")</f>
        <v/>
      </c>
      <c r="J109" s="26">
        <f>IFERROR(IF($B$11="","",IF($K$5+ROW()-26&gt;$K$6,"",IF(INDEX('Raw Flow Data'!$A:$ZZ,$K$5+ROW()-26+$D$11,MATCH($B$11,'Raw Flow Data'!$1:$1,0))=-999,"",INDEX('Raw Flow Data'!$A:$ZZ,$K$5+ROW()-26+$D$11,MATCH($B$11,'Raw Flow Data'!$1:$1,0))*$C$11))),"")</f>
        <v/>
      </c>
      <c r="K109" s="26">
        <f>IFERROR(IF($B$12="","",IF($K$5+ROW()-26&gt;$K$6,"",IF(INDEX('Raw Flow Data'!$A:$ZZ,$K$5+ROW()-26+$D$12,MATCH($B$12,'Raw Flow Data'!$1:$1,0))=-999,"",INDEX('Raw Flow Data'!$A:$ZZ,$K$5+ROW()-26+$D$12,MATCH($B$12,'Raw Flow Data'!$1:$1,0))*$C$12))),"")</f>
        <v/>
      </c>
      <c r="L109" s="26">
        <f>IFERROR(IF($F$3="","",IF($K$5+ROW()-26&gt;$K$6,"",IF(INDEX('Raw Pressure Data'!$A:$ZZ,$K$5+ROW()-26+$H$3,MATCH($F$3,'Raw Pressure Data'!$1:$1,0))=-999,"",INDEX('Raw Pressure Data'!$A:$ZZ,$K$5+ROW()-26+$H$3,MATCH($F$3,'Raw Pressure Data'!$1:$1,0))+$G$3))),"")</f>
        <v/>
      </c>
      <c r="M109" s="26">
        <f>IFERROR(IF($F$4="","",IF($K$5+ROW()-26&gt;$K$6,"",IF(INDEX('Raw Pressure Data'!$A:$ZZ,$K$5+ROW()-26+$H$4,MATCH($F$4,'Raw Pressure Data'!$1:$1,0))=-999,"",INDEX('Raw Pressure Data'!$A:$ZZ,$K$5+ROW()-26+$H$4,MATCH($F$4,'Raw Pressure Data'!$1:$1,0))+$G$4))),"")</f>
        <v/>
      </c>
      <c r="N109" s="26">
        <f>IFERROR(IF($F$5="","",IF($K$5+ROW()-26&gt;$K$6,"",IF(INDEX('Raw Pressure Data'!$A:$ZZ,$K$5+ROW()-26+$H$5,MATCH($F$5,'Raw Pressure Data'!$1:$1,0))=-999,"",INDEX('Raw Pressure Data'!$A:$ZZ,$K$5+ROW()-26+$H$5,MATCH($F$5,'Raw Pressure Data'!$1:$1,0))+$G$5))),"")</f>
        <v/>
      </c>
      <c r="O109" s="26">
        <f>IFERROR(IF($F$6="","",IF($K$5+ROW()-26&gt;$K$6,"",IF(INDEX('Raw Pressure Data'!$A:$ZZ,$K$5+ROW()-26+$H$6,MATCH($F$6,'Raw Pressure Data'!$1:$1,0))=-999,"",INDEX('Raw Pressure Data'!$A:$ZZ,$K$5+ROW()-26+$H$6,MATCH($F$6,'Raw Pressure Data'!$1:$1,0))+$G$6))),"")</f>
        <v/>
      </c>
      <c r="P109" s="26">
        <f>IFERROR(IF($F$7="","",IF($K$5+ROW()-26&gt;$K$6,"",IF(INDEX('Raw Pressure Data'!$A:$ZZ,$K$5+ROW()-26+$H$7,MATCH($F$7,'Raw Pressure Data'!$1:$1,0))=-999,"",INDEX('Raw Pressure Data'!$A:$ZZ,$K$5+ROW()-26+$H$7,MATCH($F$7,'Raw Pressure Data'!$1:$1,0))+$G$7))),"")</f>
        <v/>
      </c>
      <c r="Q109" s="26">
        <f>IFERROR(IF($F$8="","",IF($K$5+ROW()-26&gt;$K$6,"",IF(INDEX('Raw Pressure Data'!$A:$ZZ,$K$5+ROW()-26+$H$8,MATCH($F$8,'Raw Pressure Data'!$1:$1,0))=-999,"",INDEX('Raw Pressure Data'!$A:$ZZ,$K$5+ROW()-26+$H$8,MATCH($F$8,'Raw Pressure Data'!$1:$1,0))+$G$8))),"")</f>
        <v/>
      </c>
      <c r="R109" s="26">
        <f>IFERROR(IF($F$9="","",IF($K$5+ROW()-26&gt;$K$6,"",IF(INDEX('Raw Pressure Data'!$A:$ZZ,$K$5+ROW()-26+$H$9,MATCH($F$9,'Raw Pressure Data'!$1:$1,0))=-999,"",INDEX('Raw Pressure Data'!$A:$ZZ,$K$5+ROW()-26+$H$9,MATCH($F$9,'Raw Pressure Data'!$1:$1,0))+$G$9))),"")</f>
        <v/>
      </c>
      <c r="S109" s="26">
        <f>IFERROR(IF($F$10="","",IF($K$5+ROW()-26&gt;$K$6,"",IF(INDEX('Raw Pressure Data'!$A:$ZZ,$K$5+ROW()-26+$H$10,MATCH($F$10,'Raw Pressure Data'!$1:$1,0))=-999,"",INDEX('Raw Pressure Data'!$A:$ZZ,$K$5+ROW()-26+$H$10,MATCH($F$10,'Raw Pressure Data'!$1:$1,0))+$G$10))),"")</f>
        <v/>
      </c>
      <c r="T109" s="26">
        <f>IFERROR(IF($F$11="","",IF($K$5+ROW()-26&gt;$K$6,"",IF(INDEX('Raw Pressure Data'!$A:$ZZ,$K$5+ROW()-26+$H$11,MATCH($F$11,'Raw Pressure Data'!$1:$1,0))=-999,"",INDEX('Raw Pressure Data'!$A:$ZZ,$K$5+ROW()-26+$H$11,MATCH($F$11,'Raw Pressure Data'!$1:$1,0))+$G$11))),"")</f>
        <v/>
      </c>
      <c r="U109" s="26">
        <f>IFERROR(IF($F$12="","",IF($K$5+ROW()-26&gt;$K$6,"",IF(INDEX('Raw Pressure Data'!$A:$ZZ,$K$5+ROW()-26+$H$12,MATCH($F$12,'Raw Pressure Data'!$1:$1,0))=-999,"",INDEX('Raw Pressure Data'!$A:$ZZ,$K$5+ROW()-26+$H$12,MATCH($F$12,'Raw Pressure Data'!$1:$1,0))+$G$12))),"")</f>
        <v/>
      </c>
      <c r="V109" s="26">
        <f>IFERROR(IF($F$13="","",IF($K$5+ROW()-26&gt;$K$6,"",IF(INDEX('Raw Pressure Data'!$A:$ZZ,$K$5+ROW()-26+$H$13,MATCH($F$13,'Raw Pressure Data'!$1:$1,0))=-999,"",INDEX('Raw Pressure Data'!$A:$ZZ,$K$5+ROW()-26+$H$13,MATCH($F$13,'Raw Pressure Data'!$1:$1,0))+$G$13))),"")</f>
        <v/>
      </c>
      <c r="W109" s="26">
        <f>IFERROR(IF($F$14="","",IF($K$5+ROW()-26&gt;$K$6,"",IF(INDEX('Raw Pressure Data'!$A:$ZZ,$K$5+ROW()-26+$H$14,MATCH($F$14,'Raw Pressure Data'!$1:$1,0))=-999,"",INDEX('Raw Pressure Data'!$A:$ZZ,$K$5+ROW()-26+$H$14,MATCH($F$14,'Raw Pressure Data'!$1:$1,0))+$G$14))),"")</f>
        <v/>
      </c>
      <c r="X109" s="26">
        <f>IFERROR(IF($F$15="","",IF($K$5+ROW()-26&gt;$K$6,"",IF(INDEX('Raw Pressure Data'!$A:$ZZ,$K$5+ROW()-26+$H$15,MATCH($F$15,'Raw Pressure Data'!$1:$1,0))=-999,"",INDEX('Raw Pressure Data'!$A:$ZZ,$K$5+ROW()-26+$H$15,MATCH($F$15,'Raw Pressure Data'!$1:$1,0))+$G$15))),"")</f>
        <v/>
      </c>
      <c r="Y109" s="26">
        <f>IFERROR(IF($F$16="","",IF($K$5+ROW()-26&gt;$K$6,"",IF(INDEX('Raw Pressure Data'!$A:$ZZ,$K$5+ROW()-26+$H$16,MATCH($F$16,'Raw Pressure Data'!$1:$1,0))=-999,"",INDEX('Raw Pressure Data'!$A:$ZZ,$K$5+ROW()-26+$H$16,MATCH($F$16,'Raw Pressure Data'!$1:$1,0))+$G$16))),"")</f>
        <v/>
      </c>
      <c r="Z109" s="26">
        <f>IFERROR(IF($F$17="","",IF($K$5+ROW()-26&gt;$K$6,"",IF(INDEX('Raw Pressure Data'!$A:$ZZ,$K$5+ROW()-26+$H$17,MATCH($F$17,'Raw Pressure Data'!$1:$1,0))=-999,"",INDEX('Raw Pressure Data'!$A:$ZZ,$K$5+ROW()-26+$H$17,MATCH($F$17,'Raw Pressure Data'!$1:$1,0))+$G$17))),"")</f>
        <v/>
      </c>
      <c r="AA109" s="26">
        <f>IFERROR(IF($F$18="","",IF($K$5+ROW()-26&gt;$K$6,"",IF(INDEX('Raw Pressure Data'!$A:$ZZ,$K$5+ROW()-26+$H$18,MATCH($F$18,'Raw Pressure Data'!$1:$1,0))=-999,"",INDEX('Raw Pressure Data'!$A:$ZZ,$K$5+ROW()-26+$H$18,MATCH($F$18,'Raw Pressure Data'!$1:$1,0))+$G$18))),"")</f>
        <v/>
      </c>
      <c r="AB109" s="26">
        <f>IFERROR(IF($F$19="","",IF($K$5+ROW()-26&gt;$K$6,"",IF(INDEX('Raw Pressure Data'!$A:$ZZ,$K$5+ROW()-26+$H$19,MATCH($F$19,'Raw Pressure Data'!$1:$1,0))=-999,"",INDEX('Raw Pressure Data'!$A:$ZZ,$K$5+ROW()-26+$H$19,MATCH($F$19,'Raw Pressure Data'!$1:$1,0))+$G$19))),"")</f>
        <v/>
      </c>
      <c r="AC109" s="26">
        <f>IFERROR(IF($F$20="","",IF($K$5+ROW()-26&gt;$K$6,"",IF(INDEX('Raw Pressure Data'!$A:$ZZ,$K$5+ROW()-26+$H$20,MATCH($F$20,'Raw Pressure Data'!$1:$1,0))=-999,"",INDEX('Raw Pressure Data'!$A:$ZZ,$K$5+ROW()-26+$H$20,MATCH($F$20,'Raw Pressure Data'!$1:$1,0))+$G$20))),"")</f>
        <v/>
      </c>
      <c r="AD109" s="26">
        <f>IFERROR(IF($F$21="","",IF($K$5+ROW()-26&gt;$K$6,"",IF(INDEX('Raw Pressure Data'!$A:$ZZ,$K$5+ROW()-26+$H$21,MATCH($F$21,'Raw Pressure Data'!$1:$1,0))=-999,"",INDEX('Raw Pressure Data'!$A:$ZZ,$K$5+ROW()-26+$H$21,MATCH($F$21,'Raw Pressure Data'!$1:$1,0))+$G$21))),"")</f>
        <v/>
      </c>
      <c r="AE109" s="26">
        <f>IFERROR(IF($F$22="","",IF($K$5+ROW()-26&gt;$K$6,"",IF(INDEX('Raw Pressure Data'!$A:$ZZ,$K$5+ROW()-26+$H$22,MATCH($F$22,'Raw Pressure Data'!$1:$1,0))=-999,"",INDEX('Raw Pressure Data'!$A:$ZZ,$K$5+ROW()-26+$H$22,MATCH($F$22,'Raw Pressure Data'!$1:$1,0))+$G$22))),"")</f>
        <v/>
      </c>
    </row>
    <row r="110" ht="15" customHeight="1">
      <c r="A110" s="23">
        <f>IFERROR(IF($K$5+ROW()-26&gt;$K$6,"",IF(INDEX('Raw Flow Data'!$A:$A,$K$5+ROW()-26)="","",INDEX('Raw Flow Data'!$A:$A,$K$5+ROW()-26))),"")</f>
        <v/>
      </c>
      <c r="B110" s="24">
        <f>IFERROR(IF($B$3="","",IF($K$5+ROW()-26&gt;$K$6,"",IF(INDEX('Raw Flow Data'!$A:$ZZ,$K$5+ROW()-26+$D$3,MATCH($B$3,'Raw Flow Data'!$1:$1,0))=-999,"",INDEX('Raw Flow Data'!$A:$ZZ,$K$5+ROW()-26+$D$3,MATCH($B$3,'Raw Flow Data'!$1:$1,0))*$C$3))),"")</f>
        <v/>
      </c>
      <c r="C110" s="24">
        <f>IFERROR(IF($B$4="","",IF($K$5+ROW()-26&gt;$K$6,"",IF(INDEX('Raw Flow Data'!$A:$ZZ,$K$5+ROW()-26+$D$4,MATCH($B$4,'Raw Flow Data'!$1:$1,0))=-999,"",INDEX('Raw Flow Data'!$A:$ZZ,$K$5+ROW()-26+$D$4,MATCH($B$4,'Raw Flow Data'!$1:$1,0))*$C$4))),"")</f>
        <v/>
      </c>
      <c r="D110" s="24">
        <f>IFERROR(IF($B$5="","",IF($K$5+ROW()-26&gt;$K$6,"",IF(INDEX('Raw Flow Data'!$A:$ZZ,$K$5+ROW()-26+$D$5,MATCH($B$5,'Raw Flow Data'!$1:$1,0))=-999,"",INDEX('Raw Flow Data'!$A:$ZZ,$K$5+ROW()-26+$D$5,MATCH($B$5,'Raw Flow Data'!$1:$1,0))*$C$5))),"")</f>
        <v/>
      </c>
      <c r="E110" s="24">
        <f>IFERROR(IF($B$6="","",IF($K$5+ROW()-26&gt;$K$6,"",IF(INDEX('Raw Flow Data'!$A:$ZZ,$K$5+ROW()-26+$D$6,MATCH($B$6,'Raw Flow Data'!$1:$1,0))=-999,"",INDEX('Raw Flow Data'!$A:$ZZ,$K$5+ROW()-26+$D$6,MATCH($B$6,'Raw Flow Data'!$1:$1,0))*$C$6))),"")</f>
        <v/>
      </c>
      <c r="F110" s="24">
        <f>IFERROR(IF($B$7="","",IF($K$5+ROW()-26&gt;$K$6,"",IF(INDEX('Raw Flow Data'!$A:$ZZ,$K$5+ROW()-26+$D$7,MATCH($B$7,'Raw Flow Data'!$1:$1,0))=-999,"",INDEX('Raw Flow Data'!$A:$ZZ,$K$5+ROW()-26+$D$7,MATCH($B$7,'Raw Flow Data'!$1:$1,0))*$C$7))),"")</f>
        <v/>
      </c>
      <c r="G110" s="24">
        <f>IFERROR(IF($B$8="","",IF($K$5+ROW()-26&gt;$K$6,"",IF(INDEX('Raw Flow Data'!$A:$ZZ,$K$5+ROW()-26+$D$8,MATCH($B$8,'Raw Flow Data'!$1:$1,0))=-999,"",INDEX('Raw Flow Data'!$A:$ZZ,$K$5+ROW()-26+$D$8,MATCH($B$8,'Raw Flow Data'!$1:$1,0))*$C$8))),"")</f>
        <v/>
      </c>
      <c r="H110" s="24">
        <f>IFERROR(IF($B$9="","",IF($K$5+ROW()-26&gt;$K$6,"",IF(INDEX('Raw Flow Data'!$A:$ZZ,$K$5+ROW()-26+$D$9,MATCH($B$9,'Raw Flow Data'!$1:$1,0))=-999,"",INDEX('Raw Flow Data'!$A:$ZZ,$K$5+ROW()-26+$D$9,MATCH($B$9,'Raw Flow Data'!$1:$1,0))*$C$9))),"")</f>
        <v/>
      </c>
      <c r="I110" s="24">
        <f>IFERROR(IF($B$10="","",IF($K$5+ROW()-26&gt;$K$6,"",IF(INDEX('Raw Flow Data'!$A:$ZZ,$K$5+ROW()-26+$D$10,MATCH($B$10,'Raw Flow Data'!$1:$1,0))=-999,"",INDEX('Raw Flow Data'!$A:$ZZ,$K$5+ROW()-26+$D$10,MATCH($B$10,'Raw Flow Data'!$1:$1,0))*$C$10))),"")</f>
        <v/>
      </c>
      <c r="J110" s="24">
        <f>IFERROR(IF($B$11="","",IF($K$5+ROW()-26&gt;$K$6,"",IF(INDEX('Raw Flow Data'!$A:$ZZ,$K$5+ROW()-26+$D$11,MATCH($B$11,'Raw Flow Data'!$1:$1,0))=-999,"",INDEX('Raw Flow Data'!$A:$ZZ,$K$5+ROW()-26+$D$11,MATCH($B$11,'Raw Flow Data'!$1:$1,0))*$C$11))),"")</f>
        <v/>
      </c>
      <c r="K110" s="24">
        <f>IFERROR(IF($B$12="","",IF($K$5+ROW()-26&gt;$K$6,"",IF(INDEX('Raw Flow Data'!$A:$ZZ,$K$5+ROW()-26+$D$12,MATCH($B$12,'Raw Flow Data'!$1:$1,0))=-999,"",INDEX('Raw Flow Data'!$A:$ZZ,$K$5+ROW()-26+$D$12,MATCH($B$12,'Raw Flow Data'!$1:$1,0))*$C$12))),"")</f>
        <v/>
      </c>
      <c r="L110" s="24">
        <f>IFERROR(IF($F$3="","",IF($K$5+ROW()-26&gt;$K$6,"",IF(INDEX('Raw Pressure Data'!$A:$ZZ,$K$5+ROW()-26+$H$3,MATCH($F$3,'Raw Pressure Data'!$1:$1,0))=-999,"",INDEX('Raw Pressure Data'!$A:$ZZ,$K$5+ROW()-26+$H$3,MATCH($F$3,'Raw Pressure Data'!$1:$1,0))+$G$3))),"")</f>
        <v/>
      </c>
      <c r="M110" s="24">
        <f>IFERROR(IF($F$4="","",IF($K$5+ROW()-26&gt;$K$6,"",IF(INDEX('Raw Pressure Data'!$A:$ZZ,$K$5+ROW()-26+$H$4,MATCH($F$4,'Raw Pressure Data'!$1:$1,0))=-999,"",INDEX('Raw Pressure Data'!$A:$ZZ,$K$5+ROW()-26+$H$4,MATCH($F$4,'Raw Pressure Data'!$1:$1,0))+$G$4))),"")</f>
        <v/>
      </c>
      <c r="N110" s="24">
        <f>IFERROR(IF($F$5="","",IF($K$5+ROW()-26&gt;$K$6,"",IF(INDEX('Raw Pressure Data'!$A:$ZZ,$K$5+ROW()-26+$H$5,MATCH($F$5,'Raw Pressure Data'!$1:$1,0))=-999,"",INDEX('Raw Pressure Data'!$A:$ZZ,$K$5+ROW()-26+$H$5,MATCH($F$5,'Raw Pressure Data'!$1:$1,0))+$G$5))),"")</f>
        <v/>
      </c>
      <c r="O110" s="24">
        <f>IFERROR(IF($F$6="","",IF($K$5+ROW()-26&gt;$K$6,"",IF(INDEX('Raw Pressure Data'!$A:$ZZ,$K$5+ROW()-26+$H$6,MATCH($F$6,'Raw Pressure Data'!$1:$1,0))=-999,"",INDEX('Raw Pressure Data'!$A:$ZZ,$K$5+ROW()-26+$H$6,MATCH($F$6,'Raw Pressure Data'!$1:$1,0))+$G$6))),"")</f>
        <v/>
      </c>
      <c r="P110" s="24">
        <f>IFERROR(IF($F$7="","",IF($K$5+ROW()-26&gt;$K$6,"",IF(INDEX('Raw Pressure Data'!$A:$ZZ,$K$5+ROW()-26+$H$7,MATCH($F$7,'Raw Pressure Data'!$1:$1,0))=-999,"",INDEX('Raw Pressure Data'!$A:$ZZ,$K$5+ROW()-26+$H$7,MATCH($F$7,'Raw Pressure Data'!$1:$1,0))+$G$7))),"")</f>
        <v/>
      </c>
      <c r="Q110" s="24">
        <f>IFERROR(IF($F$8="","",IF($K$5+ROW()-26&gt;$K$6,"",IF(INDEX('Raw Pressure Data'!$A:$ZZ,$K$5+ROW()-26+$H$8,MATCH($F$8,'Raw Pressure Data'!$1:$1,0))=-999,"",INDEX('Raw Pressure Data'!$A:$ZZ,$K$5+ROW()-26+$H$8,MATCH($F$8,'Raw Pressure Data'!$1:$1,0))+$G$8))),"")</f>
        <v/>
      </c>
      <c r="R110" s="24">
        <f>IFERROR(IF($F$9="","",IF($K$5+ROW()-26&gt;$K$6,"",IF(INDEX('Raw Pressure Data'!$A:$ZZ,$K$5+ROW()-26+$H$9,MATCH($F$9,'Raw Pressure Data'!$1:$1,0))=-999,"",INDEX('Raw Pressure Data'!$A:$ZZ,$K$5+ROW()-26+$H$9,MATCH($F$9,'Raw Pressure Data'!$1:$1,0))+$G$9))),"")</f>
        <v/>
      </c>
      <c r="S110" s="24">
        <f>IFERROR(IF($F$10="","",IF($K$5+ROW()-26&gt;$K$6,"",IF(INDEX('Raw Pressure Data'!$A:$ZZ,$K$5+ROW()-26+$H$10,MATCH($F$10,'Raw Pressure Data'!$1:$1,0))=-999,"",INDEX('Raw Pressure Data'!$A:$ZZ,$K$5+ROW()-26+$H$10,MATCH($F$10,'Raw Pressure Data'!$1:$1,0))+$G$10))),"")</f>
        <v/>
      </c>
      <c r="T110" s="24">
        <f>IFERROR(IF($F$11="","",IF($K$5+ROW()-26&gt;$K$6,"",IF(INDEX('Raw Pressure Data'!$A:$ZZ,$K$5+ROW()-26+$H$11,MATCH($F$11,'Raw Pressure Data'!$1:$1,0))=-999,"",INDEX('Raw Pressure Data'!$A:$ZZ,$K$5+ROW()-26+$H$11,MATCH($F$11,'Raw Pressure Data'!$1:$1,0))+$G$11))),"")</f>
        <v/>
      </c>
      <c r="U110" s="24">
        <f>IFERROR(IF($F$12="","",IF($K$5+ROW()-26&gt;$K$6,"",IF(INDEX('Raw Pressure Data'!$A:$ZZ,$K$5+ROW()-26+$H$12,MATCH($F$12,'Raw Pressure Data'!$1:$1,0))=-999,"",INDEX('Raw Pressure Data'!$A:$ZZ,$K$5+ROW()-26+$H$12,MATCH($F$12,'Raw Pressure Data'!$1:$1,0))+$G$12))),"")</f>
        <v/>
      </c>
      <c r="V110" s="24">
        <f>IFERROR(IF($F$13="","",IF($K$5+ROW()-26&gt;$K$6,"",IF(INDEX('Raw Pressure Data'!$A:$ZZ,$K$5+ROW()-26+$H$13,MATCH($F$13,'Raw Pressure Data'!$1:$1,0))=-999,"",INDEX('Raw Pressure Data'!$A:$ZZ,$K$5+ROW()-26+$H$13,MATCH($F$13,'Raw Pressure Data'!$1:$1,0))+$G$13))),"")</f>
        <v/>
      </c>
      <c r="W110" s="24">
        <f>IFERROR(IF($F$14="","",IF($K$5+ROW()-26&gt;$K$6,"",IF(INDEX('Raw Pressure Data'!$A:$ZZ,$K$5+ROW()-26+$H$14,MATCH($F$14,'Raw Pressure Data'!$1:$1,0))=-999,"",INDEX('Raw Pressure Data'!$A:$ZZ,$K$5+ROW()-26+$H$14,MATCH($F$14,'Raw Pressure Data'!$1:$1,0))+$G$14))),"")</f>
        <v/>
      </c>
      <c r="X110" s="24">
        <f>IFERROR(IF($F$15="","",IF($K$5+ROW()-26&gt;$K$6,"",IF(INDEX('Raw Pressure Data'!$A:$ZZ,$K$5+ROW()-26+$H$15,MATCH($F$15,'Raw Pressure Data'!$1:$1,0))=-999,"",INDEX('Raw Pressure Data'!$A:$ZZ,$K$5+ROW()-26+$H$15,MATCH($F$15,'Raw Pressure Data'!$1:$1,0))+$G$15))),"")</f>
        <v/>
      </c>
      <c r="Y110" s="24">
        <f>IFERROR(IF($F$16="","",IF($K$5+ROW()-26&gt;$K$6,"",IF(INDEX('Raw Pressure Data'!$A:$ZZ,$K$5+ROW()-26+$H$16,MATCH($F$16,'Raw Pressure Data'!$1:$1,0))=-999,"",INDEX('Raw Pressure Data'!$A:$ZZ,$K$5+ROW()-26+$H$16,MATCH($F$16,'Raw Pressure Data'!$1:$1,0))+$G$16))),"")</f>
        <v/>
      </c>
      <c r="Z110" s="24">
        <f>IFERROR(IF($F$17="","",IF($K$5+ROW()-26&gt;$K$6,"",IF(INDEX('Raw Pressure Data'!$A:$ZZ,$K$5+ROW()-26+$H$17,MATCH($F$17,'Raw Pressure Data'!$1:$1,0))=-999,"",INDEX('Raw Pressure Data'!$A:$ZZ,$K$5+ROW()-26+$H$17,MATCH($F$17,'Raw Pressure Data'!$1:$1,0))+$G$17))),"")</f>
        <v/>
      </c>
      <c r="AA110" s="24">
        <f>IFERROR(IF($F$18="","",IF($K$5+ROW()-26&gt;$K$6,"",IF(INDEX('Raw Pressure Data'!$A:$ZZ,$K$5+ROW()-26+$H$18,MATCH($F$18,'Raw Pressure Data'!$1:$1,0))=-999,"",INDEX('Raw Pressure Data'!$A:$ZZ,$K$5+ROW()-26+$H$18,MATCH($F$18,'Raw Pressure Data'!$1:$1,0))+$G$18))),"")</f>
        <v/>
      </c>
      <c r="AB110" s="24">
        <f>IFERROR(IF($F$19="","",IF($K$5+ROW()-26&gt;$K$6,"",IF(INDEX('Raw Pressure Data'!$A:$ZZ,$K$5+ROW()-26+$H$19,MATCH($F$19,'Raw Pressure Data'!$1:$1,0))=-999,"",INDEX('Raw Pressure Data'!$A:$ZZ,$K$5+ROW()-26+$H$19,MATCH($F$19,'Raw Pressure Data'!$1:$1,0))+$G$19))),"")</f>
        <v/>
      </c>
      <c r="AC110" s="24">
        <f>IFERROR(IF($F$20="","",IF($K$5+ROW()-26&gt;$K$6,"",IF(INDEX('Raw Pressure Data'!$A:$ZZ,$K$5+ROW()-26+$H$20,MATCH($F$20,'Raw Pressure Data'!$1:$1,0))=-999,"",INDEX('Raw Pressure Data'!$A:$ZZ,$K$5+ROW()-26+$H$20,MATCH($F$20,'Raw Pressure Data'!$1:$1,0))+$G$20))),"")</f>
        <v/>
      </c>
      <c r="AD110" s="24">
        <f>IFERROR(IF($F$21="","",IF($K$5+ROW()-26&gt;$K$6,"",IF(INDEX('Raw Pressure Data'!$A:$ZZ,$K$5+ROW()-26+$H$21,MATCH($F$21,'Raw Pressure Data'!$1:$1,0))=-999,"",INDEX('Raw Pressure Data'!$A:$ZZ,$K$5+ROW()-26+$H$21,MATCH($F$21,'Raw Pressure Data'!$1:$1,0))+$G$21))),"")</f>
        <v/>
      </c>
      <c r="AE110" s="24">
        <f>IFERROR(IF($F$22="","",IF($K$5+ROW()-26&gt;$K$6,"",IF(INDEX('Raw Pressure Data'!$A:$ZZ,$K$5+ROW()-26+$H$22,MATCH($F$22,'Raw Pressure Data'!$1:$1,0))=-999,"",INDEX('Raw Pressure Data'!$A:$ZZ,$K$5+ROW()-26+$H$22,MATCH($F$22,'Raw Pressure Data'!$1:$1,0))+$G$22))),"")</f>
        <v/>
      </c>
    </row>
    <row r="111" ht="15" customHeight="1">
      <c r="A111" s="25">
        <f>IFERROR(IF($K$5+ROW()-26&gt;$K$6,"",IF(INDEX('Raw Flow Data'!$A:$A,$K$5+ROW()-26)="","",INDEX('Raw Flow Data'!$A:$A,$K$5+ROW()-26))),"")</f>
        <v/>
      </c>
      <c r="B111" s="26">
        <f>IFERROR(IF($B$3="","",IF($K$5+ROW()-26&gt;$K$6,"",IF(INDEX('Raw Flow Data'!$A:$ZZ,$K$5+ROW()-26+$D$3,MATCH($B$3,'Raw Flow Data'!$1:$1,0))=-999,"",INDEX('Raw Flow Data'!$A:$ZZ,$K$5+ROW()-26+$D$3,MATCH($B$3,'Raw Flow Data'!$1:$1,0))*$C$3))),"")</f>
        <v/>
      </c>
      <c r="C111" s="26">
        <f>IFERROR(IF($B$4="","",IF($K$5+ROW()-26&gt;$K$6,"",IF(INDEX('Raw Flow Data'!$A:$ZZ,$K$5+ROW()-26+$D$4,MATCH($B$4,'Raw Flow Data'!$1:$1,0))=-999,"",INDEX('Raw Flow Data'!$A:$ZZ,$K$5+ROW()-26+$D$4,MATCH($B$4,'Raw Flow Data'!$1:$1,0))*$C$4))),"")</f>
        <v/>
      </c>
      <c r="D111" s="26">
        <f>IFERROR(IF($B$5="","",IF($K$5+ROW()-26&gt;$K$6,"",IF(INDEX('Raw Flow Data'!$A:$ZZ,$K$5+ROW()-26+$D$5,MATCH($B$5,'Raw Flow Data'!$1:$1,0))=-999,"",INDEX('Raw Flow Data'!$A:$ZZ,$K$5+ROW()-26+$D$5,MATCH($B$5,'Raw Flow Data'!$1:$1,0))*$C$5))),"")</f>
        <v/>
      </c>
      <c r="E111" s="26">
        <f>IFERROR(IF($B$6="","",IF($K$5+ROW()-26&gt;$K$6,"",IF(INDEX('Raw Flow Data'!$A:$ZZ,$K$5+ROW()-26+$D$6,MATCH($B$6,'Raw Flow Data'!$1:$1,0))=-999,"",INDEX('Raw Flow Data'!$A:$ZZ,$K$5+ROW()-26+$D$6,MATCH($B$6,'Raw Flow Data'!$1:$1,0))*$C$6))),"")</f>
        <v/>
      </c>
      <c r="F111" s="26">
        <f>IFERROR(IF($B$7="","",IF($K$5+ROW()-26&gt;$K$6,"",IF(INDEX('Raw Flow Data'!$A:$ZZ,$K$5+ROW()-26+$D$7,MATCH($B$7,'Raw Flow Data'!$1:$1,0))=-999,"",INDEX('Raw Flow Data'!$A:$ZZ,$K$5+ROW()-26+$D$7,MATCH($B$7,'Raw Flow Data'!$1:$1,0))*$C$7))),"")</f>
        <v/>
      </c>
      <c r="G111" s="26">
        <f>IFERROR(IF($B$8="","",IF($K$5+ROW()-26&gt;$K$6,"",IF(INDEX('Raw Flow Data'!$A:$ZZ,$K$5+ROW()-26+$D$8,MATCH($B$8,'Raw Flow Data'!$1:$1,0))=-999,"",INDEX('Raw Flow Data'!$A:$ZZ,$K$5+ROW()-26+$D$8,MATCH($B$8,'Raw Flow Data'!$1:$1,0))*$C$8))),"")</f>
        <v/>
      </c>
      <c r="H111" s="26">
        <f>IFERROR(IF($B$9="","",IF($K$5+ROW()-26&gt;$K$6,"",IF(INDEX('Raw Flow Data'!$A:$ZZ,$K$5+ROW()-26+$D$9,MATCH($B$9,'Raw Flow Data'!$1:$1,0))=-999,"",INDEX('Raw Flow Data'!$A:$ZZ,$K$5+ROW()-26+$D$9,MATCH($B$9,'Raw Flow Data'!$1:$1,0))*$C$9))),"")</f>
        <v/>
      </c>
      <c r="I111" s="26">
        <f>IFERROR(IF($B$10="","",IF($K$5+ROW()-26&gt;$K$6,"",IF(INDEX('Raw Flow Data'!$A:$ZZ,$K$5+ROW()-26+$D$10,MATCH($B$10,'Raw Flow Data'!$1:$1,0))=-999,"",INDEX('Raw Flow Data'!$A:$ZZ,$K$5+ROW()-26+$D$10,MATCH($B$10,'Raw Flow Data'!$1:$1,0))*$C$10))),"")</f>
        <v/>
      </c>
      <c r="J111" s="26">
        <f>IFERROR(IF($B$11="","",IF($K$5+ROW()-26&gt;$K$6,"",IF(INDEX('Raw Flow Data'!$A:$ZZ,$K$5+ROW()-26+$D$11,MATCH($B$11,'Raw Flow Data'!$1:$1,0))=-999,"",INDEX('Raw Flow Data'!$A:$ZZ,$K$5+ROW()-26+$D$11,MATCH($B$11,'Raw Flow Data'!$1:$1,0))*$C$11))),"")</f>
        <v/>
      </c>
      <c r="K111" s="26">
        <f>IFERROR(IF($B$12="","",IF($K$5+ROW()-26&gt;$K$6,"",IF(INDEX('Raw Flow Data'!$A:$ZZ,$K$5+ROW()-26+$D$12,MATCH($B$12,'Raw Flow Data'!$1:$1,0))=-999,"",INDEX('Raw Flow Data'!$A:$ZZ,$K$5+ROW()-26+$D$12,MATCH($B$12,'Raw Flow Data'!$1:$1,0))*$C$12))),"")</f>
        <v/>
      </c>
      <c r="L111" s="26">
        <f>IFERROR(IF($F$3="","",IF($K$5+ROW()-26&gt;$K$6,"",IF(INDEX('Raw Pressure Data'!$A:$ZZ,$K$5+ROW()-26+$H$3,MATCH($F$3,'Raw Pressure Data'!$1:$1,0))=-999,"",INDEX('Raw Pressure Data'!$A:$ZZ,$K$5+ROW()-26+$H$3,MATCH($F$3,'Raw Pressure Data'!$1:$1,0))+$G$3))),"")</f>
        <v/>
      </c>
      <c r="M111" s="26">
        <f>IFERROR(IF($F$4="","",IF($K$5+ROW()-26&gt;$K$6,"",IF(INDEX('Raw Pressure Data'!$A:$ZZ,$K$5+ROW()-26+$H$4,MATCH($F$4,'Raw Pressure Data'!$1:$1,0))=-999,"",INDEX('Raw Pressure Data'!$A:$ZZ,$K$5+ROW()-26+$H$4,MATCH($F$4,'Raw Pressure Data'!$1:$1,0))+$G$4))),"")</f>
        <v/>
      </c>
      <c r="N111" s="26">
        <f>IFERROR(IF($F$5="","",IF($K$5+ROW()-26&gt;$K$6,"",IF(INDEX('Raw Pressure Data'!$A:$ZZ,$K$5+ROW()-26+$H$5,MATCH($F$5,'Raw Pressure Data'!$1:$1,0))=-999,"",INDEX('Raw Pressure Data'!$A:$ZZ,$K$5+ROW()-26+$H$5,MATCH($F$5,'Raw Pressure Data'!$1:$1,0))+$G$5))),"")</f>
        <v/>
      </c>
      <c r="O111" s="26">
        <f>IFERROR(IF($F$6="","",IF($K$5+ROW()-26&gt;$K$6,"",IF(INDEX('Raw Pressure Data'!$A:$ZZ,$K$5+ROW()-26+$H$6,MATCH($F$6,'Raw Pressure Data'!$1:$1,0))=-999,"",INDEX('Raw Pressure Data'!$A:$ZZ,$K$5+ROW()-26+$H$6,MATCH($F$6,'Raw Pressure Data'!$1:$1,0))+$G$6))),"")</f>
        <v/>
      </c>
      <c r="P111" s="26">
        <f>IFERROR(IF($F$7="","",IF($K$5+ROW()-26&gt;$K$6,"",IF(INDEX('Raw Pressure Data'!$A:$ZZ,$K$5+ROW()-26+$H$7,MATCH($F$7,'Raw Pressure Data'!$1:$1,0))=-999,"",INDEX('Raw Pressure Data'!$A:$ZZ,$K$5+ROW()-26+$H$7,MATCH($F$7,'Raw Pressure Data'!$1:$1,0))+$G$7))),"")</f>
        <v/>
      </c>
      <c r="Q111" s="26">
        <f>IFERROR(IF($F$8="","",IF($K$5+ROW()-26&gt;$K$6,"",IF(INDEX('Raw Pressure Data'!$A:$ZZ,$K$5+ROW()-26+$H$8,MATCH($F$8,'Raw Pressure Data'!$1:$1,0))=-999,"",INDEX('Raw Pressure Data'!$A:$ZZ,$K$5+ROW()-26+$H$8,MATCH($F$8,'Raw Pressure Data'!$1:$1,0))+$G$8))),"")</f>
        <v/>
      </c>
      <c r="R111" s="26">
        <f>IFERROR(IF($F$9="","",IF($K$5+ROW()-26&gt;$K$6,"",IF(INDEX('Raw Pressure Data'!$A:$ZZ,$K$5+ROW()-26+$H$9,MATCH($F$9,'Raw Pressure Data'!$1:$1,0))=-999,"",INDEX('Raw Pressure Data'!$A:$ZZ,$K$5+ROW()-26+$H$9,MATCH($F$9,'Raw Pressure Data'!$1:$1,0))+$G$9))),"")</f>
        <v/>
      </c>
      <c r="S111" s="26">
        <f>IFERROR(IF($F$10="","",IF($K$5+ROW()-26&gt;$K$6,"",IF(INDEX('Raw Pressure Data'!$A:$ZZ,$K$5+ROW()-26+$H$10,MATCH($F$10,'Raw Pressure Data'!$1:$1,0))=-999,"",INDEX('Raw Pressure Data'!$A:$ZZ,$K$5+ROW()-26+$H$10,MATCH($F$10,'Raw Pressure Data'!$1:$1,0))+$G$10))),"")</f>
        <v/>
      </c>
      <c r="T111" s="26">
        <f>IFERROR(IF($F$11="","",IF($K$5+ROW()-26&gt;$K$6,"",IF(INDEX('Raw Pressure Data'!$A:$ZZ,$K$5+ROW()-26+$H$11,MATCH($F$11,'Raw Pressure Data'!$1:$1,0))=-999,"",INDEX('Raw Pressure Data'!$A:$ZZ,$K$5+ROW()-26+$H$11,MATCH($F$11,'Raw Pressure Data'!$1:$1,0))+$G$11))),"")</f>
        <v/>
      </c>
      <c r="U111" s="26">
        <f>IFERROR(IF($F$12="","",IF($K$5+ROW()-26&gt;$K$6,"",IF(INDEX('Raw Pressure Data'!$A:$ZZ,$K$5+ROW()-26+$H$12,MATCH($F$12,'Raw Pressure Data'!$1:$1,0))=-999,"",INDEX('Raw Pressure Data'!$A:$ZZ,$K$5+ROW()-26+$H$12,MATCH($F$12,'Raw Pressure Data'!$1:$1,0))+$G$12))),"")</f>
        <v/>
      </c>
      <c r="V111" s="26">
        <f>IFERROR(IF($F$13="","",IF($K$5+ROW()-26&gt;$K$6,"",IF(INDEX('Raw Pressure Data'!$A:$ZZ,$K$5+ROW()-26+$H$13,MATCH($F$13,'Raw Pressure Data'!$1:$1,0))=-999,"",INDEX('Raw Pressure Data'!$A:$ZZ,$K$5+ROW()-26+$H$13,MATCH($F$13,'Raw Pressure Data'!$1:$1,0))+$G$13))),"")</f>
        <v/>
      </c>
      <c r="W111" s="26">
        <f>IFERROR(IF($F$14="","",IF($K$5+ROW()-26&gt;$K$6,"",IF(INDEX('Raw Pressure Data'!$A:$ZZ,$K$5+ROW()-26+$H$14,MATCH($F$14,'Raw Pressure Data'!$1:$1,0))=-999,"",INDEX('Raw Pressure Data'!$A:$ZZ,$K$5+ROW()-26+$H$14,MATCH($F$14,'Raw Pressure Data'!$1:$1,0))+$G$14))),"")</f>
        <v/>
      </c>
      <c r="X111" s="26">
        <f>IFERROR(IF($F$15="","",IF($K$5+ROW()-26&gt;$K$6,"",IF(INDEX('Raw Pressure Data'!$A:$ZZ,$K$5+ROW()-26+$H$15,MATCH($F$15,'Raw Pressure Data'!$1:$1,0))=-999,"",INDEX('Raw Pressure Data'!$A:$ZZ,$K$5+ROW()-26+$H$15,MATCH($F$15,'Raw Pressure Data'!$1:$1,0))+$G$15))),"")</f>
        <v/>
      </c>
      <c r="Y111" s="26">
        <f>IFERROR(IF($F$16="","",IF($K$5+ROW()-26&gt;$K$6,"",IF(INDEX('Raw Pressure Data'!$A:$ZZ,$K$5+ROW()-26+$H$16,MATCH($F$16,'Raw Pressure Data'!$1:$1,0))=-999,"",INDEX('Raw Pressure Data'!$A:$ZZ,$K$5+ROW()-26+$H$16,MATCH($F$16,'Raw Pressure Data'!$1:$1,0))+$G$16))),"")</f>
        <v/>
      </c>
      <c r="Z111" s="26">
        <f>IFERROR(IF($F$17="","",IF($K$5+ROW()-26&gt;$K$6,"",IF(INDEX('Raw Pressure Data'!$A:$ZZ,$K$5+ROW()-26+$H$17,MATCH($F$17,'Raw Pressure Data'!$1:$1,0))=-999,"",INDEX('Raw Pressure Data'!$A:$ZZ,$K$5+ROW()-26+$H$17,MATCH($F$17,'Raw Pressure Data'!$1:$1,0))+$G$17))),"")</f>
        <v/>
      </c>
      <c r="AA111" s="26">
        <f>IFERROR(IF($F$18="","",IF($K$5+ROW()-26&gt;$K$6,"",IF(INDEX('Raw Pressure Data'!$A:$ZZ,$K$5+ROW()-26+$H$18,MATCH($F$18,'Raw Pressure Data'!$1:$1,0))=-999,"",INDEX('Raw Pressure Data'!$A:$ZZ,$K$5+ROW()-26+$H$18,MATCH($F$18,'Raw Pressure Data'!$1:$1,0))+$G$18))),"")</f>
        <v/>
      </c>
      <c r="AB111" s="26">
        <f>IFERROR(IF($F$19="","",IF($K$5+ROW()-26&gt;$K$6,"",IF(INDEX('Raw Pressure Data'!$A:$ZZ,$K$5+ROW()-26+$H$19,MATCH($F$19,'Raw Pressure Data'!$1:$1,0))=-999,"",INDEX('Raw Pressure Data'!$A:$ZZ,$K$5+ROW()-26+$H$19,MATCH($F$19,'Raw Pressure Data'!$1:$1,0))+$G$19))),"")</f>
        <v/>
      </c>
      <c r="AC111" s="26">
        <f>IFERROR(IF($F$20="","",IF($K$5+ROW()-26&gt;$K$6,"",IF(INDEX('Raw Pressure Data'!$A:$ZZ,$K$5+ROW()-26+$H$20,MATCH($F$20,'Raw Pressure Data'!$1:$1,0))=-999,"",INDEX('Raw Pressure Data'!$A:$ZZ,$K$5+ROW()-26+$H$20,MATCH($F$20,'Raw Pressure Data'!$1:$1,0))+$G$20))),"")</f>
        <v/>
      </c>
      <c r="AD111" s="26">
        <f>IFERROR(IF($F$21="","",IF($K$5+ROW()-26&gt;$K$6,"",IF(INDEX('Raw Pressure Data'!$A:$ZZ,$K$5+ROW()-26+$H$21,MATCH($F$21,'Raw Pressure Data'!$1:$1,0))=-999,"",INDEX('Raw Pressure Data'!$A:$ZZ,$K$5+ROW()-26+$H$21,MATCH($F$21,'Raw Pressure Data'!$1:$1,0))+$G$21))),"")</f>
        <v/>
      </c>
      <c r="AE111" s="26">
        <f>IFERROR(IF($F$22="","",IF($K$5+ROW()-26&gt;$K$6,"",IF(INDEX('Raw Pressure Data'!$A:$ZZ,$K$5+ROW()-26+$H$22,MATCH($F$22,'Raw Pressure Data'!$1:$1,0))=-999,"",INDEX('Raw Pressure Data'!$A:$ZZ,$K$5+ROW()-26+$H$22,MATCH($F$22,'Raw Pressure Data'!$1:$1,0))+$G$22))),"")</f>
        <v/>
      </c>
    </row>
    <row r="112" ht="15" customHeight="1">
      <c r="A112" s="23">
        <f>IFERROR(IF($K$5+ROW()-26&gt;$K$6,"",IF(INDEX('Raw Flow Data'!$A:$A,$K$5+ROW()-26)="","",INDEX('Raw Flow Data'!$A:$A,$K$5+ROW()-26))),"")</f>
        <v/>
      </c>
      <c r="B112" s="24">
        <f>IFERROR(IF($B$3="","",IF($K$5+ROW()-26&gt;$K$6,"",IF(INDEX('Raw Flow Data'!$A:$ZZ,$K$5+ROW()-26+$D$3,MATCH($B$3,'Raw Flow Data'!$1:$1,0))=-999,"",INDEX('Raw Flow Data'!$A:$ZZ,$K$5+ROW()-26+$D$3,MATCH($B$3,'Raw Flow Data'!$1:$1,0))*$C$3))),"")</f>
        <v/>
      </c>
      <c r="C112" s="24">
        <f>IFERROR(IF($B$4="","",IF($K$5+ROW()-26&gt;$K$6,"",IF(INDEX('Raw Flow Data'!$A:$ZZ,$K$5+ROW()-26+$D$4,MATCH($B$4,'Raw Flow Data'!$1:$1,0))=-999,"",INDEX('Raw Flow Data'!$A:$ZZ,$K$5+ROW()-26+$D$4,MATCH($B$4,'Raw Flow Data'!$1:$1,0))*$C$4))),"")</f>
        <v/>
      </c>
      <c r="D112" s="24">
        <f>IFERROR(IF($B$5="","",IF($K$5+ROW()-26&gt;$K$6,"",IF(INDEX('Raw Flow Data'!$A:$ZZ,$K$5+ROW()-26+$D$5,MATCH($B$5,'Raw Flow Data'!$1:$1,0))=-999,"",INDEX('Raw Flow Data'!$A:$ZZ,$K$5+ROW()-26+$D$5,MATCH($B$5,'Raw Flow Data'!$1:$1,0))*$C$5))),"")</f>
        <v/>
      </c>
      <c r="E112" s="24">
        <f>IFERROR(IF($B$6="","",IF($K$5+ROW()-26&gt;$K$6,"",IF(INDEX('Raw Flow Data'!$A:$ZZ,$K$5+ROW()-26+$D$6,MATCH($B$6,'Raw Flow Data'!$1:$1,0))=-999,"",INDEX('Raw Flow Data'!$A:$ZZ,$K$5+ROW()-26+$D$6,MATCH($B$6,'Raw Flow Data'!$1:$1,0))*$C$6))),"")</f>
        <v/>
      </c>
      <c r="F112" s="24">
        <f>IFERROR(IF($B$7="","",IF($K$5+ROW()-26&gt;$K$6,"",IF(INDEX('Raw Flow Data'!$A:$ZZ,$K$5+ROW()-26+$D$7,MATCH($B$7,'Raw Flow Data'!$1:$1,0))=-999,"",INDEX('Raw Flow Data'!$A:$ZZ,$K$5+ROW()-26+$D$7,MATCH($B$7,'Raw Flow Data'!$1:$1,0))*$C$7))),"")</f>
        <v/>
      </c>
      <c r="G112" s="24">
        <f>IFERROR(IF($B$8="","",IF($K$5+ROW()-26&gt;$K$6,"",IF(INDEX('Raw Flow Data'!$A:$ZZ,$K$5+ROW()-26+$D$8,MATCH($B$8,'Raw Flow Data'!$1:$1,0))=-999,"",INDEX('Raw Flow Data'!$A:$ZZ,$K$5+ROW()-26+$D$8,MATCH($B$8,'Raw Flow Data'!$1:$1,0))*$C$8))),"")</f>
        <v/>
      </c>
      <c r="H112" s="24">
        <f>IFERROR(IF($B$9="","",IF($K$5+ROW()-26&gt;$K$6,"",IF(INDEX('Raw Flow Data'!$A:$ZZ,$K$5+ROW()-26+$D$9,MATCH($B$9,'Raw Flow Data'!$1:$1,0))=-999,"",INDEX('Raw Flow Data'!$A:$ZZ,$K$5+ROW()-26+$D$9,MATCH($B$9,'Raw Flow Data'!$1:$1,0))*$C$9))),"")</f>
        <v/>
      </c>
      <c r="I112" s="24">
        <f>IFERROR(IF($B$10="","",IF($K$5+ROW()-26&gt;$K$6,"",IF(INDEX('Raw Flow Data'!$A:$ZZ,$K$5+ROW()-26+$D$10,MATCH($B$10,'Raw Flow Data'!$1:$1,0))=-999,"",INDEX('Raw Flow Data'!$A:$ZZ,$K$5+ROW()-26+$D$10,MATCH($B$10,'Raw Flow Data'!$1:$1,0))*$C$10))),"")</f>
        <v/>
      </c>
      <c r="J112" s="24">
        <f>IFERROR(IF($B$11="","",IF($K$5+ROW()-26&gt;$K$6,"",IF(INDEX('Raw Flow Data'!$A:$ZZ,$K$5+ROW()-26+$D$11,MATCH($B$11,'Raw Flow Data'!$1:$1,0))=-999,"",INDEX('Raw Flow Data'!$A:$ZZ,$K$5+ROW()-26+$D$11,MATCH($B$11,'Raw Flow Data'!$1:$1,0))*$C$11))),"")</f>
        <v/>
      </c>
      <c r="K112" s="24">
        <f>IFERROR(IF($B$12="","",IF($K$5+ROW()-26&gt;$K$6,"",IF(INDEX('Raw Flow Data'!$A:$ZZ,$K$5+ROW()-26+$D$12,MATCH($B$12,'Raw Flow Data'!$1:$1,0))=-999,"",INDEX('Raw Flow Data'!$A:$ZZ,$K$5+ROW()-26+$D$12,MATCH($B$12,'Raw Flow Data'!$1:$1,0))*$C$12))),"")</f>
        <v/>
      </c>
      <c r="L112" s="24">
        <f>IFERROR(IF($F$3="","",IF($K$5+ROW()-26&gt;$K$6,"",IF(INDEX('Raw Pressure Data'!$A:$ZZ,$K$5+ROW()-26+$H$3,MATCH($F$3,'Raw Pressure Data'!$1:$1,0))=-999,"",INDEX('Raw Pressure Data'!$A:$ZZ,$K$5+ROW()-26+$H$3,MATCH($F$3,'Raw Pressure Data'!$1:$1,0))+$G$3))),"")</f>
        <v/>
      </c>
      <c r="M112" s="24">
        <f>IFERROR(IF($F$4="","",IF($K$5+ROW()-26&gt;$K$6,"",IF(INDEX('Raw Pressure Data'!$A:$ZZ,$K$5+ROW()-26+$H$4,MATCH($F$4,'Raw Pressure Data'!$1:$1,0))=-999,"",INDEX('Raw Pressure Data'!$A:$ZZ,$K$5+ROW()-26+$H$4,MATCH($F$4,'Raw Pressure Data'!$1:$1,0))+$G$4))),"")</f>
        <v/>
      </c>
      <c r="N112" s="24">
        <f>IFERROR(IF($F$5="","",IF($K$5+ROW()-26&gt;$K$6,"",IF(INDEX('Raw Pressure Data'!$A:$ZZ,$K$5+ROW()-26+$H$5,MATCH($F$5,'Raw Pressure Data'!$1:$1,0))=-999,"",INDEX('Raw Pressure Data'!$A:$ZZ,$K$5+ROW()-26+$H$5,MATCH($F$5,'Raw Pressure Data'!$1:$1,0))+$G$5))),"")</f>
        <v/>
      </c>
      <c r="O112" s="24">
        <f>IFERROR(IF($F$6="","",IF($K$5+ROW()-26&gt;$K$6,"",IF(INDEX('Raw Pressure Data'!$A:$ZZ,$K$5+ROW()-26+$H$6,MATCH($F$6,'Raw Pressure Data'!$1:$1,0))=-999,"",INDEX('Raw Pressure Data'!$A:$ZZ,$K$5+ROW()-26+$H$6,MATCH($F$6,'Raw Pressure Data'!$1:$1,0))+$G$6))),"")</f>
        <v/>
      </c>
      <c r="P112" s="24">
        <f>IFERROR(IF($F$7="","",IF($K$5+ROW()-26&gt;$K$6,"",IF(INDEX('Raw Pressure Data'!$A:$ZZ,$K$5+ROW()-26+$H$7,MATCH($F$7,'Raw Pressure Data'!$1:$1,0))=-999,"",INDEX('Raw Pressure Data'!$A:$ZZ,$K$5+ROW()-26+$H$7,MATCH($F$7,'Raw Pressure Data'!$1:$1,0))+$G$7))),"")</f>
        <v/>
      </c>
      <c r="Q112" s="24">
        <f>IFERROR(IF($F$8="","",IF($K$5+ROW()-26&gt;$K$6,"",IF(INDEX('Raw Pressure Data'!$A:$ZZ,$K$5+ROW()-26+$H$8,MATCH($F$8,'Raw Pressure Data'!$1:$1,0))=-999,"",INDEX('Raw Pressure Data'!$A:$ZZ,$K$5+ROW()-26+$H$8,MATCH($F$8,'Raw Pressure Data'!$1:$1,0))+$G$8))),"")</f>
        <v/>
      </c>
      <c r="R112" s="24">
        <f>IFERROR(IF($F$9="","",IF($K$5+ROW()-26&gt;$K$6,"",IF(INDEX('Raw Pressure Data'!$A:$ZZ,$K$5+ROW()-26+$H$9,MATCH($F$9,'Raw Pressure Data'!$1:$1,0))=-999,"",INDEX('Raw Pressure Data'!$A:$ZZ,$K$5+ROW()-26+$H$9,MATCH($F$9,'Raw Pressure Data'!$1:$1,0))+$G$9))),"")</f>
        <v/>
      </c>
      <c r="S112" s="24">
        <f>IFERROR(IF($F$10="","",IF($K$5+ROW()-26&gt;$K$6,"",IF(INDEX('Raw Pressure Data'!$A:$ZZ,$K$5+ROW()-26+$H$10,MATCH($F$10,'Raw Pressure Data'!$1:$1,0))=-999,"",INDEX('Raw Pressure Data'!$A:$ZZ,$K$5+ROW()-26+$H$10,MATCH($F$10,'Raw Pressure Data'!$1:$1,0))+$G$10))),"")</f>
        <v/>
      </c>
      <c r="T112" s="24">
        <f>IFERROR(IF($F$11="","",IF($K$5+ROW()-26&gt;$K$6,"",IF(INDEX('Raw Pressure Data'!$A:$ZZ,$K$5+ROW()-26+$H$11,MATCH($F$11,'Raw Pressure Data'!$1:$1,0))=-999,"",INDEX('Raw Pressure Data'!$A:$ZZ,$K$5+ROW()-26+$H$11,MATCH($F$11,'Raw Pressure Data'!$1:$1,0))+$G$11))),"")</f>
        <v/>
      </c>
      <c r="U112" s="24">
        <f>IFERROR(IF($F$12="","",IF($K$5+ROW()-26&gt;$K$6,"",IF(INDEX('Raw Pressure Data'!$A:$ZZ,$K$5+ROW()-26+$H$12,MATCH($F$12,'Raw Pressure Data'!$1:$1,0))=-999,"",INDEX('Raw Pressure Data'!$A:$ZZ,$K$5+ROW()-26+$H$12,MATCH($F$12,'Raw Pressure Data'!$1:$1,0))+$G$12))),"")</f>
        <v/>
      </c>
      <c r="V112" s="24">
        <f>IFERROR(IF($F$13="","",IF($K$5+ROW()-26&gt;$K$6,"",IF(INDEX('Raw Pressure Data'!$A:$ZZ,$K$5+ROW()-26+$H$13,MATCH($F$13,'Raw Pressure Data'!$1:$1,0))=-999,"",INDEX('Raw Pressure Data'!$A:$ZZ,$K$5+ROW()-26+$H$13,MATCH($F$13,'Raw Pressure Data'!$1:$1,0))+$G$13))),"")</f>
        <v/>
      </c>
      <c r="W112" s="24">
        <f>IFERROR(IF($F$14="","",IF($K$5+ROW()-26&gt;$K$6,"",IF(INDEX('Raw Pressure Data'!$A:$ZZ,$K$5+ROW()-26+$H$14,MATCH($F$14,'Raw Pressure Data'!$1:$1,0))=-999,"",INDEX('Raw Pressure Data'!$A:$ZZ,$K$5+ROW()-26+$H$14,MATCH($F$14,'Raw Pressure Data'!$1:$1,0))+$G$14))),"")</f>
        <v/>
      </c>
      <c r="X112" s="24">
        <f>IFERROR(IF($F$15="","",IF($K$5+ROW()-26&gt;$K$6,"",IF(INDEX('Raw Pressure Data'!$A:$ZZ,$K$5+ROW()-26+$H$15,MATCH($F$15,'Raw Pressure Data'!$1:$1,0))=-999,"",INDEX('Raw Pressure Data'!$A:$ZZ,$K$5+ROW()-26+$H$15,MATCH($F$15,'Raw Pressure Data'!$1:$1,0))+$G$15))),"")</f>
        <v/>
      </c>
      <c r="Y112" s="24">
        <f>IFERROR(IF($F$16="","",IF($K$5+ROW()-26&gt;$K$6,"",IF(INDEX('Raw Pressure Data'!$A:$ZZ,$K$5+ROW()-26+$H$16,MATCH($F$16,'Raw Pressure Data'!$1:$1,0))=-999,"",INDEX('Raw Pressure Data'!$A:$ZZ,$K$5+ROW()-26+$H$16,MATCH($F$16,'Raw Pressure Data'!$1:$1,0))+$G$16))),"")</f>
        <v/>
      </c>
      <c r="Z112" s="24">
        <f>IFERROR(IF($F$17="","",IF($K$5+ROW()-26&gt;$K$6,"",IF(INDEX('Raw Pressure Data'!$A:$ZZ,$K$5+ROW()-26+$H$17,MATCH($F$17,'Raw Pressure Data'!$1:$1,0))=-999,"",INDEX('Raw Pressure Data'!$A:$ZZ,$K$5+ROW()-26+$H$17,MATCH($F$17,'Raw Pressure Data'!$1:$1,0))+$G$17))),"")</f>
        <v/>
      </c>
      <c r="AA112" s="24">
        <f>IFERROR(IF($F$18="","",IF($K$5+ROW()-26&gt;$K$6,"",IF(INDEX('Raw Pressure Data'!$A:$ZZ,$K$5+ROW()-26+$H$18,MATCH($F$18,'Raw Pressure Data'!$1:$1,0))=-999,"",INDEX('Raw Pressure Data'!$A:$ZZ,$K$5+ROW()-26+$H$18,MATCH($F$18,'Raw Pressure Data'!$1:$1,0))+$G$18))),"")</f>
        <v/>
      </c>
      <c r="AB112" s="24">
        <f>IFERROR(IF($F$19="","",IF($K$5+ROW()-26&gt;$K$6,"",IF(INDEX('Raw Pressure Data'!$A:$ZZ,$K$5+ROW()-26+$H$19,MATCH($F$19,'Raw Pressure Data'!$1:$1,0))=-999,"",INDEX('Raw Pressure Data'!$A:$ZZ,$K$5+ROW()-26+$H$19,MATCH($F$19,'Raw Pressure Data'!$1:$1,0))+$G$19))),"")</f>
        <v/>
      </c>
      <c r="AC112" s="24">
        <f>IFERROR(IF($F$20="","",IF($K$5+ROW()-26&gt;$K$6,"",IF(INDEX('Raw Pressure Data'!$A:$ZZ,$K$5+ROW()-26+$H$20,MATCH($F$20,'Raw Pressure Data'!$1:$1,0))=-999,"",INDEX('Raw Pressure Data'!$A:$ZZ,$K$5+ROW()-26+$H$20,MATCH($F$20,'Raw Pressure Data'!$1:$1,0))+$G$20))),"")</f>
        <v/>
      </c>
      <c r="AD112" s="24">
        <f>IFERROR(IF($F$21="","",IF($K$5+ROW()-26&gt;$K$6,"",IF(INDEX('Raw Pressure Data'!$A:$ZZ,$K$5+ROW()-26+$H$21,MATCH($F$21,'Raw Pressure Data'!$1:$1,0))=-999,"",INDEX('Raw Pressure Data'!$A:$ZZ,$K$5+ROW()-26+$H$21,MATCH($F$21,'Raw Pressure Data'!$1:$1,0))+$G$21))),"")</f>
        <v/>
      </c>
      <c r="AE112" s="24">
        <f>IFERROR(IF($F$22="","",IF($K$5+ROW()-26&gt;$K$6,"",IF(INDEX('Raw Pressure Data'!$A:$ZZ,$K$5+ROW()-26+$H$22,MATCH($F$22,'Raw Pressure Data'!$1:$1,0))=-999,"",INDEX('Raw Pressure Data'!$A:$ZZ,$K$5+ROW()-26+$H$22,MATCH($F$22,'Raw Pressure Data'!$1:$1,0))+$G$22))),"")</f>
        <v/>
      </c>
    </row>
    <row r="113" ht="15" customHeight="1">
      <c r="A113" s="25">
        <f>IFERROR(IF($K$5+ROW()-26&gt;$K$6,"",IF(INDEX('Raw Flow Data'!$A:$A,$K$5+ROW()-26)="","",INDEX('Raw Flow Data'!$A:$A,$K$5+ROW()-26))),"")</f>
        <v/>
      </c>
      <c r="B113" s="26">
        <f>IFERROR(IF($B$3="","",IF($K$5+ROW()-26&gt;$K$6,"",IF(INDEX('Raw Flow Data'!$A:$ZZ,$K$5+ROW()-26+$D$3,MATCH($B$3,'Raw Flow Data'!$1:$1,0))=-999,"",INDEX('Raw Flow Data'!$A:$ZZ,$K$5+ROW()-26+$D$3,MATCH($B$3,'Raw Flow Data'!$1:$1,0))*$C$3))),"")</f>
        <v/>
      </c>
      <c r="C113" s="26">
        <f>IFERROR(IF($B$4="","",IF($K$5+ROW()-26&gt;$K$6,"",IF(INDEX('Raw Flow Data'!$A:$ZZ,$K$5+ROW()-26+$D$4,MATCH($B$4,'Raw Flow Data'!$1:$1,0))=-999,"",INDEX('Raw Flow Data'!$A:$ZZ,$K$5+ROW()-26+$D$4,MATCH($B$4,'Raw Flow Data'!$1:$1,0))*$C$4))),"")</f>
        <v/>
      </c>
      <c r="D113" s="26">
        <f>IFERROR(IF($B$5="","",IF($K$5+ROW()-26&gt;$K$6,"",IF(INDEX('Raw Flow Data'!$A:$ZZ,$K$5+ROW()-26+$D$5,MATCH($B$5,'Raw Flow Data'!$1:$1,0))=-999,"",INDEX('Raw Flow Data'!$A:$ZZ,$K$5+ROW()-26+$D$5,MATCH($B$5,'Raw Flow Data'!$1:$1,0))*$C$5))),"")</f>
        <v/>
      </c>
      <c r="E113" s="26">
        <f>IFERROR(IF($B$6="","",IF($K$5+ROW()-26&gt;$K$6,"",IF(INDEX('Raw Flow Data'!$A:$ZZ,$K$5+ROW()-26+$D$6,MATCH($B$6,'Raw Flow Data'!$1:$1,0))=-999,"",INDEX('Raw Flow Data'!$A:$ZZ,$K$5+ROW()-26+$D$6,MATCH($B$6,'Raw Flow Data'!$1:$1,0))*$C$6))),"")</f>
        <v/>
      </c>
      <c r="F113" s="26">
        <f>IFERROR(IF($B$7="","",IF($K$5+ROW()-26&gt;$K$6,"",IF(INDEX('Raw Flow Data'!$A:$ZZ,$K$5+ROW()-26+$D$7,MATCH($B$7,'Raw Flow Data'!$1:$1,0))=-999,"",INDEX('Raw Flow Data'!$A:$ZZ,$K$5+ROW()-26+$D$7,MATCH($B$7,'Raw Flow Data'!$1:$1,0))*$C$7))),"")</f>
        <v/>
      </c>
      <c r="G113" s="26">
        <f>IFERROR(IF($B$8="","",IF($K$5+ROW()-26&gt;$K$6,"",IF(INDEX('Raw Flow Data'!$A:$ZZ,$K$5+ROW()-26+$D$8,MATCH($B$8,'Raw Flow Data'!$1:$1,0))=-999,"",INDEX('Raw Flow Data'!$A:$ZZ,$K$5+ROW()-26+$D$8,MATCH($B$8,'Raw Flow Data'!$1:$1,0))*$C$8))),"")</f>
        <v/>
      </c>
      <c r="H113" s="26">
        <f>IFERROR(IF($B$9="","",IF($K$5+ROW()-26&gt;$K$6,"",IF(INDEX('Raw Flow Data'!$A:$ZZ,$K$5+ROW()-26+$D$9,MATCH($B$9,'Raw Flow Data'!$1:$1,0))=-999,"",INDEX('Raw Flow Data'!$A:$ZZ,$K$5+ROW()-26+$D$9,MATCH($B$9,'Raw Flow Data'!$1:$1,0))*$C$9))),"")</f>
        <v/>
      </c>
      <c r="I113" s="26">
        <f>IFERROR(IF($B$10="","",IF($K$5+ROW()-26&gt;$K$6,"",IF(INDEX('Raw Flow Data'!$A:$ZZ,$K$5+ROW()-26+$D$10,MATCH($B$10,'Raw Flow Data'!$1:$1,0))=-999,"",INDEX('Raw Flow Data'!$A:$ZZ,$K$5+ROW()-26+$D$10,MATCH($B$10,'Raw Flow Data'!$1:$1,0))*$C$10))),"")</f>
        <v/>
      </c>
      <c r="J113" s="26">
        <f>IFERROR(IF($B$11="","",IF($K$5+ROW()-26&gt;$K$6,"",IF(INDEX('Raw Flow Data'!$A:$ZZ,$K$5+ROW()-26+$D$11,MATCH($B$11,'Raw Flow Data'!$1:$1,0))=-999,"",INDEX('Raw Flow Data'!$A:$ZZ,$K$5+ROW()-26+$D$11,MATCH($B$11,'Raw Flow Data'!$1:$1,0))*$C$11))),"")</f>
        <v/>
      </c>
      <c r="K113" s="26">
        <f>IFERROR(IF($B$12="","",IF($K$5+ROW()-26&gt;$K$6,"",IF(INDEX('Raw Flow Data'!$A:$ZZ,$K$5+ROW()-26+$D$12,MATCH($B$12,'Raw Flow Data'!$1:$1,0))=-999,"",INDEX('Raw Flow Data'!$A:$ZZ,$K$5+ROW()-26+$D$12,MATCH($B$12,'Raw Flow Data'!$1:$1,0))*$C$12))),"")</f>
        <v/>
      </c>
      <c r="L113" s="26">
        <f>IFERROR(IF($F$3="","",IF($K$5+ROW()-26&gt;$K$6,"",IF(INDEX('Raw Pressure Data'!$A:$ZZ,$K$5+ROW()-26+$H$3,MATCH($F$3,'Raw Pressure Data'!$1:$1,0))=-999,"",INDEX('Raw Pressure Data'!$A:$ZZ,$K$5+ROW()-26+$H$3,MATCH($F$3,'Raw Pressure Data'!$1:$1,0))+$G$3))),"")</f>
        <v/>
      </c>
      <c r="M113" s="26">
        <f>IFERROR(IF($F$4="","",IF($K$5+ROW()-26&gt;$K$6,"",IF(INDEX('Raw Pressure Data'!$A:$ZZ,$K$5+ROW()-26+$H$4,MATCH($F$4,'Raw Pressure Data'!$1:$1,0))=-999,"",INDEX('Raw Pressure Data'!$A:$ZZ,$K$5+ROW()-26+$H$4,MATCH($F$4,'Raw Pressure Data'!$1:$1,0))+$G$4))),"")</f>
        <v/>
      </c>
      <c r="N113" s="26">
        <f>IFERROR(IF($F$5="","",IF($K$5+ROW()-26&gt;$K$6,"",IF(INDEX('Raw Pressure Data'!$A:$ZZ,$K$5+ROW()-26+$H$5,MATCH($F$5,'Raw Pressure Data'!$1:$1,0))=-999,"",INDEX('Raw Pressure Data'!$A:$ZZ,$K$5+ROW()-26+$H$5,MATCH($F$5,'Raw Pressure Data'!$1:$1,0))+$G$5))),"")</f>
        <v/>
      </c>
      <c r="O113" s="26">
        <f>IFERROR(IF($F$6="","",IF($K$5+ROW()-26&gt;$K$6,"",IF(INDEX('Raw Pressure Data'!$A:$ZZ,$K$5+ROW()-26+$H$6,MATCH($F$6,'Raw Pressure Data'!$1:$1,0))=-999,"",INDEX('Raw Pressure Data'!$A:$ZZ,$K$5+ROW()-26+$H$6,MATCH($F$6,'Raw Pressure Data'!$1:$1,0))+$G$6))),"")</f>
        <v/>
      </c>
      <c r="P113" s="26">
        <f>IFERROR(IF($F$7="","",IF($K$5+ROW()-26&gt;$K$6,"",IF(INDEX('Raw Pressure Data'!$A:$ZZ,$K$5+ROW()-26+$H$7,MATCH($F$7,'Raw Pressure Data'!$1:$1,0))=-999,"",INDEX('Raw Pressure Data'!$A:$ZZ,$K$5+ROW()-26+$H$7,MATCH($F$7,'Raw Pressure Data'!$1:$1,0))+$G$7))),"")</f>
        <v/>
      </c>
      <c r="Q113" s="26">
        <f>IFERROR(IF($F$8="","",IF($K$5+ROW()-26&gt;$K$6,"",IF(INDEX('Raw Pressure Data'!$A:$ZZ,$K$5+ROW()-26+$H$8,MATCH($F$8,'Raw Pressure Data'!$1:$1,0))=-999,"",INDEX('Raw Pressure Data'!$A:$ZZ,$K$5+ROW()-26+$H$8,MATCH($F$8,'Raw Pressure Data'!$1:$1,0))+$G$8))),"")</f>
        <v/>
      </c>
      <c r="R113" s="26">
        <f>IFERROR(IF($F$9="","",IF($K$5+ROW()-26&gt;$K$6,"",IF(INDEX('Raw Pressure Data'!$A:$ZZ,$K$5+ROW()-26+$H$9,MATCH($F$9,'Raw Pressure Data'!$1:$1,0))=-999,"",INDEX('Raw Pressure Data'!$A:$ZZ,$K$5+ROW()-26+$H$9,MATCH($F$9,'Raw Pressure Data'!$1:$1,0))+$G$9))),"")</f>
        <v/>
      </c>
      <c r="S113" s="26">
        <f>IFERROR(IF($F$10="","",IF($K$5+ROW()-26&gt;$K$6,"",IF(INDEX('Raw Pressure Data'!$A:$ZZ,$K$5+ROW()-26+$H$10,MATCH($F$10,'Raw Pressure Data'!$1:$1,0))=-999,"",INDEX('Raw Pressure Data'!$A:$ZZ,$K$5+ROW()-26+$H$10,MATCH($F$10,'Raw Pressure Data'!$1:$1,0))+$G$10))),"")</f>
        <v/>
      </c>
      <c r="T113" s="26">
        <f>IFERROR(IF($F$11="","",IF($K$5+ROW()-26&gt;$K$6,"",IF(INDEX('Raw Pressure Data'!$A:$ZZ,$K$5+ROW()-26+$H$11,MATCH($F$11,'Raw Pressure Data'!$1:$1,0))=-999,"",INDEX('Raw Pressure Data'!$A:$ZZ,$K$5+ROW()-26+$H$11,MATCH($F$11,'Raw Pressure Data'!$1:$1,0))+$G$11))),"")</f>
        <v/>
      </c>
      <c r="U113" s="26">
        <f>IFERROR(IF($F$12="","",IF($K$5+ROW()-26&gt;$K$6,"",IF(INDEX('Raw Pressure Data'!$A:$ZZ,$K$5+ROW()-26+$H$12,MATCH($F$12,'Raw Pressure Data'!$1:$1,0))=-999,"",INDEX('Raw Pressure Data'!$A:$ZZ,$K$5+ROW()-26+$H$12,MATCH($F$12,'Raw Pressure Data'!$1:$1,0))+$G$12))),"")</f>
        <v/>
      </c>
      <c r="V113" s="26">
        <f>IFERROR(IF($F$13="","",IF($K$5+ROW()-26&gt;$K$6,"",IF(INDEX('Raw Pressure Data'!$A:$ZZ,$K$5+ROW()-26+$H$13,MATCH($F$13,'Raw Pressure Data'!$1:$1,0))=-999,"",INDEX('Raw Pressure Data'!$A:$ZZ,$K$5+ROW()-26+$H$13,MATCH($F$13,'Raw Pressure Data'!$1:$1,0))+$G$13))),"")</f>
        <v/>
      </c>
      <c r="W113" s="26">
        <f>IFERROR(IF($F$14="","",IF($K$5+ROW()-26&gt;$K$6,"",IF(INDEX('Raw Pressure Data'!$A:$ZZ,$K$5+ROW()-26+$H$14,MATCH($F$14,'Raw Pressure Data'!$1:$1,0))=-999,"",INDEX('Raw Pressure Data'!$A:$ZZ,$K$5+ROW()-26+$H$14,MATCH($F$14,'Raw Pressure Data'!$1:$1,0))+$G$14))),"")</f>
        <v/>
      </c>
      <c r="X113" s="26">
        <f>IFERROR(IF($F$15="","",IF($K$5+ROW()-26&gt;$K$6,"",IF(INDEX('Raw Pressure Data'!$A:$ZZ,$K$5+ROW()-26+$H$15,MATCH($F$15,'Raw Pressure Data'!$1:$1,0))=-999,"",INDEX('Raw Pressure Data'!$A:$ZZ,$K$5+ROW()-26+$H$15,MATCH($F$15,'Raw Pressure Data'!$1:$1,0))+$G$15))),"")</f>
        <v/>
      </c>
      <c r="Y113" s="26">
        <f>IFERROR(IF($F$16="","",IF($K$5+ROW()-26&gt;$K$6,"",IF(INDEX('Raw Pressure Data'!$A:$ZZ,$K$5+ROW()-26+$H$16,MATCH($F$16,'Raw Pressure Data'!$1:$1,0))=-999,"",INDEX('Raw Pressure Data'!$A:$ZZ,$K$5+ROW()-26+$H$16,MATCH($F$16,'Raw Pressure Data'!$1:$1,0))+$G$16))),"")</f>
        <v/>
      </c>
      <c r="Z113" s="26">
        <f>IFERROR(IF($F$17="","",IF($K$5+ROW()-26&gt;$K$6,"",IF(INDEX('Raw Pressure Data'!$A:$ZZ,$K$5+ROW()-26+$H$17,MATCH($F$17,'Raw Pressure Data'!$1:$1,0))=-999,"",INDEX('Raw Pressure Data'!$A:$ZZ,$K$5+ROW()-26+$H$17,MATCH($F$17,'Raw Pressure Data'!$1:$1,0))+$G$17))),"")</f>
        <v/>
      </c>
      <c r="AA113" s="26">
        <f>IFERROR(IF($F$18="","",IF($K$5+ROW()-26&gt;$K$6,"",IF(INDEX('Raw Pressure Data'!$A:$ZZ,$K$5+ROW()-26+$H$18,MATCH($F$18,'Raw Pressure Data'!$1:$1,0))=-999,"",INDEX('Raw Pressure Data'!$A:$ZZ,$K$5+ROW()-26+$H$18,MATCH($F$18,'Raw Pressure Data'!$1:$1,0))+$G$18))),"")</f>
        <v/>
      </c>
      <c r="AB113" s="26">
        <f>IFERROR(IF($F$19="","",IF($K$5+ROW()-26&gt;$K$6,"",IF(INDEX('Raw Pressure Data'!$A:$ZZ,$K$5+ROW()-26+$H$19,MATCH($F$19,'Raw Pressure Data'!$1:$1,0))=-999,"",INDEX('Raw Pressure Data'!$A:$ZZ,$K$5+ROW()-26+$H$19,MATCH($F$19,'Raw Pressure Data'!$1:$1,0))+$G$19))),"")</f>
        <v/>
      </c>
      <c r="AC113" s="26">
        <f>IFERROR(IF($F$20="","",IF($K$5+ROW()-26&gt;$K$6,"",IF(INDEX('Raw Pressure Data'!$A:$ZZ,$K$5+ROW()-26+$H$20,MATCH($F$20,'Raw Pressure Data'!$1:$1,0))=-999,"",INDEX('Raw Pressure Data'!$A:$ZZ,$K$5+ROW()-26+$H$20,MATCH($F$20,'Raw Pressure Data'!$1:$1,0))+$G$20))),"")</f>
        <v/>
      </c>
      <c r="AD113" s="26">
        <f>IFERROR(IF($F$21="","",IF($K$5+ROW()-26&gt;$K$6,"",IF(INDEX('Raw Pressure Data'!$A:$ZZ,$K$5+ROW()-26+$H$21,MATCH($F$21,'Raw Pressure Data'!$1:$1,0))=-999,"",INDEX('Raw Pressure Data'!$A:$ZZ,$K$5+ROW()-26+$H$21,MATCH($F$21,'Raw Pressure Data'!$1:$1,0))+$G$21))),"")</f>
        <v/>
      </c>
      <c r="AE113" s="26">
        <f>IFERROR(IF($F$22="","",IF($K$5+ROW()-26&gt;$K$6,"",IF(INDEX('Raw Pressure Data'!$A:$ZZ,$K$5+ROW()-26+$H$22,MATCH($F$22,'Raw Pressure Data'!$1:$1,0))=-999,"",INDEX('Raw Pressure Data'!$A:$ZZ,$K$5+ROW()-26+$H$22,MATCH($F$22,'Raw Pressure Data'!$1:$1,0))+$G$22))),"")</f>
        <v/>
      </c>
    </row>
    <row r="114" ht="15" customHeight="1">
      <c r="A114" s="23">
        <f>IFERROR(IF($K$5+ROW()-26&gt;$K$6,"",IF(INDEX('Raw Flow Data'!$A:$A,$K$5+ROW()-26)="","",INDEX('Raw Flow Data'!$A:$A,$K$5+ROW()-26))),"")</f>
        <v/>
      </c>
      <c r="B114" s="24">
        <f>IFERROR(IF($B$3="","",IF($K$5+ROW()-26&gt;$K$6,"",IF(INDEX('Raw Flow Data'!$A:$ZZ,$K$5+ROW()-26+$D$3,MATCH($B$3,'Raw Flow Data'!$1:$1,0))=-999,"",INDEX('Raw Flow Data'!$A:$ZZ,$K$5+ROW()-26+$D$3,MATCH($B$3,'Raw Flow Data'!$1:$1,0))*$C$3))),"")</f>
        <v/>
      </c>
      <c r="C114" s="24">
        <f>IFERROR(IF($B$4="","",IF($K$5+ROW()-26&gt;$K$6,"",IF(INDEX('Raw Flow Data'!$A:$ZZ,$K$5+ROW()-26+$D$4,MATCH($B$4,'Raw Flow Data'!$1:$1,0))=-999,"",INDEX('Raw Flow Data'!$A:$ZZ,$K$5+ROW()-26+$D$4,MATCH($B$4,'Raw Flow Data'!$1:$1,0))*$C$4))),"")</f>
        <v/>
      </c>
      <c r="D114" s="24">
        <f>IFERROR(IF($B$5="","",IF($K$5+ROW()-26&gt;$K$6,"",IF(INDEX('Raw Flow Data'!$A:$ZZ,$K$5+ROW()-26+$D$5,MATCH($B$5,'Raw Flow Data'!$1:$1,0))=-999,"",INDEX('Raw Flow Data'!$A:$ZZ,$K$5+ROW()-26+$D$5,MATCH($B$5,'Raw Flow Data'!$1:$1,0))*$C$5))),"")</f>
        <v/>
      </c>
      <c r="E114" s="24">
        <f>IFERROR(IF($B$6="","",IF($K$5+ROW()-26&gt;$K$6,"",IF(INDEX('Raw Flow Data'!$A:$ZZ,$K$5+ROW()-26+$D$6,MATCH($B$6,'Raw Flow Data'!$1:$1,0))=-999,"",INDEX('Raw Flow Data'!$A:$ZZ,$K$5+ROW()-26+$D$6,MATCH($B$6,'Raw Flow Data'!$1:$1,0))*$C$6))),"")</f>
        <v/>
      </c>
      <c r="F114" s="24">
        <f>IFERROR(IF($B$7="","",IF($K$5+ROW()-26&gt;$K$6,"",IF(INDEX('Raw Flow Data'!$A:$ZZ,$K$5+ROW()-26+$D$7,MATCH($B$7,'Raw Flow Data'!$1:$1,0))=-999,"",INDEX('Raw Flow Data'!$A:$ZZ,$K$5+ROW()-26+$D$7,MATCH($B$7,'Raw Flow Data'!$1:$1,0))*$C$7))),"")</f>
        <v/>
      </c>
      <c r="G114" s="24">
        <f>IFERROR(IF($B$8="","",IF($K$5+ROW()-26&gt;$K$6,"",IF(INDEX('Raw Flow Data'!$A:$ZZ,$K$5+ROW()-26+$D$8,MATCH($B$8,'Raw Flow Data'!$1:$1,0))=-999,"",INDEX('Raw Flow Data'!$A:$ZZ,$K$5+ROW()-26+$D$8,MATCH($B$8,'Raw Flow Data'!$1:$1,0))*$C$8))),"")</f>
        <v/>
      </c>
      <c r="H114" s="24">
        <f>IFERROR(IF($B$9="","",IF($K$5+ROW()-26&gt;$K$6,"",IF(INDEX('Raw Flow Data'!$A:$ZZ,$K$5+ROW()-26+$D$9,MATCH($B$9,'Raw Flow Data'!$1:$1,0))=-999,"",INDEX('Raw Flow Data'!$A:$ZZ,$K$5+ROW()-26+$D$9,MATCH($B$9,'Raw Flow Data'!$1:$1,0))*$C$9))),"")</f>
        <v/>
      </c>
      <c r="I114" s="24">
        <f>IFERROR(IF($B$10="","",IF($K$5+ROW()-26&gt;$K$6,"",IF(INDEX('Raw Flow Data'!$A:$ZZ,$K$5+ROW()-26+$D$10,MATCH($B$10,'Raw Flow Data'!$1:$1,0))=-999,"",INDEX('Raw Flow Data'!$A:$ZZ,$K$5+ROW()-26+$D$10,MATCH($B$10,'Raw Flow Data'!$1:$1,0))*$C$10))),"")</f>
        <v/>
      </c>
      <c r="J114" s="24">
        <f>IFERROR(IF($B$11="","",IF($K$5+ROW()-26&gt;$K$6,"",IF(INDEX('Raw Flow Data'!$A:$ZZ,$K$5+ROW()-26+$D$11,MATCH($B$11,'Raw Flow Data'!$1:$1,0))=-999,"",INDEX('Raw Flow Data'!$A:$ZZ,$K$5+ROW()-26+$D$11,MATCH($B$11,'Raw Flow Data'!$1:$1,0))*$C$11))),"")</f>
        <v/>
      </c>
      <c r="K114" s="24">
        <f>IFERROR(IF($B$12="","",IF($K$5+ROW()-26&gt;$K$6,"",IF(INDEX('Raw Flow Data'!$A:$ZZ,$K$5+ROW()-26+$D$12,MATCH($B$12,'Raw Flow Data'!$1:$1,0))=-999,"",INDEX('Raw Flow Data'!$A:$ZZ,$K$5+ROW()-26+$D$12,MATCH($B$12,'Raw Flow Data'!$1:$1,0))*$C$12))),"")</f>
        <v/>
      </c>
      <c r="L114" s="24">
        <f>IFERROR(IF($F$3="","",IF($K$5+ROW()-26&gt;$K$6,"",IF(INDEX('Raw Pressure Data'!$A:$ZZ,$K$5+ROW()-26+$H$3,MATCH($F$3,'Raw Pressure Data'!$1:$1,0))=-999,"",INDEX('Raw Pressure Data'!$A:$ZZ,$K$5+ROW()-26+$H$3,MATCH($F$3,'Raw Pressure Data'!$1:$1,0))+$G$3))),"")</f>
        <v/>
      </c>
      <c r="M114" s="24">
        <f>IFERROR(IF($F$4="","",IF($K$5+ROW()-26&gt;$K$6,"",IF(INDEX('Raw Pressure Data'!$A:$ZZ,$K$5+ROW()-26+$H$4,MATCH($F$4,'Raw Pressure Data'!$1:$1,0))=-999,"",INDEX('Raw Pressure Data'!$A:$ZZ,$K$5+ROW()-26+$H$4,MATCH($F$4,'Raw Pressure Data'!$1:$1,0))+$G$4))),"")</f>
        <v/>
      </c>
      <c r="N114" s="24">
        <f>IFERROR(IF($F$5="","",IF($K$5+ROW()-26&gt;$K$6,"",IF(INDEX('Raw Pressure Data'!$A:$ZZ,$K$5+ROW()-26+$H$5,MATCH($F$5,'Raw Pressure Data'!$1:$1,0))=-999,"",INDEX('Raw Pressure Data'!$A:$ZZ,$K$5+ROW()-26+$H$5,MATCH($F$5,'Raw Pressure Data'!$1:$1,0))+$G$5))),"")</f>
        <v/>
      </c>
      <c r="O114" s="24">
        <f>IFERROR(IF($F$6="","",IF($K$5+ROW()-26&gt;$K$6,"",IF(INDEX('Raw Pressure Data'!$A:$ZZ,$K$5+ROW()-26+$H$6,MATCH($F$6,'Raw Pressure Data'!$1:$1,0))=-999,"",INDEX('Raw Pressure Data'!$A:$ZZ,$K$5+ROW()-26+$H$6,MATCH($F$6,'Raw Pressure Data'!$1:$1,0))+$G$6))),"")</f>
        <v/>
      </c>
      <c r="P114" s="24">
        <f>IFERROR(IF($F$7="","",IF($K$5+ROW()-26&gt;$K$6,"",IF(INDEX('Raw Pressure Data'!$A:$ZZ,$K$5+ROW()-26+$H$7,MATCH($F$7,'Raw Pressure Data'!$1:$1,0))=-999,"",INDEX('Raw Pressure Data'!$A:$ZZ,$K$5+ROW()-26+$H$7,MATCH($F$7,'Raw Pressure Data'!$1:$1,0))+$G$7))),"")</f>
        <v/>
      </c>
      <c r="Q114" s="24">
        <f>IFERROR(IF($F$8="","",IF($K$5+ROW()-26&gt;$K$6,"",IF(INDEX('Raw Pressure Data'!$A:$ZZ,$K$5+ROW()-26+$H$8,MATCH($F$8,'Raw Pressure Data'!$1:$1,0))=-999,"",INDEX('Raw Pressure Data'!$A:$ZZ,$K$5+ROW()-26+$H$8,MATCH($F$8,'Raw Pressure Data'!$1:$1,0))+$G$8))),"")</f>
        <v/>
      </c>
      <c r="R114" s="24">
        <f>IFERROR(IF($F$9="","",IF($K$5+ROW()-26&gt;$K$6,"",IF(INDEX('Raw Pressure Data'!$A:$ZZ,$K$5+ROW()-26+$H$9,MATCH($F$9,'Raw Pressure Data'!$1:$1,0))=-999,"",INDEX('Raw Pressure Data'!$A:$ZZ,$K$5+ROW()-26+$H$9,MATCH($F$9,'Raw Pressure Data'!$1:$1,0))+$G$9))),"")</f>
        <v/>
      </c>
      <c r="S114" s="24">
        <f>IFERROR(IF($F$10="","",IF($K$5+ROW()-26&gt;$K$6,"",IF(INDEX('Raw Pressure Data'!$A:$ZZ,$K$5+ROW()-26+$H$10,MATCH($F$10,'Raw Pressure Data'!$1:$1,0))=-999,"",INDEX('Raw Pressure Data'!$A:$ZZ,$K$5+ROW()-26+$H$10,MATCH($F$10,'Raw Pressure Data'!$1:$1,0))+$G$10))),"")</f>
        <v/>
      </c>
      <c r="T114" s="24">
        <f>IFERROR(IF($F$11="","",IF($K$5+ROW()-26&gt;$K$6,"",IF(INDEX('Raw Pressure Data'!$A:$ZZ,$K$5+ROW()-26+$H$11,MATCH($F$11,'Raw Pressure Data'!$1:$1,0))=-999,"",INDEX('Raw Pressure Data'!$A:$ZZ,$K$5+ROW()-26+$H$11,MATCH($F$11,'Raw Pressure Data'!$1:$1,0))+$G$11))),"")</f>
        <v/>
      </c>
      <c r="U114" s="24">
        <f>IFERROR(IF($F$12="","",IF($K$5+ROW()-26&gt;$K$6,"",IF(INDEX('Raw Pressure Data'!$A:$ZZ,$K$5+ROW()-26+$H$12,MATCH($F$12,'Raw Pressure Data'!$1:$1,0))=-999,"",INDEX('Raw Pressure Data'!$A:$ZZ,$K$5+ROW()-26+$H$12,MATCH($F$12,'Raw Pressure Data'!$1:$1,0))+$G$12))),"")</f>
        <v/>
      </c>
      <c r="V114" s="24">
        <f>IFERROR(IF($F$13="","",IF($K$5+ROW()-26&gt;$K$6,"",IF(INDEX('Raw Pressure Data'!$A:$ZZ,$K$5+ROW()-26+$H$13,MATCH($F$13,'Raw Pressure Data'!$1:$1,0))=-999,"",INDEX('Raw Pressure Data'!$A:$ZZ,$K$5+ROW()-26+$H$13,MATCH($F$13,'Raw Pressure Data'!$1:$1,0))+$G$13))),"")</f>
        <v/>
      </c>
      <c r="W114" s="24">
        <f>IFERROR(IF($F$14="","",IF($K$5+ROW()-26&gt;$K$6,"",IF(INDEX('Raw Pressure Data'!$A:$ZZ,$K$5+ROW()-26+$H$14,MATCH($F$14,'Raw Pressure Data'!$1:$1,0))=-999,"",INDEX('Raw Pressure Data'!$A:$ZZ,$K$5+ROW()-26+$H$14,MATCH($F$14,'Raw Pressure Data'!$1:$1,0))+$G$14))),"")</f>
        <v/>
      </c>
      <c r="X114" s="24">
        <f>IFERROR(IF($F$15="","",IF($K$5+ROW()-26&gt;$K$6,"",IF(INDEX('Raw Pressure Data'!$A:$ZZ,$K$5+ROW()-26+$H$15,MATCH($F$15,'Raw Pressure Data'!$1:$1,0))=-999,"",INDEX('Raw Pressure Data'!$A:$ZZ,$K$5+ROW()-26+$H$15,MATCH($F$15,'Raw Pressure Data'!$1:$1,0))+$G$15))),"")</f>
        <v/>
      </c>
      <c r="Y114" s="24">
        <f>IFERROR(IF($F$16="","",IF($K$5+ROW()-26&gt;$K$6,"",IF(INDEX('Raw Pressure Data'!$A:$ZZ,$K$5+ROW()-26+$H$16,MATCH($F$16,'Raw Pressure Data'!$1:$1,0))=-999,"",INDEX('Raw Pressure Data'!$A:$ZZ,$K$5+ROW()-26+$H$16,MATCH($F$16,'Raw Pressure Data'!$1:$1,0))+$G$16))),"")</f>
        <v/>
      </c>
      <c r="Z114" s="24">
        <f>IFERROR(IF($F$17="","",IF($K$5+ROW()-26&gt;$K$6,"",IF(INDEX('Raw Pressure Data'!$A:$ZZ,$K$5+ROW()-26+$H$17,MATCH($F$17,'Raw Pressure Data'!$1:$1,0))=-999,"",INDEX('Raw Pressure Data'!$A:$ZZ,$K$5+ROW()-26+$H$17,MATCH($F$17,'Raw Pressure Data'!$1:$1,0))+$G$17))),"")</f>
        <v/>
      </c>
      <c r="AA114" s="24">
        <f>IFERROR(IF($F$18="","",IF($K$5+ROW()-26&gt;$K$6,"",IF(INDEX('Raw Pressure Data'!$A:$ZZ,$K$5+ROW()-26+$H$18,MATCH($F$18,'Raw Pressure Data'!$1:$1,0))=-999,"",INDEX('Raw Pressure Data'!$A:$ZZ,$K$5+ROW()-26+$H$18,MATCH($F$18,'Raw Pressure Data'!$1:$1,0))+$G$18))),"")</f>
        <v/>
      </c>
      <c r="AB114" s="24">
        <f>IFERROR(IF($F$19="","",IF($K$5+ROW()-26&gt;$K$6,"",IF(INDEX('Raw Pressure Data'!$A:$ZZ,$K$5+ROW()-26+$H$19,MATCH($F$19,'Raw Pressure Data'!$1:$1,0))=-999,"",INDEX('Raw Pressure Data'!$A:$ZZ,$K$5+ROW()-26+$H$19,MATCH($F$19,'Raw Pressure Data'!$1:$1,0))+$G$19))),"")</f>
        <v/>
      </c>
      <c r="AC114" s="24">
        <f>IFERROR(IF($F$20="","",IF($K$5+ROW()-26&gt;$K$6,"",IF(INDEX('Raw Pressure Data'!$A:$ZZ,$K$5+ROW()-26+$H$20,MATCH($F$20,'Raw Pressure Data'!$1:$1,0))=-999,"",INDEX('Raw Pressure Data'!$A:$ZZ,$K$5+ROW()-26+$H$20,MATCH($F$20,'Raw Pressure Data'!$1:$1,0))+$G$20))),"")</f>
        <v/>
      </c>
      <c r="AD114" s="24">
        <f>IFERROR(IF($F$21="","",IF($K$5+ROW()-26&gt;$K$6,"",IF(INDEX('Raw Pressure Data'!$A:$ZZ,$K$5+ROW()-26+$H$21,MATCH($F$21,'Raw Pressure Data'!$1:$1,0))=-999,"",INDEX('Raw Pressure Data'!$A:$ZZ,$K$5+ROW()-26+$H$21,MATCH($F$21,'Raw Pressure Data'!$1:$1,0))+$G$21))),"")</f>
        <v/>
      </c>
      <c r="AE114" s="24">
        <f>IFERROR(IF($F$22="","",IF($K$5+ROW()-26&gt;$K$6,"",IF(INDEX('Raw Pressure Data'!$A:$ZZ,$K$5+ROW()-26+$H$22,MATCH($F$22,'Raw Pressure Data'!$1:$1,0))=-999,"",INDEX('Raw Pressure Data'!$A:$ZZ,$K$5+ROW()-26+$H$22,MATCH($F$22,'Raw Pressure Data'!$1:$1,0))+$G$22))),"")</f>
        <v/>
      </c>
    </row>
    <row r="115" ht="15" customHeight="1">
      <c r="A115" s="25">
        <f>IFERROR(IF($K$5+ROW()-26&gt;$K$6,"",IF(INDEX('Raw Flow Data'!$A:$A,$K$5+ROW()-26)="","",INDEX('Raw Flow Data'!$A:$A,$K$5+ROW()-26))),"")</f>
        <v/>
      </c>
      <c r="B115" s="26">
        <f>IFERROR(IF($B$3="","",IF($K$5+ROW()-26&gt;$K$6,"",IF(INDEX('Raw Flow Data'!$A:$ZZ,$K$5+ROW()-26+$D$3,MATCH($B$3,'Raw Flow Data'!$1:$1,0))=-999,"",INDEX('Raw Flow Data'!$A:$ZZ,$K$5+ROW()-26+$D$3,MATCH($B$3,'Raw Flow Data'!$1:$1,0))*$C$3))),"")</f>
        <v/>
      </c>
      <c r="C115" s="26">
        <f>IFERROR(IF($B$4="","",IF($K$5+ROW()-26&gt;$K$6,"",IF(INDEX('Raw Flow Data'!$A:$ZZ,$K$5+ROW()-26+$D$4,MATCH($B$4,'Raw Flow Data'!$1:$1,0))=-999,"",INDEX('Raw Flow Data'!$A:$ZZ,$K$5+ROW()-26+$D$4,MATCH($B$4,'Raw Flow Data'!$1:$1,0))*$C$4))),"")</f>
        <v/>
      </c>
      <c r="D115" s="26">
        <f>IFERROR(IF($B$5="","",IF($K$5+ROW()-26&gt;$K$6,"",IF(INDEX('Raw Flow Data'!$A:$ZZ,$K$5+ROW()-26+$D$5,MATCH($B$5,'Raw Flow Data'!$1:$1,0))=-999,"",INDEX('Raw Flow Data'!$A:$ZZ,$K$5+ROW()-26+$D$5,MATCH($B$5,'Raw Flow Data'!$1:$1,0))*$C$5))),"")</f>
        <v/>
      </c>
      <c r="E115" s="26">
        <f>IFERROR(IF($B$6="","",IF($K$5+ROW()-26&gt;$K$6,"",IF(INDEX('Raw Flow Data'!$A:$ZZ,$K$5+ROW()-26+$D$6,MATCH($B$6,'Raw Flow Data'!$1:$1,0))=-999,"",INDEX('Raw Flow Data'!$A:$ZZ,$K$5+ROW()-26+$D$6,MATCH($B$6,'Raw Flow Data'!$1:$1,0))*$C$6))),"")</f>
        <v/>
      </c>
      <c r="F115" s="26">
        <f>IFERROR(IF($B$7="","",IF($K$5+ROW()-26&gt;$K$6,"",IF(INDEX('Raw Flow Data'!$A:$ZZ,$K$5+ROW()-26+$D$7,MATCH($B$7,'Raw Flow Data'!$1:$1,0))=-999,"",INDEX('Raw Flow Data'!$A:$ZZ,$K$5+ROW()-26+$D$7,MATCH($B$7,'Raw Flow Data'!$1:$1,0))*$C$7))),"")</f>
        <v/>
      </c>
      <c r="G115" s="26">
        <f>IFERROR(IF($B$8="","",IF($K$5+ROW()-26&gt;$K$6,"",IF(INDEX('Raw Flow Data'!$A:$ZZ,$K$5+ROW()-26+$D$8,MATCH($B$8,'Raw Flow Data'!$1:$1,0))=-999,"",INDEX('Raw Flow Data'!$A:$ZZ,$K$5+ROW()-26+$D$8,MATCH($B$8,'Raw Flow Data'!$1:$1,0))*$C$8))),"")</f>
        <v/>
      </c>
      <c r="H115" s="26">
        <f>IFERROR(IF($B$9="","",IF($K$5+ROW()-26&gt;$K$6,"",IF(INDEX('Raw Flow Data'!$A:$ZZ,$K$5+ROW()-26+$D$9,MATCH($B$9,'Raw Flow Data'!$1:$1,0))=-999,"",INDEX('Raw Flow Data'!$A:$ZZ,$K$5+ROW()-26+$D$9,MATCH($B$9,'Raw Flow Data'!$1:$1,0))*$C$9))),"")</f>
        <v/>
      </c>
      <c r="I115" s="26">
        <f>IFERROR(IF($B$10="","",IF($K$5+ROW()-26&gt;$K$6,"",IF(INDEX('Raw Flow Data'!$A:$ZZ,$K$5+ROW()-26+$D$10,MATCH($B$10,'Raw Flow Data'!$1:$1,0))=-999,"",INDEX('Raw Flow Data'!$A:$ZZ,$K$5+ROW()-26+$D$10,MATCH($B$10,'Raw Flow Data'!$1:$1,0))*$C$10))),"")</f>
        <v/>
      </c>
      <c r="J115" s="26">
        <f>IFERROR(IF($B$11="","",IF($K$5+ROW()-26&gt;$K$6,"",IF(INDEX('Raw Flow Data'!$A:$ZZ,$K$5+ROW()-26+$D$11,MATCH($B$11,'Raw Flow Data'!$1:$1,0))=-999,"",INDEX('Raw Flow Data'!$A:$ZZ,$K$5+ROW()-26+$D$11,MATCH($B$11,'Raw Flow Data'!$1:$1,0))*$C$11))),"")</f>
        <v/>
      </c>
      <c r="K115" s="26">
        <f>IFERROR(IF($B$12="","",IF($K$5+ROW()-26&gt;$K$6,"",IF(INDEX('Raw Flow Data'!$A:$ZZ,$K$5+ROW()-26+$D$12,MATCH($B$12,'Raw Flow Data'!$1:$1,0))=-999,"",INDEX('Raw Flow Data'!$A:$ZZ,$K$5+ROW()-26+$D$12,MATCH($B$12,'Raw Flow Data'!$1:$1,0))*$C$12))),"")</f>
        <v/>
      </c>
      <c r="L115" s="26">
        <f>IFERROR(IF($F$3="","",IF($K$5+ROW()-26&gt;$K$6,"",IF(INDEX('Raw Pressure Data'!$A:$ZZ,$K$5+ROW()-26+$H$3,MATCH($F$3,'Raw Pressure Data'!$1:$1,0))=-999,"",INDEX('Raw Pressure Data'!$A:$ZZ,$K$5+ROW()-26+$H$3,MATCH($F$3,'Raw Pressure Data'!$1:$1,0))+$G$3))),"")</f>
        <v/>
      </c>
      <c r="M115" s="26">
        <f>IFERROR(IF($F$4="","",IF($K$5+ROW()-26&gt;$K$6,"",IF(INDEX('Raw Pressure Data'!$A:$ZZ,$K$5+ROW()-26+$H$4,MATCH($F$4,'Raw Pressure Data'!$1:$1,0))=-999,"",INDEX('Raw Pressure Data'!$A:$ZZ,$K$5+ROW()-26+$H$4,MATCH($F$4,'Raw Pressure Data'!$1:$1,0))+$G$4))),"")</f>
        <v/>
      </c>
      <c r="N115" s="26">
        <f>IFERROR(IF($F$5="","",IF($K$5+ROW()-26&gt;$K$6,"",IF(INDEX('Raw Pressure Data'!$A:$ZZ,$K$5+ROW()-26+$H$5,MATCH($F$5,'Raw Pressure Data'!$1:$1,0))=-999,"",INDEX('Raw Pressure Data'!$A:$ZZ,$K$5+ROW()-26+$H$5,MATCH($F$5,'Raw Pressure Data'!$1:$1,0))+$G$5))),"")</f>
        <v/>
      </c>
      <c r="O115" s="26">
        <f>IFERROR(IF($F$6="","",IF($K$5+ROW()-26&gt;$K$6,"",IF(INDEX('Raw Pressure Data'!$A:$ZZ,$K$5+ROW()-26+$H$6,MATCH($F$6,'Raw Pressure Data'!$1:$1,0))=-999,"",INDEX('Raw Pressure Data'!$A:$ZZ,$K$5+ROW()-26+$H$6,MATCH($F$6,'Raw Pressure Data'!$1:$1,0))+$G$6))),"")</f>
        <v/>
      </c>
      <c r="P115" s="26">
        <f>IFERROR(IF($F$7="","",IF($K$5+ROW()-26&gt;$K$6,"",IF(INDEX('Raw Pressure Data'!$A:$ZZ,$K$5+ROW()-26+$H$7,MATCH($F$7,'Raw Pressure Data'!$1:$1,0))=-999,"",INDEX('Raw Pressure Data'!$A:$ZZ,$K$5+ROW()-26+$H$7,MATCH($F$7,'Raw Pressure Data'!$1:$1,0))+$G$7))),"")</f>
        <v/>
      </c>
      <c r="Q115" s="26">
        <f>IFERROR(IF($F$8="","",IF($K$5+ROW()-26&gt;$K$6,"",IF(INDEX('Raw Pressure Data'!$A:$ZZ,$K$5+ROW()-26+$H$8,MATCH($F$8,'Raw Pressure Data'!$1:$1,0))=-999,"",INDEX('Raw Pressure Data'!$A:$ZZ,$K$5+ROW()-26+$H$8,MATCH($F$8,'Raw Pressure Data'!$1:$1,0))+$G$8))),"")</f>
        <v/>
      </c>
      <c r="R115" s="26">
        <f>IFERROR(IF($F$9="","",IF($K$5+ROW()-26&gt;$K$6,"",IF(INDEX('Raw Pressure Data'!$A:$ZZ,$K$5+ROW()-26+$H$9,MATCH($F$9,'Raw Pressure Data'!$1:$1,0))=-999,"",INDEX('Raw Pressure Data'!$A:$ZZ,$K$5+ROW()-26+$H$9,MATCH($F$9,'Raw Pressure Data'!$1:$1,0))+$G$9))),"")</f>
        <v/>
      </c>
      <c r="S115" s="26">
        <f>IFERROR(IF($F$10="","",IF($K$5+ROW()-26&gt;$K$6,"",IF(INDEX('Raw Pressure Data'!$A:$ZZ,$K$5+ROW()-26+$H$10,MATCH($F$10,'Raw Pressure Data'!$1:$1,0))=-999,"",INDEX('Raw Pressure Data'!$A:$ZZ,$K$5+ROW()-26+$H$10,MATCH($F$10,'Raw Pressure Data'!$1:$1,0))+$G$10))),"")</f>
        <v/>
      </c>
      <c r="T115" s="26">
        <f>IFERROR(IF($F$11="","",IF($K$5+ROW()-26&gt;$K$6,"",IF(INDEX('Raw Pressure Data'!$A:$ZZ,$K$5+ROW()-26+$H$11,MATCH($F$11,'Raw Pressure Data'!$1:$1,0))=-999,"",INDEX('Raw Pressure Data'!$A:$ZZ,$K$5+ROW()-26+$H$11,MATCH($F$11,'Raw Pressure Data'!$1:$1,0))+$G$11))),"")</f>
        <v/>
      </c>
      <c r="U115" s="26">
        <f>IFERROR(IF($F$12="","",IF($K$5+ROW()-26&gt;$K$6,"",IF(INDEX('Raw Pressure Data'!$A:$ZZ,$K$5+ROW()-26+$H$12,MATCH($F$12,'Raw Pressure Data'!$1:$1,0))=-999,"",INDEX('Raw Pressure Data'!$A:$ZZ,$K$5+ROW()-26+$H$12,MATCH($F$12,'Raw Pressure Data'!$1:$1,0))+$G$12))),"")</f>
        <v/>
      </c>
      <c r="V115" s="26">
        <f>IFERROR(IF($F$13="","",IF($K$5+ROW()-26&gt;$K$6,"",IF(INDEX('Raw Pressure Data'!$A:$ZZ,$K$5+ROW()-26+$H$13,MATCH($F$13,'Raw Pressure Data'!$1:$1,0))=-999,"",INDEX('Raw Pressure Data'!$A:$ZZ,$K$5+ROW()-26+$H$13,MATCH($F$13,'Raw Pressure Data'!$1:$1,0))+$G$13))),"")</f>
        <v/>
      </c>
      <c r="W115" s="26">
        <f>IFERROR(IF($F$14="","",IF($K$5+ROW()-26&gt;$K$6,"",IF(INDEX('Raw Pressure Data'!$A:$ZZ,$K$5+ROW()-26+$H$14,MATCH($F$14,'Raw Pressure Data'!$1:$1,0))=-999,"",INDEX('Raw Pressure Data'!$A:$ZZ,$K$5+ROW()-26+$H$14,MATCH($F$14,'Raw Pressure Data'!$1:$1,0))+$G$14))),"")</f>
        <v/>
      </c>
      <c r="X115" s="26">
        <f>IFERROR(IF($F$15="","",IF($K$5+ROW()-26&gt;$K$6,"",IF(INDEX('Raw Pressure Data'!$A:$ZZ,$K$5+ROW()-26+$H$15,MATCH($F$15,'Raw Pressure Data'!$1:$1,0))=-999,"",INDEX('Raw Pressure Data'!$A:$ZZ,$K$5+ROW()-26+$H$15,MATCH($F$15,'Raw Pressure Data'!$1:$1,0))+$G$15))),"")</f>
        <v/>
      </c>
      <c r="Y115" s="26">
        <f>IFERROR(IF($F$16="","",IF($K$5+ROW()-26&gt;$K$6,"",IF(INDEX('Raw Pressure Data'!$A:$ZZ,$K$5+ROW()-26+$H$16,MATCH($F$16,'Raw Pressure Data'!$1:$1,0))=-999,"",INDEX('Raw Pressure Data'!$A:$ZZ,$K$5+ROW()-26+$H$16,MATCH($F$16,'Raw Pressure Data'!$1:$1,0))+$G$16))),"")</f>
        <v/>
      </c>
      <c r="Z115" s="26">
        <f>IFERROR(IF($F$17="","",IF($K$5+ROW()-26&gt;$K$6,"",IF(INDEX('Raw Pressure Data'!$A:$ZZ,$K$5+ROW()-26+$H$17,MATCH($F$17,'Raw Pressure Data'!$1:$1,0))=-999,"",INDEX('Raw Pressure Data'!$A:$ZZ,$K$5+ROW()-26+$H$17,MATCH($F$17,'Raw Pressure Data'!$1:$1,0))+$G$17))),"")</f>
        <v/>
      </c>
      <c r="AA115" s="26">
        <f>IFERROR(IF($F$18="","",IF($K$5+ROW()-26&gt;$K$6,"",IF(INDEX('Raw Pressure Data'!$A:$ZZ,$K$5+ROW()-26+$H$18,MATCH($F$18,'Raw Pressure Data'!$1:$1,0))=-999,"",INDEX('Raw Pressure Data'!$A:$ZZ,$K$5+ROW()-26+$H$18,MATCH($F$18,'Raw Pressure Data'!$1:$1,0))+$G$18))),"")</f>
        <v/>
      </c>
      <c r="AB115" s="26">
        <f>IFERROR(IF($F$19="","",IF($K$5+ROW()-26&gt;$K$6,"",IF(INDEX('Raw Pressure Data'!$A:$ZZ,$K$5+ROW()-26+$H$19,MATCH($F$19,'Raw Pressure Data'!$1:$1,0))=-999,"",INDEX('Raw Pressure Data'!$A:$ZZ,$K$5+ROW()-26+$H$19,MATCH($F$19,'Raw Pressure Data'!$1:$1,0))+$G$19))),"")</f>
        <v/>
      </c>
      <c r="AC115" s="26">
        <f>IFERROR(IF($F$20="","",IF($K$5+ROW()-26&gt;$K$6,"",IF(INDEX('Raw Pressure Data'!$A:$ZZ,$K$5+ROW()-26+$H$20,MATCH($F$20,'Raw Pressure Data'!$1:$1,0))=-999,"",INDEX('Raw Pressure Data'!$A:$ZZ,$K$5+ROW()-26+$H$20,MATCH($F$20,'Raw Pressure Data'!$1:$1,0))+$G$20))),"")</f>
        <v/>
      </c>
      <c r="AD115" s="26">
        <f>IFERROR(IF($F$21="","",IF($K$5+ROW()-26&gt;$K$6,"",IF(INDEX('Raw Pressure Data'!$A:$ZZ,$K$5+ROW()-26+$H$21,MATCH($F$21,'Raw Pressure Data'!$1:$1,0))=-999,"",INDEX('Raw Pressure Data'!$A:$ZZ,$K$5+ROW()-26+$H$21,MATCH($F$21,'Raw Pressure Data'!$1:$1,0))+$G$21))),"")</f>
        <v/>
      </c>
      <c r="AE115" s="26">
        <f>IFERROR(IF($F$22="","",IF($K$5+ROW()-26&gt;$K$6,"",IF(INDEX('Raw Pressure Data'!$A:$ZZ,$K$5+ROW()-26+$H$22,MATCH($F$22,'Raw Pressure Data'!$1:$1,0))=-999,"",INDEX('Raw Pressure Data'!$A:$ZZ,$K$5+ROW()-26+$H$22,MATCH($F$22,'Raw Pressure Data'!$1:$1,0))+$G$22))),"")</f>
        <v/>
      </c>
    </row>
    <row r="116" ht="15" customHeight="1">
      <c r="A116" s="23">
        <f>IFERROR(IF($K$5+ROW()-26&gt;$K$6,"",IF(INDEX('Raw Flow Data'!$A:$A,$K$5+ROW()-26)="","",INDEX('Raw Flow Data'!$A:$A,$K$5+ROW()-26))),"")</f>
        <v/>
      </c>
      <c r="B116" s="24">
        <f>IFERROR(IF($B$3="","",IF($K$5+ROW()-26&gt;$K$6,"",IF(INDEX('Raw Flow Data'!$A:$ZZ,$K$5+ROW()-26+$D$3,MATCH($B$3,'Raw Flow Data'!$1:$1,0))=-999,"",INDEX('Raw Flow Data'!$A:$ZZ,$K$5+ROW()-26+$D$3,MATCH($B$3,'Raw Flow Data'!$1:$1,0))*$C$3))),"")</f>
        <v/>
      </c>
      <c r="C116" s="24">
        <f>IFERROR(IF($B$4="","",IF($K$5+ROW()-26&gt;$K$6,"",IF(INDEX('Raw Flow Data'!$A:$ZZ,$K$5+ROW()-26+$D$4,MATCH($B$4,'Raw Flow Data'!$1:$1,0))=-999,"",INDEX('Raw Flow Data'!$A:$ZZ,$K$5+ROW()-26+$D$4,MATCH($B$4,'Raw Flow Data'!$1:$1,0))*$C$4))),"")</f>
        <v/>
      </c>
      <c r="D116" s="24">
        <f>IFERROR(IF($B$5="","",IF($K$5+ROW()-26&gt;$K$6,"",IF(INDEX('Raw Flow Data'!$A:$ZZ,$K$5+ROW()-26+$D$5,MATCH($B$5,'Raw Flow Data'!$1:$1,0))=-999,"",INDEX('Raw Flow Data'!$A:$ZZ,$K$5+ROW()-26+$D$5,MATCH($B$5,'Raw Flow Data'!$1:$1,0))*$C$5))),"")</f>
        <v/>
      </c>
      <c r="E116" s="24">
        <f>IFERROR(IF($B$6="","",IF($K$5+ROW()-26&gt;$K$6,"",IF(INDEX('Raw Flow Data'!$A:$ZZ,$K$5+ROW()-26+$D$6,MATCH($B$6,'Raw Flow Data'!$1:$1,0))=-999,"",INDEX('Raw Flow Data'!$A:$ZZ,$K$5+ROW()-26+$D$6,MATCH($B$6,'Raw Flow Data'!$1:$1,0))*$C$6))),"")</f>
        <v/>
      </c>
      <c r="F116" s="24">
        <f>IFERROR(IF($B$7="","",IF($K$5+ROW()-26&gt;$K$6,"",IF(INDEX('Raw Flow Data'!$A:$ZZ,$K$5+ROW()-26+$D$7,MATCH($B$7,'Raw Flow Data'!$1:$1,0))=-999,"",INDEX('Raw Flow Data'!$A:$ZZ,$K$5+ROW()-26+$D$7,MATCH($B$7,'Raw Flow Data'!$1:$1,0))*$C$7))),"")</f>
        <v/>
      </c>
      <c r="G116" s="24">
        <f>IFERROR(IF($B$8="","",IF($K$5+ROW()-26&gt;$K$6,"",IF(INDEX('Raw Flow Data'!$A:$ZZ,$K$5+ROW()-26+$D$8,MATCH($B$8,'Raw Flow Data'!$1:$1,0))=-999,"",INDEX('Raw Flow Data'!$A:$ZZ,$K$5+ROW()-26+$D$8,MATCH($B$8,'Raw Flow Data'!$1:$1,0))*$C$8))),"")</f>
        <v/>
      </c>
      <c r="H116" s="24">
        <f>IFERROR(IF($B$9="","",IF($K$5+ROW()-26&gt;$K$6,"",IF(INDEX('Raw Flow Data'!$A:$ZZ,$K$5+ROW()-26+$D$9,MATCH($B$9,'Raw Flow Data'!$1:$1,0))=-999,"",INDEX('Raw Flow Data'!$A:$ZZ,$K$5+ROW()-26+$D$9,MATCH($B$9,'Raw Flow Data'!$1:$1,0))*$C$9))),"")</f>
        <v/>
      </c>
      <c r="I116" s="24">
        <f>IFERROR(IF($B$10="","",IF($K$5+ROW()-26&gt;$K$6,"",IF(INDEX('Raw Flow Data'!$A:$ZZ,$K$5+ROW()-26+$D$10,MATCH($B$10,'Raw Flow Data'!$1:$1,0))=-999,"",INDEX('Raw Flow Data'!$A:$ZZ,$K$5+ROW()-26+$D$10,MATCH($B$10,'Raw Flow Data'!$1:$1,0))*$C$10))),"")</f>
        <v/>
      </c>
      <c r="J116" s="24">
        <f>IFERROR(IF($B$11="","",IF($K$5+ROW()-26&gt;$K$6,"",IF(INDEX('Raw Flow Data'!$A:$ZZ,$K$5+ROW()-26+$D$11,MATCH($B$11,'Raw Flow Data'!$1:$1,0))=-999,"",INDEX('Raw Flow Data'!$A:$ZZ,$K$5+ROW()-26+$D$11,MATCH($B$11,'Raw Flow Data'!$1:$1,0))*$C$11))),"")</f>
        <v/>
      </c>
      <c r="K116" s="24">
        <f>IFERROR(IF($B$12="","",IF($K$5+ROW()-26&gt;$K$6,"",IF(INDEX('Raw Flow Data'!$A:$ZZ,$K$5+ROW()-26+$D$12,MATCH($B$12,'Raw Flow Data'!$1:$1,0))=-999,"",INDEX('Raw Flow Data'!$A:$ZZ,$K$5+ROW()-26+$D$12,MATCH($B$12,'Raw Flow Data'!$1:$1,0))*$C$12))),"")</f>
        <v/>
      </c>
      <c r="L116" s="24">
        <f>IFERROR(IF($F$3="","",IF($K$5+ROW()-26&gt;$K$6,"",IF(INDEX('Raw Pressure Data'!$A:$ZZ,$K$5+ROW()-26+$H$3,MATCH($F$3,'Raw Pressure Data'!$1:$1,0))=-999,"",INDEX('Raw Pressure Data'!$A:$ZZ,$K$5+ROW()-26+$H$3,MATCH($F$3,'Raw Pressure Data'!$1:$1,0))+$G$3))),"")</f>
        <v/>
      </c>
      <c r="M116" s="24">
        <f>IFERROR(IF($F$4="","",IF($K$5+ROW()-26&gt;$K$6,"",IF(INDEX('Raw Pressure Data'!$A:$ZZ,$K$5+ROW()-26+$H$4,MATCH($F$4,'Raw Pressure Data'!$1:$1,0))=-999,"",INDEX('Raw Pressure Data'!$A:$ZZ,$K$5+ROW()-26+$H$4,MATCH($F$4,'Raw Pressure Data'!$1:$1,0))+$G$4))),"")</f>
        <v/>
      </c>
      <c r="N116" s="24">
        <f>IFERROR(IF($F$5="","",IF($K$5+ROW()-26&gt;$K$6,"",IF(INDEX('Raw Pressure Data'!$A:$ZZ,$K$5+ROW()-26+$H$5,MATCH($F$5,'Raw Pressure Data'!$1:$1,0))=-999,"",INDEX('Raw Pressure Data'!$A:$ZZ,$K$5+ROW()-26+$H$5,MATCH($F$5,'Raw Pressure Data'!$1:$1,0))+$G$5))),"")</f>
        <v/>
      </c>
      <c r="O116" s="24">
        <f>IFERROR(IF($F$6="","",IF($K$5+ROW()-26&gt;$K$6,"",IF(INDEX('Raw Pressure Data'!$A:$ZZ,$K$5+ROW()-26+$H$6,MATCH($F$6,'Raw Pressure Data'!$1:$1,0))=-999,"",INDEX('Raw Pressure Data'!$A:$ZZ,$K$5+ROW()-26+$H$6,MATCH($F$6,'Raw Pressure Data'!$1:$1,0))+$G$6))),"")</f>
        <v/>
      </c>
      <c r="P116" s="24">
        <f>IFERROR(IF($F$7="","",IF($K$5+ROW()-26&gt;$K$6,"",IF(INDEX('Raw Pressure Data'!$A:$ZZ,$K$5+ROW()-26+$H$7,MATCH($F$7,'Raw Pressure Data'!$1:$1,0))=-999,"",INDEX('Raw Pressure Data'!$A:$ZZ,$K$5+ROW()-26+$H$7,MATCH($F$7,'Raw Pressure Data'!$1:$1,0))+$G$7))),"")</f>
        <v/>
      </c>
      <c r="Q116" s="24">
        <f>IFERROR(IF($F$8="","",IF($K$5+ROW()-26&gt;$K$6,"",IF(INDEX('Raw Pressure Data'!$A:$ZZ,$K$5+ROW()-26+$H$8,MATCH($F$8,'Raw Pressure Data'!$1:$1,0))=-999,"",INDEX('Raw Pressure Data'!$A:$ZZ,$K$5+ROW()-26+$H$8,MATCH($F$8,'Raw Pressure Data'!$1:$1,0))+$G$8))),"")</f>
        <v/>
      </c>
      <c r="R116" s="24">
        <f>IFERROR(IF($F$9="","",IF($K$5+ROW()-26&gt;$K$6,"",IF(INDEX('Raw Pressure Data'!$A:$ZZ,$K$5+ROW()-26+$H$9,MATCH($F$9,'Raw Pressure Data'!$1:$1,0))=-999,"",INDEX('Raw Pressure Data'!$A:$ZZ,$K$5+ROW()-26+$H$9,MATCH($F$9,'Raw Pressure Data'!$1:$1,0))+$G$9))),"")</f>
        <v/>
      </c>
      <c r="S116" s="24">
        <f>IFERROR(IF($F$10="","",IF($K$5+ROW()-26&gt;$K$6,"",IF(INDEX('Raw Pressure Data'!$A:$ZZ,$K$5+ROW()-26+$H$10,MATCH($F$10,'Raw Pressure Data'!$1:$1,0))=-999,"",INDEX('Raw Pressure Data'!$A:$ZZ,$K$5+ROW()-26+$H$10,MATCH($F$10,'Raw Pressure Data'!$1:$1,0))+$G$10))),"")</f>
        <v/>
      </c>
      <c r="T116" s="24">
        <f>IFERROR(IF($F$11="","",IF($K$5+ROW()-26&gt;$K$6,"",IF(INDEX('Raw Pressure Data'!$A:$ZZ,$K$5+ROW()-26+$H$11,MATCH($F$11,'Raw Pressure Data'!$1:$1,0))=-999,"",INDEX('Raw Pressure Data'!$A:$ZZ,$K$5+ROW()-26+$H$11,MATCH($F$11,'Raw Pressure Data'!$1:$1,0))+$G$11))),"")</f>
        <v/>
      </c>
      <c r="U116" s="24">
        <f>IFERROR(IF($F$12="","",IF($K$5+ROW()-26&gt;$K$6,"",IF(INDEX('Raw Pressure Data'!$A:$ZZ,$K$5+ROW()-26+$H$12,MATCH($F$12,'Raw Pressure Data'!$1:$1,0))=-999,"",INDEX('Raw Pressure Data'!$A:$ZZ,$K$5+ROW()-26+$H$12,MATCH($F$12,'Raw Pressure Data'!$1:$1,0))+$G$12))),"")</f>
        <v/>
      </c>
      <c r="V116" s="24">
        <f>IFERROR(IF($F$13="","",IF($K$5+ROW()-26&gt;$K$6,"",IF(INDEX('Raw Pressure Data'!$A:$ZZ,$K$5+ROW()-26+$H$13,MATCH($F$13,'Raw Pressure Data'!$1:$1,0))=-999,"",INDEX('Raw Pressure Data'!$A:$ZZ,$K$5+ROW()-26+$H$13,MATCH($F$13,'Raw Pressure Data'!$1:$1,0))+$G$13))),"")</f>
        <v/>
      </c>
      <c r="W116" s="24">
        <f>IFERROR(IF($F$14="","",IF($K$5+ROW()-26&gt;$K$6,"",IF(INDEX('Raw Pressure Data'!$A:$ZZ,$K$5+ROW()-26+$H$14,MATCH($F$14,'Raw Pressure Data'!$1:$1,0))=-999,"",INDEX('Raw Pressure Data'!$A:$ZZ,$K$5+ROW()-26+$H$14,MATCH($F$14,'Raw Pressure Data'!$1:$1,0))+$G$14))),"")</f>
        <v/>
      </c>
      <c r="X116" s="24">
        <f>IFERROR(IF($F$15="","",IF($K$5+ROW()-26&gt;$K$6,"",IF(INDEX('Raw Pressure Data'!$A:$ZZ,$K$5+ROW()-26+$H$15,MATCH($F$15,'Raw Pressure Data'!$1:$1,0))=-999,"",INDEX('Raw Pressure Data'!$A:$ZZ,$K$5+ROW()-26+$H$15,MATCH($F$15,'Raw Pressure Data'!$1:$1,0))+$G$15))),"")</f>
        <v/>
      </c>
      <c r="Y116" s="24">
        <f>IFERROR(IF($F$16="","",IF($K$5+ROW()-26&gt;$K$6,"",IF(INDEX('Raw Pressure Data'!$A:$ZZ,$K$5+ROW()-26+$H$16,MATCH($F$16,'Raw Pressure Data'!$1:$1,0))=-999,"",INDEX('Raw Pressure Data'!$A:$ZZ,$K$5+ROW()-26+$H$16,MATCH($F$16,'Raw Pressure Data'!$1:$1,0))+$G$16))),"")</f>
        <v/>
      </c>
      <c r="Z116" s="24">
        <f>IFERROR(IF($F$17="","",IF($K$5+ROW()-26&gt;$K$6,"",IF(INDEX('Raw Pressure Data'!$A:$ZZ,$K$5+ROW()-26+$H$17,MATCH($F$17,'Raw Pressure Data'!$1:$1,0))=-999,"",INDEX('Raw Pressure Data'!$A:$ZZ,$K$5+ROW()-26+$H$17,MATCH($F$17,'Raw Pressure Data'!$1:$1,0))+$G$17))),"")</f>
        <v/>
      </c>
      <c r="AA116" s="24">
        <f>IFERROR(IF($F$18="","",IF($K$5+ROW()-26&gt;$K$6,"",IF(INDEX('Raw Pressure Data'!$A:$ZZ,$K$5+ROW()-26+$H$18,MATCH($F$18,'Raw Pressure Data'!$1:$1,0))=-999,"",INDEX('Raw Pressure Data'!$A:$ZZ,$K$5+ROW()-26+$H$18,MATCH($F$18,'Raw Pressure Data'!$1:$1,0))+$G$18))),"")</f>
        <v/>
      </c>
      <c r="AB116" s="24">
        <f>IFERROR(IF($F$19="","",IF($K$5+ROW()-26&gt;$K$6,"",IF(INDEX('Raw Pressure Data'!$A:$ZZ,$K$5+ROW()-26+$H$19,MATCH($F$19,'Raw Pressure Data'!$1:$1,0))=-999,"",INDEX('Raw Pressure Data'!$A:$ZZ,$K$5+ROW()-26+$H$19,MATCH($F$19,'Raw Pressure Data'!$1:$1,0))+$G$19))),"")</f>
        <v/>
      </c>
      <c r="AC116" s="24">
        <f>IFERROR(IF($F$20="","",IF($K$5+ROW()-26&gt;$K$6,"",IF(INDEX('Raw Pressure Data'!$A:$ZZ,$K$5+ROW()-26+$H$20,MATCH($F$20,'Raw Pressure Data'!$1:$1,0))=-999,"",INDEX('Raw Pressure Data'!$A:$ZZ,$K$5+ROW()-26+$H$20,MATCH($F$20,'Raw Pressure Data'!$1:$1,0))+$G$20))),"")</f>
        <v/>
      </c>
      <c r="AD116" s="24">
        <f>IFERROR(IF($F$21="","",IF($K$5+ROW()-26&gt;$K$6,"",IF(INDEX('Raw Pressure Data'!$A:$ZZ,$K$5+ROW()-26+$H$21,MATCH($F$21,'Raw Pressure Data'!$1:$1,0))=-999,"",INDEX('Raw Pressure Data'!$A:$ZZ,$K$5+ROW()-26+$H$21,MATCH($F$21,'Raw Pressure Data'!$1:$1,0))+$G$21))),"")</f>
        <v/>
      </c>
      <c r="AE116" s="24">
        <f>IFERROR(IF($F$22="","",IF($K$5+ROW()-26&gt;$K$6,"",IF(INDEX('Raw Pressure Data'!$A:$ZZ,$K$5+ROW()-26+$H$22,MATCH($F$22,'Raw Pressure Data'!$1:$1,0))=-999,"",INDEX('Raw Pressure Data'!$A:$ZZ,$K$5+ROW()-26+$H$22,MATCH($F$22,'Raw Pressure Data'!$1:$1,0))+$G$22))),"")</f>
        <v/>
      </c>
    </row>
    <row r="117" ht="15" customHeight="1">
      <c r="A117" s="25">
        <f>IFERROR(IF($K$5+ROW()-26&gt;$K$6,"",IF(INDEX('Raw Flow Data'!$A:$A,$K$5+ROW()-26)="","",INDEX('Raw Flow Data'!$A:$A,$K$5+ROW()-26))),"")</f>
        <v/>
      </c>
      <c r="B117" s="26">
        <f>IFERROR(IF($B$3="","",IF($K$5+ROW()-26&gt;$K$6,"",IF(INDEX('Raw Flow Data'!$A:$ZZ,$K$5+ROW()-26+$D$3,MATCH($B$3,'Raw Flow Data'!$1:$1,0))=-999,"",INDEX('Raw Flow Data'!$A:$ZZ,$K$5+ROW()-26+$D$3,MATCH($B$3,'Raw Flow Data'!$1:$1,0))*$C$3))),"")</f>
        <v/>
      </c>
      <c r="C117" s="26">
        <f>IFERROR(IF($B$4="","",IF($K$5+ROW()-26&gt;$K$6,"",IF(INDEX('Raw Flow Data'!$A:$ZZ,$K$5+ROW()-26+$D$4,MATCH($B$4,'Raw Flow Data'!$1:$1,0))=-999,"",INDEX('Raw Flow Data'!$A:$ZZ,$K$5+ROW()-26+$D$4,MATCH($B$4,'Raw Flow Data'!$1:$1,0))*$C$4))),"")</f>
        <v/>
      </c>
      <c r="D117" s="26">
        <f>IFERROR(IF($B$5="","",IF($K$5+ROW()-26&gt;$K$6,"",IF(INDEX('Raw Flow Data'!$A:$ZZ,$K$5+ROW()-26+$D$5,MATCH($B$5,'Raw Flow Data'!$1:$1,0))=-999,"",INDEX('Raw Flow Data'!$A:$ZZ,$K$5+ROW()-26+$D$5,MATCH($B$5,'Raw Flow Data'!$1:$1,0))*$C$5))),"")</f>
        <v/>
      </c>
      <c r="E117" s="26">
        <f>IFERROR(IF($B$6="","",IF($K$5+ROW()-26&gt;$K$6,"",IF(INDEX('Raw Flow Data'!$A:$ZZ,$K$5+ROW()-26+$D$6,MATCH($B$6,'Raw Flow Data'!$1:$1,0))=-999,"",INDEX('Raw Flow Data'!$A:$ZZ,$K$5+ROW()-26+$D$6,MATCH($B$6,'Raw Flow Data'!$1:$1,0))*$C$6))),"")</f>
        <v/>
      </c>
      <c r="F117" s="26">
        <f>IFERROR(IF($B$7="","",IF($K$5+ROW()-26&gt;$K$6,"",IF(INDEX('Raw Flow Data'!$A:$ZZ,$K$5+ROW()-26+$D$7,MATCH($B$7,'Raw Flow Data'!$1:$1,0))=-999,"",INDEX('Raw Flow Data'!$A:$ZZ,$K$5+ROW()-26+$D$7,MATCH($B$7,'Raw Flow Data'!$1:$1,0))*$C$7))),"")</f>
        <v/>
      </c>
      <c r="G117" s="26">
        <f>IFERROR(IF($B$8="","",IF($K$5+ROW()-26&gt;$K$6,"",IF(INDEX('Raw Flow Data'!$A:$ZZ,$K$5+ROW()-26+$D$8,MATCH($B$8,'Raw Flow Data'!$1:$1,0))=-999,"",INDEX('Raw Flow Data'!$A:$ZZ,$K$5+ROW()-26+$D$8,MATCH($B$8,'Raw Flow Data'!$1:$1,0))*$C$8))),"")</f>
        <v/>
      </c>
      <c r="H117" s="26">
        <f>IFERROR(IF($B$9="","",IF($K$5+ROW()-26&gt;$K$6,"",IF(INDEX('Raw Flow Data'!$A:$ZZ,$K$5+ROW()-26+$D$9,MATCH($B$9,'Raw Flow Data'!$1:$1,0))=-999,"",INDEX('Raw Flow Data'!$A:$ZZ,$K$5+ROW()-26+$D$9,MATCH($B$9,'Raw Flow Data'!$1:$1,0))*$C$9))),"")</f>
        <v/>
      </c>
      <c r="I117" s="26">
        <f>IFERROR(IF($B$10="","",IF($K$5+ROW()-26&gt;$K$6,"",IF(INDEX('Raw Flow Data'!$A:$ZZ,$K$5+ROW()-26+$D$10,MATCH($B$10,'Raw Flow Data'!$1:$1,0))=-999,"",INDEX('Raw Flow Data'!$A:$ZZ,$K$5+ROW()-26+$D$10,MATCH($B$10,'Raw Flow Data'!$1:$1,0))*$C$10))),"")</f>
        <v/>
      </c>
      <c r="J117" s="26">
        <f>IFERROR(IF($B$11="","",IF($K$5+ROW()-26&gt;$K$6,"",IF(INDEX('Raw Flow Data'!$A:$ZZ,$K$5+ROW()-26+$D$11,MATCH($B$11,'Raw Flow Data'!$1:$1,0))=-999,"",INDEX('Raw Flow Data'!$A:$ZZ,$K$5+ROW()-26+$D$11,MATCH($B$11,'Raw Flow Data'!$1:$1,0))*$C$11))),"")</f>
        <v/>
      </c>
      <c r="K117" s="26">
        <f>IFERROR(IF($B$12="","",IF($K$5+ROW()-26&gt;$K$6,"",IF(INDEX('Raw Flow Data'!$A:$ZZ,$K$5+ROW()-26+$D$12,MATCH($B$12,'Raw Flow Data'!$1:$1,0))=-999,"",INDEX('Raw Flow Data'!$A:$ZZ,$K$5+ROW()-26+$D$12,MATCH($B$12,'Raw Flow Data'!$1:$1,0))*$C$12))),"")</f>
        <v/>
      </c>
      <c r="L117" s="26">
        <f>IFERROR(IF($F$3="","",IF($K$5+ROW()-26&gt;$K$6,"",IF(INDEX('Raw Pressure Data'!$A:$ZZ,$K$5+ROW()-26+$H$3,MATCH($F$3,'Raw Pressure Data'!$1:$1,0))=-999,"",INDEX('Raw Pressure Data'!$A:$ZZ,$K$5+ROW()-26+$H$3,MATCH($F$3,'Raw Pressure Data'!$1:$1,0))+$G$3))),"")</f>
        <v/>
      </c>
      <c r="M117" s="26">
        <f>IFERROR(IF($F$4="","",IF($K$5+ROW()-26&gt;$K$6,"",IF(INDEX('Raw Pressure Data'!$A:$ZZ,$K$5+ROW()-26+$H$4,MATCH($F$4,'Raw Pressure Data'!$1:$1,0))=-999,"",INDEX('Raw Pressure Data'!$A:$ZZ,$K$5+ROW()-26+$H$4,MATCH($F$4,'Raw Pressure Data'!$1:$1,0))+$G$4))),"")</f>
        <v/>
      </c>
      <c r="N117" s="26">
        <f>IFERROR(IF($F$5="","",IF($K$5+ROW()-26&gt;$K$6,"",IF(INDEX('Raw Pressure Data'!$A:$ZZ,$K$5+ROW()-26+$H$5,MATCH($F$5,'Raw Pressure Data'!$1:$1,0))=-999,"",INDEX('Raw Pressure Data'!$A:$ZZ,$K$5+ROW()-26+$H$5,MATCH($F$5,'Raw Pressure Data'!$1:$1,0))+$G$5))),"")</f>
        <v/>
      </c>
      <c r="O117" s="26">
        <f>IFERROR(IF($F$6="","",IF($K$5+ROW()-26&gt;$K$6,"",IF(INDEX('Raw Pressure Data'!$A:$ZZ,$K$5+ROW()-26+$H$6,MATCH($F$6,'Raw Pressure Data'!$1:$1,0))=-999,"",INDEX('Raw Pressure Data'!$A:$ZZ,$K$5+ROW()-26+$H$6,MATCH($F$6,'Raw Pressure Data'!$1:$1,0))+$G$6))),"")</f>
        <v/>
      </c>
      <c r="P117" s="26">
        <f>IFERROR(IF($F$7="","",IF($K$5+ROW()-26&gt;$K$6,"",IF(INDEX('Raw Pressure Data'!$A:$ZZ,$K$5+ROW()-26+$H$7,MATCH($F$7,'Raw Pressure Data'!$1:$1,0))=-999,"",INDEX('Raw Pressure Data'!$A:$ZZ,$K$5+ROW()-26+$H$7,MATCH($F$7,'Raw Pressure Data'!$1:$1,0))+$G$7))),"")</f>
        <v/>
      </c>
      <c r="Q117" s="26">
        <f>IFERROR(IF($F$8="","",IF($K$5+ROW()-26&gt;$K$6,"",IF(INDEX('Raw Pressure Data'!$A:$ZZ,$K$5+ROW()-26+$H$8,MATCH($F$8,'Raw Pressure Data'!$1:$1,0))=-999,"",INDEX('Raw Pressure Data'!$A:$ZZ,$K$5+ROW()-26+$H$8,MATCH($F$8,'Raw Pressure Data'!$1:$1,0))+$G$8))),"")</f>
        <v/>
      </c>
      <c r="R117" s="26">
        <f>IFERROR(IF($F$9="","",IF($K$5+ROW()-26&gt;$K$6,"",IF(INDEX('Raw Pressure Data'!$A:$ZZ,$K$5+ROW()-26+$H$9,MATCH($F$9,'Raw Pressure Data'!$1:$1,0))=-999,"",INDEX('Raw Pressure Data'!$A:$ZZ,$K$5+ROW()-26+$H$9,MATCH($F$9,'Raw Pressure Data'!$1:$1,0))+$G$9))),"")</f>
        <v/>
      </c>
      <c r="S117" s="26">
        <f>IFERROR(IF($F$10="","",IF($K$5+ROW()-26&gt;$K$6,"",IF(INDEX('Raw Pressure Data'!$A:$ZZ,$K$5+ROW()-26+$H$10,MATCH($F$10,'Raw Pressure Data'!$1:$1,0))=-999,"",INDEX('Raw Pressure Data'!$A:$ZZ,$K$5+ROW()-26+$H$10,MATCH($F$10,'Raw Pressure Data'!$1:$1,0))+$G$10))),"")</f>
        <v/>
      </c>
      <c r="T117" s="26">
        <f>IFERROR(IF($F$11="","",IF($K$5+ROW()-26&gt;$K$6,"",IF(INDEX('Raw Pressure Data'!$A:$ZZ,$K$5+ROW()-26+$H$11,MATCH($F$11,'Raw Pressure Data'!$1:$1,0))=-999,"",INDEX('Raw Pressure Data'!$A:$ZZ,$K$5+ROW()-26+$H$11,MATCH($F$11,'Raw Pressure Data'!$1:$1,0))+$G$11))),"")</f>
        <v/>
      </c>
      <c r="U117" s="26">
        <f>IFERROR(IF($F$12="","",IF($K$5+ROW()-26&gt;$K$6,"",IF(INDEX('Raw Pressure Data'!$A:$ZZ,$K$5+ROW()-26+$H$12,MATCH($F$12,'Raw Pressure Data'!$1:$1,0))=-999,"",INDEX('Raw Pressure Data'!$A:$ZZ,$K$5+ROW()-26+$H$12,MATCH($F$12,'Raw Pressure Data'!$1:$1,0))+$G$12))),"")</f>
        <v/>
      </c>
      <c r="V117" s="26">
        <f>IFERROR(IF($F$13="","",IF($K$5+ROW()-26&gt;$K$6,"",IF(INDEX('Raw Pressure Data'!$A:$ZZ,$K$5+ROW()-26+$H$13,MATCH($F$13,'Raw Pressure Data'!$1:$1,0))=-999,"",INDEX('Raw Pressure Data'!$A:$ZZ,$K$5+ROW()-26+$H$13,MATCH($F$13,'Raw Pressure Data'!$1:$1,0))+$G$13))),"")</f>
        <v/>
      </c>
      <c r="W117" s="26">
        <f>IFERROR(IF($F$14="","",IF($K$5+ROW()-26&gt;$K$6,"",IF(INDEX('Raw Pressure Data'!$A:$ZZ,$K$5+ROW()-26+$H$14,MATCH($F$14,'Raw Pressure Data'!$1:$1,0))=-999,"",INDEX('Raw Pressure Data'!$A:$ZZ,$K$5+ROW()-26+$H$14,MATCH($F$14,'Raw Pressure Data'!$1:$1,0))+$G$14))),"")</f>
        <v/>
      </c>
      <c r="X117" s="26">
        <f>IFERROR(IF($F$15="","",IF($K$5+ROW()-26&gt;$K$6,"",IF(INDEX('Raw Pressure Data'!$A:$ZZ,$K$5+ROW()-26+$H$15,MATCH($F$15,'Raw Pressure Data'!$1:$1,0))=-999,"",INDEX('Raw Pressure Data'!$A:$ZZ,$K$5+ROW()-26+$H$15,MATCH($F$15,'Raw Pressure Data'!$1:$1,0))+$G$15))),"")</f>
        <v/>
      </c>
      <c r="Y117" s="26">
        <f>IFERROR(IF($F$16="","",IF($K$5+ROW()-26&gt;$K$6,"",IF(INDEX('Raw Pressure Data'!$A:$ZZ,$K$5+ROW()-26+$H$16,MATCH($F$16,'Raw Pressure Data'!$1:$1,0))=-999,"",INDEX('Raw Pressure Data'!$A:$ZZ,$K$5+ROW()-26+$H$16,MATCH($F$16,'Raw Pressure Data'!$1:$1,0))+$G$16))),"")</f>
        <v/>
      </c>
      <c r="Z117" s="26">
        <f>IFERROR(IF($F$17="","",IF($K$5+ROW()-26&gt;$K$6,"",IF(INDEX('Raw Pressure Data'!$A:$ZZ,$K$5+ROW()-26+$H$17,MATCH($F$17,'Raw Pressure Data'!$1:$1,0))=-999,"",INDEX('Raw Pressure Data'!$A:$ZZ,$K$5+ROW()-26+$H$17,MATCH($F$17,'Raw Pressure Data'!$1:$1,0))+$G$17))),"")</f>
        <v/>
      </c>
      <c r="AA117" s="26">
        <f>IFERROR(IF($F$18="","",IF($K$5+ROW()-26&gt;$K$6,"",IF(INDEX('Raw Pressure Data'!$A:$ZZ,$K$5+ROW()-26+$H$18,MATCH($F$18,'Raw Pressure Data'!$1:$1,0))=-999,"",INDEX('Raw Pressure Data'!$A:$ZZ,$K$5+ROW()-26+$H$18,MATCH($F$18,'Raw Pressure Data'!$1:$1,0))+$G$18))),"")</f>
        <v/>
      </c>
      <c r="AB117" s="26">
        <f>IFERROR(IF($F$19="","",IF($K$5+ROW()-26&gt;$K$6,"",IF(INDEX('Raw Pressure Data'!$A:$ZZ,$K$5+ROW()-26+$H$19,MATCH($F$19,'Raw Pressure Data'!$1:$1,0))=-999,"",INDEX('Raw Pressure Data'!$A:$ZZ,$K$5+ROW()-26+$H$19,MATCH($F$19,'Raw Pressure Data'!$1:$1,0))+$G$19))),"")</f>
        <v/>
      </c>
      <c r="AC117" s="26">
        <f>IFERROR(IF($F$20="","",IF($K$5+ROW()-26&gt;$K$6,"",IF(INDEX('Raw Pressure Data'!$A:$ZZ,$K$5+ROW()-26+$H$20,MATCH($F$20,'Raw Pressure Data'!$1:$1,0))=-999,"",INDEX('Raw Pressure Data'!$A:$ZZ,$K$5+ROW()-26+$H$20,MATCH($F$20,'Raw Pressure Data'!$1:$1,0))+$G$20))),"")</f>
        <v/>
      </c>
      <c r="AD117" s="26">
        <f>IFERROR(IF($F$21="","",IF($K$5+ROW()-26&gt;$K$6,"",IF(INDEX('Raw Pressure Data'!$A:$ZZ,$K$5+ROW()-26+$H$21,MATCH($F$21,'Raw Pressure Data'!$1:$1,0))=-999,"",INDEX('Raw Pressure Data'!$A:$ZZ,$K$5+ROW()-26+$H$21,MATCH($F$21,'Raw Pressure Data'!$1:$1,0))+$G$21))),"")</f>
        <v/>
      </c>
      <c r="AE117" s="26">
        <f>IFERROR(IF($F$22="","",IF($K$5+ROW()-26&gt;$K$6,"",IF(INDEX('Raw Pressure Data'!$A:$ZZ,$K$5+ROW()-26+$H$22,MATCH($F$22,'Raw Pressure Data'!$1:$1,0))=-999,"",INDEX('Raw Pressure Data'!$A:$ZZ,$K$5+ROW()-26+$H$22,MATCH($F$22,'Raw Pressure Data'!$1:$1,0))+$G$22))),"")</f>
        <v/>
      </c>
    </row>
    <row r="118" ht="15" customHeight="1">
      <c r="A118" s="23">
        <f>IFERROR(IF($K$5+ROW()-26&gt;$K$6,"",IF(INDEX('Raw Flow Data'!$A:$A,$K$5+ROW()-26)="","",INDEX('Raw Flow Data'!$A:$A,$K$5+ROW()-26))),"")</f>
        <v/>
      </c>
      <c r="B118" s="24">
        <f>IFERROR(IF($B$3="","",IF($K$5+ROW()-26&gt;$K$6,"",IF(INDEX('Raw Flow Data'!$A:$ZZ,$K$5+ROW()-26+$D$3,MATCH($B$3,'Raw Flow Data'!$1:$1,0))=-999,"",INDEX('Raw Flow Data'!$A:$ZZ,$K$5+ROW()-26+$D$3,MATCH($B$3,'Raw Flow Data'!$1:$1,0))*$C$3))),"")</f>
        <v/>
      </c>
      <c r="C118" s="24">
        <f>IFERROR(IF($B$4="","",IF($K$5+ROW()-26&gt;$K$6,"",IF(INDEX('Raw Flow Data'!$A:$ZZ,$K$5+ROW()-26+$D$4,MATCH($B$4,'Raw Flow Data'!$1:$1,0))=-999,"",INDEX('Raw Flow Data'!$A:$ZZ,$K$5+ROW()-26+$D$4,MATCH($B$4,'Raw Flow Data'!$1:$1,0))*$C$4))),"")</f>
        <v/>
      </c>
      <c r="D118" s="24">
        <f>IFERROR(IF($B$5="","",IF($K$5+ROW()-26&gt;$K$6,"",IF(INDEX('Raw Flow Data'!$A:$ZZ,$K$5+ROW()-26+$D$5,MATCH($B$5,'Raw Flow Data'!$1:$1,0))=-999,"",INDEX('Raw Flow Data'!$A:$ZZ,$K$5+ROW()-26+$D$5,MATCH($B$5,'Raw Flow Data'!$1:$1,0))*$C$5))),"")</f>
        <v/>
      </c>
      <c r="E118" s="24">
        <f>IFERROR(IF($B$6="","",IF($K$5+ROW()-26&gt;$K$6,"",IF(INDEX('Raw Flow Data'!$A:$ZZ,$K$5+ROW()-26+$D$6,MATCH($B$6,'Raw Flow Data'!$1:$1,0))=-999,"",INDEX('Raw Flow Data'!$A:$ZZ,$K$5+ROW()-26+$D$6,MATCH($B$6,'Raw Flow Data'!$1:$1,0))*$C$6))),"")</f>
        <v/>
      </c>
      <c r="F118" s="24">
        <f>IFERROR(IF($B$7="","",IF($K$5+ROW()-26&gt;$K$6,"",IF(INDEX('Raw Flow Data'!$A:$ZZ,$K$5+ROW()-26+$D$7,MATCH($B$7,'Raw Flow Data'!$1:$1,0))=-999,"",INDEX('Raw Flow Data'!$A:$ZZ,$K$5+ROW()-26+$D$7,MATCH($B$7,'Raw Flow Data'!$1:$1,0))*$C$7))),"")</f>
        <v/>
      </c>
      <c r="G118" s="24">
        <f>IFERROR(IF($B$8="","",IF($K$5+ROW()-26&gt;$K$6,"",IF(INDEX('Raw Flow Data'!$A:$ZZ,$K$5+ROW()-26+$D$8,MATCH($B$8,'Raw Flow Data'!$1:$1,0))=-999,"",INDEX('Raw Flow Data'!$A:$ZZ,$K$5+ROW()-26+$D$8,MATCH($B$8,'Raw Flow Data'!$1:$1,0))*$C$8))),"")</f>
        <v/>
      </c>
      <c r="H118" s="24">
        <f>IFERROR(IF($B$9="","",IF($K$5+ROW()-26&gt;$K$6,"",IF(INDEX('Raw Flow Data'!$A:$ZZ,$K$5+ROW()-26+$D$9,MATCH($B$9,'Raw Flow Data'!$1:$1,0))=-999,"",INDEX('Raw Flow Data'!$A:$ZZ,$K$5+ROW()-26+$D$9,MATCH($B$9,'Raw Flow Data'!$1:$1,0))*$C$9))),"")</f>
        <v/>
      </c>
      <c r="I118" s="24">
        <f>IFERROR(IF($B$10="","",IF($K$5+ROW()-26&gt;$K$6,"",IF(INDEX('Raw Flow Data'!$A:$ZZ,$K$5+ROW()-26+$D$10,MATCH($B$10,'Raw Flow Data'!$1:$1,0))=-999,"",INDEX('Raw Flow Data'!$A:$ZZ,$K$5+ROW()-26+$D$10,MATCH($B$10,'Raw Flow Data'!$1:$1,0))*$C$10))),"")</f>
        <v/>
      </c>
      <c r="J118" s="24">
        <f>IFERROR(IF($B$11="","",IF($K$5+ROW()-26&gt;$K$6,"",IF(INDEX('Raw Flow Data'!$A:$ZZ,$K$5+ROW()-26+$D$11,MATCH($B$11,'Raw Flow Data'!$1:$1,0))=-999,"",INDEX('Raw Flow Data'!$A:$ZZ,$K$5+ROW()-26+$D$11,MATCH($B$11,'Raw Flow Data'!$1:$1,0))*$C$11))),"")</f>
        <v/>
      </c>
      <c r="K118" s="24">
        <f>IFERROR(IF($B$12="","",IF($K$5+ROW()-26&gt;$K$6,"",IF(INDEX('Raw Flow Data'!$A:$ZZ,$K$5+ROW()-26+$D$12,MATCH($B$12,'Raw Flow Data'!$1:$1,0))=-999,"",INDEX('Raw Flow Data'!$A:$ZZ,$K$5+ROW()-26+$D$12,MATCH($B$12,'Raw Flow Data'!$1:$1,0))*$C$12))),"")</f>
        <v/>
      </c>
      <c r="L118" s="24">
        <f>IFERROR(IF($F$3="","",IF($K$5+ROW()-26&gt;$K$6,"",IF(INDEX('Raw Pressure Data'!$A:$ZZ,$K$5+ROW()-26+$H$3,MATCH($F$3,'Raw Pressure Data'!$1:$1,0))=-999,"",INDEX('Raw Pressure Data'!$A:$ZZ,$K$5+ROW()-26+$H$3,MATCH($F$3,'Raw Pressure Data'!$1:$1,0))+$G$3))),"")</f>
        <v/>
      </c>
      <c r="M118" s="24">
        <f>IFERROR(IF($F$4="","",IF($K$5+ROW()-26&gt;$K$6,"",IF(INDEX('Raw Pressure Data'!$A:$ZZ,$K$5+ROW()-26+$H$4,MATCH($F$4,'Raw Pressure Data'!$1:$1,0))=-999,"",INDEX('Raw Pressure Data'!$A:$ZZ,$K$5+ROW()-26+$H$4,MATCH($F$4,'Raw Pressure Data'!$1:$1,0))+$G$4))),"")</f>
        <v/>
      </c>
      <c r="N118" s="24">
        <f>IFERROR(IF($F$5="","",IF($K$5+ROW()-26&gt;$K$6,"",IF(INDEX('Raw Pressure Data'!$A:$ZZ,$K$5+ROW()-26+$H$5,MATCH($F$5,'Raw Pressure Data'!$1:$1,0))=-999,"",INDEX('Raw Pressure Data'!$A:$ZZ,$K$5+ROW()-26+$H$5,MATCH($F$5,'Raw Pressure Data'!$1:$1,0))+$G$5))),"")</f>
        <v/>
      </c>
      <c r="O118" s="24">
        <f>IFERROR(IF($F$6="","",IF($K$5+ROW()-26&gt;$K$6,"",IF(INDEX('Raw Pressure Data'!$A:$ZZ,$K$5+ROW()-26+$H$6,MATCH($F$6,'Raw Pressure Data'!$1:$1,0))=-999,"",INDEX('Raw Pressure Data'!$A:$ZZ,$K$5+ROW()-26+$H$6,MATCH($F$6,'Raw Pressure Data'!$1:$1,0))+$G$6))),"")</f>
        <v/>
      </c>
      <c r="P118" s="24">
        <f>IFERROR(IF($F$7="","",IF($K$5+ROW()-26&gt;$K$6,"",IF(INDEX('Raw Pressure Data'!$A:$ZZ,$K$5+ROW()-26+$H$7,MATCH($F$7,'Raw Pressure Data'!$1:$1,0))=-999,"",INDEX('Raw Pressure Data'!$A:$ZZ,$K$5+ROW()-26+$H$7,MATCH($F$7,'Raw Pressure Data'!$1:$1,0))+$G$7))),"")</f>
        <v/>
      </c>
      <c r="Q118" s="24">
        <f>IFERROR(IF($F$8="","",IF($K$5+ROW()-26&gt;$K$6,"",IF(INDEX('Raw Pressure Data'!$A:$ZZ,$K$5+ROW()-26+$H$8,MATCH($F$8,'Raw Pressure Data'!$1:$1,0))=-999,"",INDEX('Raw Pressure Data'!$A:$ZZ,$K$5+ROW()-26+$H$8,MATCH($F$8,'Raw Pressure Data'!$1:$1,0))+$G$8))),"")</f>
        <v/>
      </c>
      <c r="R118" s="24">
        <f>IFERROR(IF($F$9="","",IF($K$5+ROW()-26&gt;$K$6,"",IF(INDEX('Raw Pressure Data'!$A:$ZZ,$K$5+ROW()-26+$H$9,MATCH($F$9,'Raw Pressure Data'!$1:$1,0))=-999,"",INDEX('Raw Pressure Data'!$A:$ZZ,$K$5+ROW()-26+$H$9,MATCH($F$9,'Raw Pressure Data'!$1:$1,0))+$G$9))),"")</f>
        <v/>
      </c>
      <c r="S118" s="24">
        <f>IFERROR(IF($F$10="","",IF($K$5+ROW()-26&gt;$K$6,"",IF(INDEX('Raw Pressure Data'!$A:$ZZ,$K$5+ROW()-26+$H$10,MATCH($F$10,'Raw Pressure Data'!$1:$1,0))=-999,"",INDEX('Raw Pressure Data'!$A:$ZZ,$K$5+ROW()-26+$H$10,MATCH($F$10,'Raw Pressure Data'!$1:$1,0))+$G$10))),"")</f>
        <v/>
      </c>
      <c r="T118" s="24">
        <f>IFERROR(IF($F$11="","",IF($K$5+ROW()-26&gt;$K$6,"",IF(INDEX('Raw Pressure Data'!$A:$ZZ,$K$5+ROW()-26+$H$11,MATCH($F$11,'Raw Pressure Data'!$1:$1,0))=-999,"",INDEX('Raw Pressure Data'!$A:$ZZ,$K$5+ROW()-26+$H$11,MATCH($F$11,'Raw Pressure Data'!$1:$1,0))+$G$11))),"")</f>
        <v/>
      </c>
      <c r="U118" s="24">
        <f>IFERROR(IF($F$12="","",IF($K$5+ROW()-26&gt;$K$6,"",IF(INDEX('Raw Pressure Data'!$A:$ZZ,$K$5+ROW()-26+$H$12,MATCH($F$12,'Raw Pressure Data'!$1:$1,0))=-999,"",INDEX('Raw Pressure Data'!$A:$ZZ,$K$5+ROW()-26+$H$12,MATCH($F$12,'Raw Pressure Data'!$1:$1,0))+$G$12))),"")</f>
        <v/>
      </c>
      <c r="V118" s="24">
        <f>IFERROR(IF($F$13="","",IF($K$5+ROW()-26&gt;$K$6,"",IF(INDEX('Raw Pressure Data'!$A:$ZZ,$K$5+ROW()-26+$H$13,MATCH($F$13,'Raw Pressure Data'!$1:$1,0))=-999,"",INDEX('Raw Pressure Data'!$A:$ZZ,$K$5+ROW()-26+$H$13,MATCH($F$13,'Raw Pressure Data'!$1:$1,0))+$G$13))),"")</f>
        <v/>
      </c>
      <c r="W118" s="24">
        <f>IFERROR(IF($F$14="","",IF($K$5+ROW()-26&gt;$K$6,"",IF(INDEX('Raw Pressure Data'!$A:$ZZ,$K$5+ROW()-26+$H$14,MATCH($F$14,'Raw Pressure Data'!$1:$1,0))=-999,"",INDEX('Raw Pressure Data'!$A:$ZZ,$K$5+ROW()-26+$H$14,MATCH($F$14,'Raw Pressure Data'!$1:$1,0))+$G$14))),"")</f>
        <v/>
      </c>
      <c r="X118" s="24">
        <f>IFERROR(IF($F$15="","",IF($K$5+ROW()-26&gt;$K$6,"",IF(INDEX('Raw Pressure Data'!$A:$ZZ,$K$5+ROW()-26+$H$15,MATCH($F$15,'Raw Pressure Data'!$1:$1,0))=-999,"",INDEX('Raw Pressure Data'!$A:$ZZ,$K$5+ROW()-26+$H$15,MATCH($F$15,'Raw Pressure Data'!$1:$1,0))+$G$15))),"")</f>
        <v/>
      </c>
      <c r="Y118" s="24">
        <f>IFERROR(IF($F$16="","",IF($K$5+ROW()-26&gt;$K$6,"",IF(INDEX('Raw Pressure Data'!$A:$ZZ,$K$5+ROW()-26+$H$16,MATCH($F$16,'Raw Pressure Data'!$1:$1,0))=-999,"",INDEX('Raw Pressure Data'!$A:$ZZ,$K$5+ROW()-26+$H$16,MATCH($F$16,'Raw Pressure Data'!$1:$1,0))+$G$16))),"")</f>
        <v/>
      </c>
      <c r="Z118" s="24">
        <f>IFERROR(IF($F$17="","",IF($K$5+ROW()-26&gt;$K$6,"",IF(INDEX('Raw Pressure Data'!$A:$ZZ,$K$5+ROW()-26+$H$17,MATCH($F$17,'Raw Pressure Data'!$1:$1,0))=-999,"",INDEX('Raw Pressure Data'!$A:$ZZ,$K$5+ROW()-26+$H$17,MATCH($F$17,'Raw Pressure Data'!$1:$1,0))+$G$17))),"")</f>
        <v/>
      </c>
      <c r="AA118" s="24">
        <f>IFERROR(IF($F$18="","",IF($K$5+ROW()-26&gt;$K$6,"",IF(INDEX('Raw Pressure Data'!$A:$ZZ,$K$5+ROW()-26+$H$18,MATCH($F$18,'Raw Pressure Data'!$1:$1,0))=-999,"",INDEX('Raw Pressure Data'!$A:$ZZ,$K$5+ROW()-26+$H$18,MATCH($F$18,'Raw Pressure Data'!$1:$1,0))+$G$18))),"")</f>
        <v/>
      </c>
      <c r="AB118" s="24">
        <f>IFERROR(IF($F$19="","",IF($K$5+ROW()-26&gt;$K$6,"",IF(INDEX('Raw Pressure Data'!$A:$ZZ,$K$5+ROW()-26+$H$19,MATCH($F$19,'Raw Pressure Data'!$1:$1,0))=-999,"",INDEX('Raw Pressure Data'!$A:$ZZ,$K$5+ROW()-26+$H$19,MATCH($F$19,'Raw Pressure Data'!$1:$1,0))+$G$19))),"")</f>
        <v/>
      </c>
      <c r="AC118" s="24">
        <f>IFERROR(IF($F$20="","",IF($K$5+ROW()-26&gt;$K$6,"",IF(INDEX('Raw Pressure Data'!$A:$ZZ,$K$5+ROW()-26+$H$20,MATCH($F$20,'Raw Pressure Data'!$1:$1,0))=-999,"",INDEX('Raw Pressure Data'!$A:$ZZ,$K$5+ROW()-26+$H$20,MATCH($F$20,'Raw Pressure Data'!$1:$1,0))+$G$20))),"")</f>
        <v/>
      </c>
      <c r="AD118" s="24">
        <f>IFERROR(IF($F$21="","",IF($K$5+ROW()-26&gt;$K$6,"",IF(INDEX('Raw Pressure Data'!$A:$ZZ,$K$5+ROW()-26+$H$21,MATCH($F$21,'Raw Pressure Data'!$1:$1,0))=-999,"",INDEX('Raw Pressure Data'!$A:$ZZ,$K$5+ROW()-26+$H$21,MATCH($F$21,'Raw Pressure Data'!$1:$1,0))+$G$21))),"")</f>
        <v/>
      </c>
      <c r="AE118" s="24">
        <f>IFERROR(IF($F$22="","",IF($K$5+ROW()-26&gt;$K$6,"",IF(INDEX('Raw Pressure Data'!$A:$ZZ,$K$5+ROW()-26+$H$22,MATCH($F$22,'Raw Pressure Data'!$1:$1,0))=-999,"",INDEX('Raw Pressure Data'!$A:$ZZ,$K$5+ROW()-26+$H$22,MATCH($F$22,'Raw Pressure Data'!$1:$1,0))+$G$22))),"")</f>
        <v/>
      </c>
    </row>
    <row r="119" ht="15" customHeight="1">
      <c r="A119" s="25">
        <f>IFERROR(IF($K$5+ROW()-26&gt;$K$6,"",IF(INDEX('Raw Flow Data'!$A:$A,$K$5+ROW()-26)="","",INDEX('Raw Flow Data'!$A:$A,$K$5+ROW()-26))),"")</f>
        <v/>
      </c>
      <c r="B119" s="26">
        <f>IFERROR(IF($B$3="","",IF($K$5+ROW()-26&gt;$K$6,"",IF(INDEX('Raw Flow Data'!$A:$ZZ,$K$5+ROW()-26+$D$3,MATCH($B$3,'Raw Flow Data'!$1:$1,0))=-999,"",INDEX('Raw Flow Data'!$A:$ZZ,$K$5+ROW()-26+$D$3,MATCH($B$3,'Raw Flow Data'!$1:$1,0))*$C$3))),"")</f>
        <v/>
      </c>
      <c r="C119" s="26">
        <f>IFERROR(IF($B$4="","",IF($K$5+ROW()-26&gt;$K$6,"",IF(INDEX('Raw Flow Data'!$A:$ZZ,$K$5+ROW()-26+$D$4,MATCH($B$4,'Raw Flow Data'!$1:$1,0))=-999,"",INDEX('Raw Flow Data'!$A:$ZZ,$K$5+ROW()-26+$D$4,MATCH($B$4,'Raw Flow Data'!$1:$1,0))*$C$4))),"")</f>
        <v/>
      </c>
      <c r="D119" s="26">
        <f>IFERROR(IF($B$5="","",IF($K$5+ROW()-26&gt;$K$6,"",IF(INDEX('Raw Flow Data'!$A:$ZZ,$K$5+ROW()-26+$D$5,MATCH($B$5,'Raw Flow Data'!$1:$1,0))=-999,"",INDEX('Raw Flow Data'!$A:$ZZ,$K$5+ROW()-26+$D$5,MATCH($B$5,'Raw Flow Data'!$1:$1,0))*$C$5))),"")</f>
        <v/>
      </c>
      <c r="E119" s="26">
        <f>IFERROR(IF($B$6="","",IF($K$5+ROW()-26&gt;$K$6,"",IF(INDEX('Raw Flow Data'!$A:$ZZ,$K$5+ROW()-26+$D$6,MATCH($B$6,'Raw Flow Data'!$1:$1,0))=-999,"",INDEX('Raw Flow Data'!$A:$ZZ,$K$5+ROW()-26+$D$6,MATCH($B$6,'Raw Flow Data'!$1:$1,0))*$C$6))),"")</f>
        <v/>
      </c>
      <c r="F119" s="26">
        <f>IFERROR(IF($B$7="","",IF($K$5+ROW()-26&gt;$K$6,"",IF(INDEX('Raw Flow Data'!$A:$ZZ,$K$5+ROW()-26+$D$7,MATCH($B$7,'Raw Flow Data'!$1:$1,0))=-999,"",INDEX('Raw Flow Data'!$A:$ZZ,$K$5+ROW()-26+$D$7,MATCH($B$7,'Raw Flow Data'!$1:$1,0))*$C$7))),"")</f>
        <v/>
      </c>
      <c r="G119" s="26">
        <f>IFERROR(IF($B$8="","",IF($K$5+ROW()-26&gt;$K$6,"",IF(INDEX('Raw Flow Data'!$A:$ZZ,$K$5+ROW()-26+$D$8,MATCH($B$8,'Raw Flow Data'!$1:$1,0))=-999,"",INDEX('Raw Flow Data'!$A:$ZZ,$K$5+ROW()-26+$D$8,MATCH($B$8,'Raw Flow Data'!$1:$1,0))*$C$8))),"")</f>
        <v/>
      </c>
      <c r="H119" s="26">
        <f>IFERROR(IF($B$9="","",IF($K$5+ROW()-26&gt;$K$6,"",IF(INDEX('Raw Flow Data'!$A:$ZZ,$K$5+ROW()-26+$D$9,MATCH($B$9,'Raw Flow Data'!$1:$1,0))=-999,"",INDEX('Raw Flow Data'!$A:$ZZ,$K$5+ROW()-26+$D$9,MATCH($B$9,'Raw Flow Data'!$1:$1,0))*$C$9))),"")</f>
        <v/>
      </c>
      <c r="I119" s="26">
        <f>IFERROR(IF($B$10="","",IF($K$5+ROW()-26&gt;$K$6,"",IF(INDEX('Raw Flow Data'!$A:$ZZ,$K$5+ROW()-26+$D$10,MATCH($B$10,'Raw Flow Data'!$1:$1,0))=-999,"",INDEX('Raw Flow Data'!$A:$ZZ,$K$5+ROW()-26+$D$10,MATCH($B$10,'Raw Flow Data'!$1:$1,0))*$C$10))),"")</f>
        <v/>
      </c>
      <c r="J119" s="26">
        <f>IFERROR(IF($B$11="","",IF($K$5+ROW()-26&gt;$K$6,"",IF(INDEX('Raw Flow Data'!$A:$ZZ,$K$5+ROW()-26+$D$11,MATCH($B$11,'Raw Flow Data'!$1:$1,0))=-999,"",INDEX('Raw Flow Data'!$A:$ZZ,$K$5+ROW()-26+$D$11,MATCH($B$11,'Raw Flow Data'!$1:$1,0))*$C$11))),"")</f>
        <v/>
      </c>
      <c r="K119" s="26">
        <f>IFERROR(IF($B$12="","",IF($K$5+ROW()-26&gt;$K$6,"",IF(INDEX('Raw Flow Data'!$A:$ZZ,$K$5+ROW()-26+$D$12,MATCH($B$12,'Raw Flow Data'!$1:$1,0))=-999,"",INDEX('Raw Flow Data'!$A:$ZZ,$K$5+ROW()-26+$D$12,MATCH($B$12,'Raw Flow Data'!$1:$1,0))*$C$12))),"")</f>
        <v/>
      </c>
      <c r="L119" s="26">
        <f>IFERROR(IF($F$3="","",IF($K$5+ROW()-26&gt;$K$6,"",IF(INDEX('Raw Pressure Data'!$A:$ZZ,$K$5+ROW()-26+$H$3,MATCH($F$3,'Raw Pressure Data'!$1:$1,0))=-999,"",INDEX('Raw Pressure Data'!$A:$ZZ,$K$5+ROW()-26+$H$3,MATCH($F$3,'Raw Pressure Data'!$1:$1,0))+$G$3))),"")</f>
        <v/>
      </c>
      <c r="M119" s="26">
        <f>IFERROR(IF($F$4="","",IF($K$5+ROW()-26&gt;$K$6,"",IF(INDEX('Raw Pressure Data'!$A:$ZZ,$K$5+ROW()-26+$H$4,MATCH($F$4,'Raw Pressure Data'!$1:$1,0))=-999,"",INDEX('Raw Pressure Data'!$A:$ZZ,$K$5+ROW()-26+$H$4,MATCH($F$4,'Raw Pressure Data'!$1:$1,0))+$G$4))),"")</f>
        <v/>
      </c>
      <c r="N119" s="26">
        <f>IFERROR(IF($F$5="","",IF($K$5+ROW()-26&gt;$K$6,"",IF(INDEX('Raw Pressure Data'!$A:$ZZ,$K$5+ROW()-26+$H$5,MATCH($F$5,'Raw Pressure Data'!$1:$1,0))=-999,"",INDEX('Raw Pressure Data'!$A:$ZZ,$K$5+ROW()-26+$H$5,MATCH($F$5,'Raw Pressure Data'!$1:$1,0))+$G$5))),"")</f>
        <v/>
      </c>
      <c r="O119" s="26">
        <f>IFERROR(IF($F$6="","",IF($K$5+ROW()-26&gt;$K$6,"",IF(INDEX('Raw Pressure Data'!$A:$ZZ,$K$5+ROW()-26+$H$6,MATCH($F$6,'Raw Pressure Data'!$1:$1,0))=-999,"",INDEX('Raw Pressure Data'!$A:$ZZ,$K$5+ROW()-26+$H$6,MATCH($F$6,'Raw Pressure Data'!$1:$1,0))+$G$6))),"")</f>
        <v/>
      </c>
      <c r="P119" s="26">
        <f>IFERROR(IF($F$7="","",IF($K$5+ROW()-26&gt;$K$6,"",IF(INDEX('Raw Pressure Data'!$A:$ZZ,$K$5+ROW()-26+$H$7,MATCH($F$7,'Raw Pressure Data'!$1:$1,0))=-999,"",INDEX('Raw Pressure Data'!$A:$ZZ,$K$5+ROW()-26+$H$7,MATCH($F$7,'Raw Pressure Data'!$1:$1,0))+$G$7))),"")</f>
        <v/>
      </c>
      <c r="Q119" s="26">
        <f>IFERROR(IF($F$8="","",IF($K$5+ROW()-26&gt;$K$6,"",IF(INDEX('Raw Pressure Data'!$A:$ZZ,$K$5+ROW()-26+$H$8,MATCH($F$8,'Raw Pressure Data'!$1:$1,0))=-999,"",INDEX('Raw Pressure Data'!$A:$ZZ,$K$5+ROW()-26+$H$8,MATCH($F$8,'Raw Pressure Data'!$1:$1,0))+$G$8))),"")</f>
        <v/>
      </c>
      <c r="R119" s="26">
        <f>IFERROR(IF($F$9="","",IF($K$5+ROW()-26&gt;$K$6,"",IF(INDEX('Raw Pressure Data'!$A:$ZZ,$K$5+ROW()-26+$H$9,MATCH($F$9,'Raw Pressure Data'!$1:$1,0))=-999,"",INDEX('Raw Pressure Data'!$A:$ZZ,$K$5+ROW()-26+$H$9,MATCH($F$9,'Raw Pressure Data'!$1:$1,0))+$G$9))),"")</f>
        <v/>
      </c>
      <c r="S119" s="26">
        <f>IFERROR(IF($F$10="","",IF($K$5+ROW()-26&gt;$K$6,"",IF(INDEX('Raw Pressure Data'!$A:$ZZ,$K$5+ROW()-26+$H$10,MATCH($F$10,'Raw Pressure Data'!$1:$1,0))=-999,"",INDEX('Raw Pressure Data'!$A:$ZZ,$K$5+ROW()-26+$H$10,MATCH($F$10,'Raw Pressure Data'!$1:$1,0))+$G$10))),"")</f>
        <v/>
      </c>
      <c r="T119" s="26">
        <f>IFERROR(IF($F$11="","",IF($K$5+ROW()-26&gt;$K$6,"",IF(INDEX('Raw Pressure Data'!$A:$ZZ,$K$5+ROW()-26+$H$11,MATCH($F$11,'Raw Pressure Data'!$1:$1,0))=-999,"",INDEX('Raw Pressure Data'!$A:$ZZ,$K$5+ROW()-26+$H$11,MATCH($F$11,'Raw Pressure Data'!$1:$1,0))+$G$11))),"")</f>
        <v/>
      </c>
      <c r="U119" s="26">
        <f>IFERROR(IF($F$12="","",IF($K$5+ROW()-26&gt;$K$6,"",IF(INDEX('Raw Pressure Data'!$A:$ZZ,$K$5+ROW()-26+$H$12,MATCH($F$12,'Raw Pressure Data'!$1:$1,0))=-999,"",INDEX('Raw Pressure Data'!$A:$ZZ,$K$5+ROW()-26+$H$12,MATCH($F$12,'Raw Pressure Data'!$1:$1,0))+$G$12))),"")</f>
        <v/>
      </c>
      <c r="V119" s="26">
        <f>IFERROR(IF($F$13="","",IF($K$5+ROW()-26&gt;$K$6,"",IF(INDEX('Raw Pressure Data'!$A:$ZZ,$K$5+ROW()-26+$H$13,MATCH($F$13,'Raw Pressure Data'!$1:$1,0))=-999,"",INDEX('Raw Pressure Data'!$A:$ZZ,$K$5+ROW()-26+$H$13,MATCH($F$13,'Raw Pressure Data'!$1:$1,0))+$G$13))),"")</f>
        <v/>
      </c>
      <c r="W119" s="26">
        <f>IFERROR(IF($F$14="","",IF($K$5+ROW()-26&gt;$K$6,"",IF(INDEX('Raw Pressure Data'!$A:$ZZ,$K$5+ROW()-26+$H$14,MATCH($F$14,'Raw Pressure Data'!$1:$1,0))=-999,"",INDEX('Raw Pressure Data'!$A:$ZZ,$K$5+ROW()-26+$H$14,MATCH($F$14,'Raw Pressure Data'!$1:$1,0))+$G$14))),"")</f>
        <v/>
      </c>
      <c r="X119" s="26">
        <f>IFERROR(IF($F$15="","",IF($K$5+ROW()-26&gt;$K$6,"",IF(INDEX('Raw Pressure Data'!$A:$ZZ,$K$5+ROW()-26+$H$15,MATCH($F$15,'Raw Pressure Data'!$1:$1,0))=-999,"",INDEX('Raw Pressure Data'!$A:$ZZ,$K$5+ROW()-26+$H$15,MATCH($F$15,'Raw Pressure Data'!$1:$1,0))+$G$15))),"")</f>
        <v/>
      </c>
      <c r="Y119" s="26">
        <f>IFERROR(IF($F$16="","",IF($K$5+ROW()-26&gt;$K$6,"",IF(INDEX('Raw Pressure Data'!$A:$ZZ,$K$5+ROW()-26+$H$16,MATCH($F$16,'Raw Pressure Data'!$1:$1,0))=-999,"",INDEX('Raw Pressure Data'!$A:$ZZ,$K$5+ROW()-26+$H$16,MATCH($F$16,'Raw Pressure Data'!$1:$1,0))+$G$16))),"")</f>
        <v/>
      </c>
      <c r="Z119" s="26">
        <f>IFERROR(IF($F$17="","",IF($K$5+ROW()-26&gt;$K$6,"",IF(INDEX('Raw Pressure Data'!$A:$ZZ,$K$5+ROW()-26+$H$17,MATCH($F$17,'Raw Pressure Data'!$1:$1,0))=-999,"",INDEX('Raw Pressure Data'!$A:$ZZ,$K$5+ROW()-26+$H$17,MATCH($F$17,'Raw Pressure Data'!$1:$1,0))+$G$17))),"")</f>
        <v/>
      </c>
      <c r="AA119" s="26">
        <f>IFERROR(IF($F$18="","",IF($K$5+ROW()-26&gt;$K$6,"",IF(INDEX('Raw Pressure Data'!$A:$ZZ,$K$5+ROW()-26+$H$18,MATCH($F$18,'Raw Pressure Data'!$1:$1,0))=-999,"",INDEX('Raw Pressure Data'!$A:$ZZ,$K$5+ROW()-26+$H$18,MATCH($F$18,'Raw Pressure Data'!$1:$1,0))+$G$18))),"")</f>
        <v/>
      </c>
      <c r="AB119" s="26">
        <f>IFERROR(IF($F$19="","",IF($K$5+ROW()-26&gt;$K$6,"",IF(INDEX('Raw Pressure Data'!$A:$ZZ,$K$5+ROW()-26+$H$19,MATCH($F$19,'Raw Pressure Data'!$1:$1,0))=-999,"",INDEX('Raw Pressure Data'!$A:$ZZ,$K$5+ROW()-26+$H$19,MATCH($F$19,'Raw Pressure Data'!$1:$1,0))+$G$19))),"")</f>
        <v/>
      </c>
      <c r="AC119" s="26">
        <f>IFERROR(IF($F$20="","",IF($K$5+ROW()-26&gt;$K$6,"",IF(INDEX('Raw Pressure Data'!$A:$ZZ,$K$5+ROW()-26+$H$20,MATCH($F$20,'Raw Pressure Data'!$1:$1,0))=-999,"",INDEX('Raw Pressure Data'!$A:$ZZ,$K$5+ROW()-26+$H$20,MATCH($F$20,'Raw Pressure Data'!$1:$1,0))+$G$20))),"")</f>
        <v/>
      </c>
      <c r="AD119" s="26">
        <f>IFERROR(IF($F$21="","",IF($K$5+ROW()-26&gt;$K$6,"",IF(INDEX('Raw Pressure Data'!$A:$ZZ,$K$5+ROW()-26+$H$21,MATCH($F$21,'Raw Pressure Data'!$1:$1,0))=-999,"",INDEX('Raw Pressure Data'!$A:$ZZ,$K$5+ROW()-26+$H$21,MATCH($F$21,'Raw Pressure Data'!$1:$1,0))+$G$21))),"")</f>
        <v/>
      </c>
      <c r="AE119" s="26">
        <f>IFERROR(IF($F$22="","",IF($K$5+ROW()-26&gt;$K$6,"",IF(INDEX('Raw Pressure Data'!$A:$ZZ,$K$5+ROW()-26+$H$22,MATCH($F$22,'Raw Pressure Data'!$1:$1,0))=-999,"",INDEX('Raw Pressure Data'!$A:$ZZ,$K$5+ROW()-26+$H$22,MATCH($F$22,'Raw Pressure Data'!$1:$1,0))+$G$22))),"")</f>
        <v/>
      </c>
    </row>
    <row r="120" ht="15" customHeight="1">
      <c r="A120" s="23">
        <f>IFERROR(IF($K$5+ROW()-26&gt;$K$6,"",IF(INDEX('Raw Flow Data'!$A:$A,$K$5+ROW()-26)="","",INDEX('Raw Flow Data'!$A:$A,$K$5+ROW()-26))),"")</f>
        <v/>
      </c>
      <c r="B120" s="24">
        <f>IFERROR(IF($B$3="","",IF($K$5+ROW()-26&gt;$K$6,"",IF(INDEX('Raw Flow Data'!$A:$ZZ,$K$5+ROW()-26+$D$3,MATCH($B$3,'Raw Flow Data'!$1:$1,0))=-999,"",INDEX('Raw Flow Data'!$A:$ZZ,$K$5+ROW()-26+$D$3,MATCH($B$3,'Raw Flow Data'!$1:$1,0))*$C$3))),"")</f>
        <v/>
      </c>
      <c r="C120" s="24">
        <f>IFERROR(IF($B$4="","",IF($K$5+ROW()-26&gt;$K$6,"",IF(INDEX('Raw Flow Data'!$A:$ZZ,$K$5+ROW()-26+$D$4,MATCH($B$4,'Raw Flow Data'!$1:$1,0))=-999,"",INDEX('Raw Flow Data'!$A:$ZZ,$K$5+ROW()-26+$D$4,MATCH($B$4,'Raw Flow Data'!$1:$1,0))*$C$4))),"")</f>
        <v/>
      </c>
      <c r="D120" s="24">
        <f>IFERROR(IF($B$5="","",IF($K$5+ROW()-26&gt;$K$6,"",IF(INDEX('Raw Flow Data'!$A:$ZZ,$K$5+ROW()-26+$D$5,MATCH($B$5,'Raw Flow Data'!$1:$1,0))=-999,"",INDEX('Raw Flow Data'!$A:$ZZ,$K$5+ROW()-26+$D$5,MATCH($B$5,'Raw Flow Data'!$1:$1,0))*$C$5))),"")</f>
        <v/>
      </c>
      <c r="E120" s="24">
        <f>IFERROR(IF($B$6="","",IF($K$5+ROW()-26&gt;$K$6,"",IF(INDEX('Raw Flow Data'!$A:$ZZ,$K$5+ROW()-26+$D$6,MATCH($B$6,'Raw Flow Data'!$1:$1,0))=-999,"",INDEX('Raw Flow Data'!$A:$ZZ,$K$5+ROW()-26+$D$6,MATCH($B$6,'Raw Flow Data'!$1:$1,0))*$C$6))),"")</f>
        <v/>
      </c>
      <c r="F120" s="24">
        <f>IFERROR(IF($B$7="","",IF($K$5+ROW()-26&gt;$K$6,"",IF(INDEX('Raw Flow Data'!$A:$ZZ,$K$5+ROW()-26+$D$7,MATCH($B$7,'Raw Flow Data'!$1:$1,0))=-999,"",INDEX('Raw Flow Data'!$A:$ZZ,$K$5+ROW()-26+$D$7,MATCH($B$7,'Raw Flow Data'!$1:$1,0))*$C$7))),"")</f>
        <v/>
      </c>
      <c r="G120" s="24">
        <f>IFERROR(IF($B$8="","",IF($K$5+ROW()-26&gt;$K$6,"",IF(INDEX('Raw Flow Data'!$A:$ZZ,$K$5+ROW()-26+$D$8,MATCH($B$8,'Raw Flow Data'!$1:$1,0))=-999,"",INDEX('Raw Flow Data'!$A:$ZZ,$K$5+ROW()-26+$D$8,MATCH($B$8,'Raw Flow Data'!$1:$1,0))*$C$8))),"")</f>
        <v/>
      </c>
      <c r="H120" s="24">
        <f>IFERROR(IF($B$9="","",IF($K$5+ROW()-26&gt;$K$6,"",IF(INDEX('Raw Flow Data'!$A:$ZZ,$K$5+ROW()-26+$D$9,MATCH($B$9,'Raw Flow Data'!$1:$1,0))=-999,"",INDEX('Raw Flow Data'!$A:$ZZ,$K$5+ROW()-26+$D$9,MATCH($B$9,'Raw Flow Data'!$1:$1,0))*$C$9))),"")</f>
        <v/>
      </c>
      <c r="I120" s="24">
        <f>IFERROR(IF($B$10="","",IF($K$5+ROW()-26&gt;$K$6,"",IF(INDEX('Raw Flow Data'!$A:$ZZ,$K$5+ROW()-26+$D$10,MATCH($B$10,'Raw Flow Data'!$1:$1,0))=-999,"",INDEX('Raw Flow Data'!$A:$ZZ,$K$5+ROW()-26+$D$10,MATCH($B$10,'Raw Flow Data'!$1:$1,0))*$C$10))),"")</f>
        <v/>
      </c>
      <c r="J120" s="24">
        <f>IFERROR(IF($B$11="","",IF($K$5+ROW()-26&gt;$K$6,"",IF(INDEX('Raw Flow Data'!$A:$ZZ,$K$5+ROW()-26+$D$11,MATCH($B$11,'Raw Flow Data'!$1:$1,0))=-999,"",INDEX('Raw Flow Data'!$A:$ZZ,$K$5+ROW()-26+$D$11,MATCH($B$11,'Raw Flow Data'!$1:$1,0))*$C$11))),"")</f>
        <v/>
      </c>
      <c r="K120" s="24">
        <f>IFERROR(IF($B$12="","",IF($K$5+ROW()-26&gt;$K$6,"",IF(INDEX('Raw Flow Data'!$A:$ZZ,$K$5+ROW()-26+$D$12,MATCH($B$12,'Raw Flow Data'!$1:$1,0))=-999,"",INDEX('Raw Flow Data'!$A:$ZZ,$K$5+ROW()-26+$D$12,MATCH($B$12,'Raw Flow Data'!$1:$1,0))*$C$12))),"")</f>
        <v/>
      </c>
      <c r="L120" s="24">
        <f>IFERROR(IF($F$3="","",IF($K$5+ROW()-26&gt;$K$6,"",IF(INDEX('Raw Pressure Data'!$A:$ZZ,$K$5+ROW()-26+$H$3,MATCH($F$3,'Raw Pressure Data'!$1:$1,0))=-999,"",INDEX('Raw Pressure Data'!$A:$ZZ,$K$5+ROW()-26+$H$3,MATCH($F$3,'Raw Pressure Data'!$1:$1,0))+$G$3))),"")</f>
        <v/>
      </c>
      <c r="M120" s="24">
        <f>IFERROR(IF($F$4="","",IF($K$5+ROW()-26&gt;$K$6,"",IF(INDEX('Raw Pressure Data'!$A:$ZZ,$K$5+ROW()-26+$H$4,MATCH($F$4,'Raw Pressure Data'!$1:$1,0))=-999,"",INDEX('Raw Pressure Data'!$A:$ZZ,$K$5+ROW()-26+$H$4,MATCH($F$4,'Raw Pressure Data'!$1:$1,0))+$G$4))),"")</f>
        <v/>
      </c>
      <c r="N120" s="24">
        <f>IFERROR(IF($F$5="","",IF($K$5+ROW()-26&gt;$K$6,"",IF(INDEX('Raw Pressure Data'!$A:$ZZ,$K$5+ROW()-26+$H$5,MATCH($F$5,'Raw Pressure Data'!$1:$1,0))=-999,"",INDEX('Raw Pressure Data'!$A:$ZZ,$K$5+ROW()-26+$H$5,MATCH($F$5,'Raw Pressure Data'!$1:$1,0))+$G$5))),"")</f>
        <v/>
      </c>
      <c r="O120" s="24">
        <f>IFERROR(IF($F$6="","",IF($K$5+ROW()-26&gt;$K$6,"",IF(INDEX('Raw Pressure Data'!$A:$ZZ,$K$5+ROW()-26+$H$6,MATCH($F$6,'Raw Pressure Data'!$1:$1,0))=-999,"",INDEX('Raw Pressure Data'!$A:$ZZ,$K$5+ROW()-26+$H$6,MATCH($F$6,'Raw Pressure Data'!$1:$1,0))+$G$6))),"")</f>
        <v/>
      </c>
      <c r="P120" s="24">
        <f>IFERROR(IF($F$7="","",IF($K$5+ROW()-26&gt;$K$6,"",IF(INDEX('Raw Pressure Data'!$A:$ZZ,$K$5+ROW()-26+$H$7,MATCH($F$7,'Raw Pressure Data'!$1:$1,0))=-999,"",INDEX('Raw Pressure Data'!$A:$ZZ,$K$5+ROW()-26+$H$7,MATCH($F$7,'Raw Pressure Data'!$1:$1,0))+$G$7))),"")</f>
        <v/>
      </c>
      <c r="Q120" s="24">
        <f>IFERROR(IF($F$8="","",IF($K$5+ROW()-26&gt;$K$6,"",IF(INDEX('Raw Pressure Data'!$A:$ZZ,$K$5+ROW()-26+$H$8,MATCH($F$8,'Raw Pressure Data'!$1:$1,0))=-999,"",INDEX('Raw Pressure Data'!$A:$ZZ,$K$5+ROW()-26+$H$8,MATCH($F$8,'Raw Pressure Data'!$1:$1,0))+$G$8))),"")</f>
        <v/>
      </c>
      <c r="R120" s="24">
        <f>IFERROR(IF($F$9="","",IF($K$5+ROW()-26&gt;$K$6,"",IF(INDEX('Raw Pressure Data'!$A:$ZZ,$K$5+ROW()-26+$H$9,MATCH($F$9,'Raw Pressure Data'!$1:$1,0))=-999,"",INDEX('Raw Pressure Data'!$A:$ZZ,$K$5+ROW()-26+$H$9,MATCH($F$9,'Raw Pressure Data'!$1:$1,0))+$G$9))),"")</f>
        <v/>
      </c>
      <c r="S120" s="24">
        <f>IFERROR(IF($F$10="","",IF($K$5+ROW()-26&gt;$K$6,"",IF(INDEX('Raw Pressure Data'!$A:$ZZ,$K$5+ROW()-26+$H$10,MATCH($F$10,'Raw Pressure Data'!$1:$1,0))=-999,"",INDEX('Raw Pressure Data'!$A:$ZZ,$K$5+ROW()-26+$H$10,MATCH($F$10,'Raw Pressure Data'!$1:$1,0))+$G$10))),"")</f>
        <v/>
      </c>
      <c r="T120" s="24">
        <f>IFERROR(IF($F$11="","",IF($K$5+ROW()-26&gt;$K$6,"",IF(INDEX('Raw Pressure Data'!$A:$ZZ,$K$5+ROW()-26+$H$11,MATCH($F$11,'Raw Pressure Data'!$1:$1,0))=-999,"",INDEX('Raw Pressure Data'!$A:$ZZ,$K$5+ROW()-26+$H$11,MATCH($F$11,'Raw Pressure Data'!$1:$1,0))+$G$11))),"")</f>
        <v/>
      </c>
      <c r="U120" s="24">
        <f>IFERROR(IF($F$12="","",IF($K$5+ROW()-26&gt;$K$6,"",IF(INDEX('Raw Pressure Data'!$A:$ZZ,$K$5+ROW()-26+$H$12,MATCH($F$12,'Raw Pressure Data'!$1:$1,0))=-999,"",INDEX('Raw Pressure Data'!$A:$ZZ,$K$5+ROW()-26+$H$12,MATCH($F$12,'Raw Pressure Data'!$1:$1,0))+$G$12))),"")</f>
        <v/>
      </c>
      <c r="V120" s="24">
        <f>IFERROR(IF($F$13="","",IF($K$5+ROW()-26&gt;$K$6,"",IF(INDEX('Raw Pressure Data'!$A:$ZZ,$K$5+ROW()-26+$H$13,MATCH($F$13,'Raw Pressure Data'!$1:$1,0))=-999,"",INDEX('Raw Pressure Data'!$A:$ZZ,$K$5+ROW()-26+$H$13,MATCH($F$13,'Raw Pressure Data'!$1:$1,0))+$G$13))),"")</f>
        <v/>
      </c>
      <c r="W120" s="24">
        <f>IFERROR(IF($F$14="","",IF($K$5+ROW()-26&gt;$K$6,"",IF(INDEX('Raw Pressure Data'!$A:$ZZ,$K$5+ROW()-26+$H$14,MATCH($F$14,'Raw Pressure Data'!$1:$1,0))=-999,"",INDEX('Raw Pressure Data'!$A:$ZZ,$K$5+ROW()-26+$H$14,MATCH($F$14,'Raw Pressure Data'!$1:$1,0))+$G$14))),"")</f>
        <v/>
      </c>
      <c r="X120" s="24">
        <f>IFERROR(IF($F$15="","",IF($K$5+ROW()-26&gt;$K$6,"",IF(INDEX('Raw Pressure Data'!$A:$ZZ,$K$5+ROW()-26+$H$15,MATCH($F$15,'Raw Pressure Data'!$1:$1,0))=-999,"",INDEX('Raw Pressure Data'!$A:$ZZ,$K$5+ROW()-26+$H$15,MATCH($F$15,'Raw Pressure Data'!$1:$1,0))+$G$15))),"")</f>
        <v/>
      </c>
      <c r="Y120" s="24">
        <f>IFERROR(IF($F$16="","",IF($K$5+ROW()-26&gt;$K$6,"",IF(INDEX('Raw Pressure Data'!$A:$ZZ,$K$5+ROW()-26+$H$16,MATCH($F$16,'Raw Pressure Data'!$1:$1,0))=-999,"",INDEX('Raw Pressure Data'!$A:$ZZ,$K$5+ROW()-26+$H$16,MATCH($F$16,'Raw Pressure Data'!$1:$1,0))+$G$16))),"")</f>
        <v/>
      </c>
      <c r="Z120" s="24">
        <f>IFERROR(IF($F$17="","",IF($K$5+ROW()-26&gt;$K$6,"",IF(INDEX('Raw Pressure Data'!$A:$ZZ,$K$5+ROW()-26+$H$17,MATCH($F$17,'Raw Pressure Data'!$1:$1,0))=-999,"",INDEX('Raw Pressure Data'!$A:$ZZ,$K$5+ROW()-26+$H$17,MATCH($F$17,'Raw Pressure Data'!$1:$1,0))+$G$17))),"")</f>
        <v/>
      </c>
      <c r="AA120" s="24">
        <f>IFERROR(IF($F$18="","",IF($K$5+ROW()-26&gt;$K$6,"",IF(INDEX('Raw Pressure Data'!$A:$ZZ,$K$5+ROW()-26+$H$18,MATCH($F$18,'Raw Pressure Data'!$1:$1,0))=-999,"",INDEX('Raw Pressure Data'!$A:$ZZ,$K$5+ROW()-26+$H$18,MATCH($F$18,'Raw Pressure Data'!$1:$1,0))+$G$18))),"")</f>
        <v/>
      </c>
      <c r="AB120" s="24">
        <f>IFERROR(IF($F$19="","",IF($K$5+ROW()-26&gt;$K$6,"",IF(INDEX('Raw Pressure Data'!$A:$ZZ,$K$5+ROW()-26+$H$19,MATCH($F$19,'Raw Pressure Data'!$1:$1,0))=-999,"",INDEX('Raw Pressure Data'!$A:$ZZ,$K$5+ROW()-26+$H$19,MATCH($F$19,'Raw Pressure Data'!$1:$1,0))+$G$19))),"")</f>
        <v/>
      </c>
      <c r="AC120" s="24">
        <f>IFERROR(IF($F$20="","",IF($K$5+ROW()-26&gt;$K$6,"",IF(INDEX('Raw Pressure Data'!$A:$ZZ,$K$5+ROW()-26+$H$20,MATCH($F$20,'Raw Pressure Data'!$1:$1,0))=-999,"",INDEX('Raw Pressure Data'!$A:$ZZ,$K$5+ROW()-26+$H$20,MATCH($F$20,'Raw Pressure Data'!$1:$1,0))+$G$20))),"")</f>
        <v/>
      </c>
      <c r="AD120" s="24">
        <f>IFERROR(IF($F$21="","",IF($K$5+ROW()-26&gt;$K$6,"",IF(INDEX('Raw Pressure Data'!$A:$ZZ,$K$5+ROW()-26+$H$21,MATCH($F$21,'Raw Pressure Data'!$1:$1,0))=-999,"",INDEX('Raw Pressure Data'!$A:$ZZ,$K$5+ROW()-26+$H$21,MATCH($F$21,'Raw Pressure Data'!$1:$1,0))+$G$21))),"")</f>
        <v/>
      </c>
      <c r="AE120" s="24">
        <f>IFERROR(IF($F$22="","",IF($K$5+ROW()-26&gt;$K$6,"",IF(INDEX('Raw Pressure Data'!$A:$ZZ,$K$5+ROW()-26+$H$22,MATCH($F$22,'Raw Pressure Data'!$1:$1,0))=-999,"",INDEX('Raw Pressure Data'!$A:$ZZ,$K$5+ROW()-26+$H$22,MATCH($F$22,'Raw Pressure Data'!$1:$1,0))+$G$22))),"")</f>
        <v/>
      </c>
    </row>
    <row r="121" ht="15" customHeight="1">
      <c r="A121" s="25">
        <f>IFERROR(IF($K$5+ROW()-26&gt;$K$6,"",IF(INDEX('Raw Flow Data'!$A:$A,$K$5+ROW()-26)="","",INDEX('Raw Flow Data'!$A:$A,$K$5+ROW()-26))),"")</f>
        <v/>
      </c>
      <c r="B121" s="26">
        <f>IFERROR(IF($B$3="","",IF($K$5+ROW()-26&gt;$K$6,"",IF(INDEX('Raw Flow Data'!$A:$ZZ,$K$5+ROW()-26+$D$3,MATCH($B$3,'Raw Flow Data'!$1:$1,0))=-999,"",INDEX('Raw Flow Data'!$A:$ZZ,$K$5+ROW()-26+$D$3,MATCH($B$3,'Raw Flow Data'!$1:$1,0))*$C$3))),"")</f>
        <v/>
      </c>
      <c r="C121" s="26">
        <f>IFERROR(IF($B$4="","",IF($K$5+ROW()-26&gt;$K$6,"",IF(INDEX('Raw Flow Data'!$A:$ZZ,$K$5+ROW()-26+$D$4,MATCH($B$4,'Raw Flow Data'!$1:$1,0))=-999,"",INDEX('Raw Flow Data'!$A:$ZZ,$K$5+ROW()-26+$D$4,MATCH($B$4,'Raw Flow Data'!$1:$1,0))*$C$4))),"")</f>
        <v/>
      </c>
      <c r="D121" s="26">
        <f>IFERROR(IF($B$5="","",IF($K$5+ROW()-26&gt;$K$6,"",IF(INDEX('Raw Flow Data'!$A:$ZZ,$K$5+ROW()-26+$D$5,MATCH($B$5,'Raw Flow Data'!$1:$1,0))=-999,"",INDEX('Raw Flow Data'!$A:$ZZ,$K$5+ROW()-26+$D$5,MATCH($B$5,'Raw Flow Data'!$1:$1,0))*$C$5))),"")</f>
        <v/>
      </c>
      <c r="E121" s="26">
        <f>IFERROR(IF($B$6="","",IF($K$5+ROW()-26&gt;$K$6,"",IF(INDEX('Raw Flow Data'!$A:$ZZ,$K$5+ROW()-26+$D$6,MATCH($B$6,'Raw Flow Data'!$1:$1,0))=-999,"",INDEX('Raw Flow Data'!$A:$ZZ,$K$5+ROW()-26+$D$6,MATCH($B$6,'Raw Flow Data'!$1:$1,0))*$C$6))),"")</f>
        <v/>
      </c>
      <c r="F121" s="26">
        <f>IFERROR(IF($B$7="","",IF($K$5+ROW()-26&gt;$K$6,"",IF(INDEX('Raw Flow Data'!$A:$ZZ,$K$5+ROW()-26+$D$7,MATCH($B$7,'Raw Flow Data'!$1:$1,0))=-999,"",INDEX('Raw Flow Data'!$A:$ZZ,$K$5+ROW()-26+$D$7,MATCH($B$7,'Raw Flow Data'!$1:$1,0))*$C$7))),"")</f>
        <v/>
      </c>
      <c r="G121" s="26">
        <f>IFERROR(IF($B$8="","",IF($K$5+ROW()-26&gt;$K$6,"",IF(INDEX('Raw Flow Data'!$A:$ZZ,$K$5+ROW()-26+$D$8,MATCH($B$8,'Raw Flow Data'!$1:$1,0))=-999,"",INDEX('Raw Flow Data'!$A:$ZZ,$K$5+ROW()-26+$D$8,MATCH($B$8,'Raw Flow Data'!$1:$1,0))*$C$8))),"")</f>
        <v/>
      </c>
      <c r="H121" s="26">
        <f>IFERROR(IF($B$9="","",IF($K$5+ROW()-26&gt;$K$6,"",IF(INDEX('Raw Flow Data'!$A:$ZZ,$K$5+ROW()-26+$D$9,MATCH($B$9,'Raw Flow Data'!$1:$1,0))=-999,"",INDEX('Raw Flow Data'!$A:$ZZ,$K$5+ROW()-26+$D$9,MATCH($B$9,'Raw Flow Data'!$1:$1,0))*$C$9))),"")</f>
        <v/>
      </c>
      <c r="I121" s="26">
        <f>IFERROR(IF($B$10="","",IF($K$5+ROW()-26&gt;$K$6,"",IF(INDEX('Raw Flow Data'!$A:$ZZ,$K$5+ROW()-26+$D$10,MATCH($B$10,'Raw Flow Data'!$1:$1,0))=-999,"",INDEX('Raw Flow Data'!$A:$ZZ,$K$5+ROW()-26+$D$10,MATCH($B$10,'Raw Flow Data'!$1:$1,0))*$C$10))),"")</f>
        <v/>
      </c>
      <c r="J121" s="26">
        <f>IFERROR(IF($B$11="","",IF($K$5+ROW()-26&gt;$K$6,"",IF(INDEX('Raw Flow Data'!$A:$ZZ,$K$5+ROW()-26+$D$11,MATCH($B$11,'Raw Flow Data'!$1:$1,0))=-999,"",INDEX('Raw Flow Data'!$A:$ZZ,$K$5+ROW()-26+$D$11,MATCH($B$11,'Raw Flow Data'!$1:$1,0))*$C$11))),"")</f>
        <v/>
      </c>
      <c r="K121" s="26">
        <f>IFERROR(IF($B$12="","",IF($K$5+ROW()-26&gt;$K$6,"",IF(INDEX('Raw Flow Data'!$A:$ZZ,$K$5+ROW()-26+$D$12,MATCH($B$12,'Raw Flow Data'!$1:$1,0))=-999,"",INDEX('Raw Flow Data'!$A:$ZZ,$K$5+ROW()-26+$D$12,MATCH($B$12,'Raw Flow Data'!$1:$1,0))*$C$12))),"")</f>
        <v/>
      </c>
      <c r="L121" s="26">
        <f>IFERROR(IF($F$3="","",IF($K$5+ROW()-26&gt;$K$6,"",IF(INDEX('Raw Pressure Data'!$A:$ZZ,$K$5+ROW()-26+$H$3,MATCH($F$3,'Raw Pressure Data'!$1:$1,0))=-999,"",INDEX('Raw Pressure Data'!$A:$ZZ,$K$5+ROW()-26+$H$3,MATCH($F$3,'Raw Pressure Data'!$1:$1,0))+$G$3))),"")</f>
        <v/>
      </c>
      <c r="M121" s="26">
        <f>IFERROR(IF($F$4="","",IF($K$5+ROW()-26&gt;$K$6,"",IF(INDEX('Raw Pressure Data'!$A:$ZZ,$K$5+ROW()-26+$H$4,MATCH($F$4,'Raw Pressure Data'!$1:$1,0))=-999,"",INDEX('Raw Pressure Data'!$A:$ZZ,$K$5+ROW()-26+$H$4,MATCH($F$4,'Raw Pressure Data'!$1:$1,0))+$G$4))),"")</f>
        <v/>
      </c>
      <c r="N121" s="26">
        <f>IFERROR(IF($F$5="","",IF($K$5+ROW()-26&gt;$K$6,"",IF(INDEX('Raw Pressure Data'!$A:$ZZ,$K$5+ROW()-26+$H$5,MATCH($F$5,'Raw Pressure Data'!$1:$1,0))=-999,"",INDEX('Raw Pressure Data'!$A:$ZZ,$K$5+ROW()-26+$H$5,MATCH($F$5,'Raw Pressure Data'!$1:$1,0))+$G$5))),"")</f>
        <v/>
      </c>
      <c r="O121" s="26">
        <f>IFERROR(IF($F$6="","",IF($K$5+ROW()-26&gt;$K$6,"",IF(INDEX('Raw Pressure Data'!$A:$ZZ,$K$5+ROW()-26+$H$6,MATCH($F$6,'Raw Pressure Data'!$1:$1,0))=-999,"",INDEX('Raw Pressure Data'!$A:$ZZ,$K$5+ROW()-26+$H$6,MATCH($F$6,'Raw Pressure Data'!$1:$1,0))+$G$6))),"")</f>
        <v/>
      </c>
      <c r="P121" s="26">
        <f>IFERROR(IF($F$7="","",IF($K$5+ROW()-26&gt;$K$6,"",IF(INDEX('Raw Pressure Data'!$A:$ZZ,$K$5+ROW()-26+$H$7,MATCH($F$7,'Raw Pressure Data'!$1:$1,0))=-999,"",INDEX('Raw Pressure Data'!$A:$ZZ,$K$5+ROW()-26+$H$7,MATCH($F$7,'Raw Pressure Data'!$1:$1,0))+$G$7))),"")</f>
        <v/>
      </c>
      <c r="Q121" s="26">
        <f>IFERROR(IF($F$8="","",IF($K$5+ROW()-26&gt;$K$6,"",IF(INDEX('Raw Pressure Data'!$A:$ZZ,$K$5+ROW()-26+$H$8,MATCH($F$8,'Raw Pressure Data'!$1:$1,0))=-999,"",INDEX('Raw Pressure Data'!$A:$ZZ,$K$5+ROW()-26+$H$8,MATCH($F$8,'Raw Pressure Data'!$1:$1,0))+$G$8))),"")</f>
        <v/>
      </c>
      <c r="R121" s="26">
        <f>IFERROR(IF($F$9="","",IF($K$5+ROW()-26&gt;$K$6,"",IF(INDEX('Raw Pressure Data'!$A:$ZZ,$K$5+ROW()-26+$H$9,MATCH($F$9,'Raw Pressure Data'!$1:$1,0))=-999,"",INDEX('Raw Pressure Data'!$A:$ZZ,$K$5+ROW()-26+$H$9,MATCH($F$9,'Raw Pressure Data'!$1:$1,0))+$G$9))),"")</f>
        <v/>
      </c>
      <c r="S121" s="26">
        <f>IFERROR(IF($F$10="","",IF($K$5+ROW()-26&gt;$K$6,"",IF(INDEX('Raw Pressure Data'!$A:$ZZ,$K$5+ROW()-26+$H$10,MATCH($F$10,'Raw Pressure Data'!$1:$1,0))=-999,"",INDEX('Raw Pressure Data'!$A:$ZZ,$K$5+ROW()-26+$H$10,MATCH($F$10,'Raw Pressure Data'!$1:$1,0))+$G$10))),"")</f>
        <v/>
      </c>
      <c r="T121" s="26">
        <f>IFERROR(IF($F$11="","",IF($K$5+ROW()-26&gt;$K$6,"",IF(INDEX('Raw Pressure Data'!$A:$ZZ,$K$5+ROW()-26+$H$11,MATCH($F$11,'Raw Pressure Data'!$1:$1,0))=-999,"",INDEX('Raw Pressure Data'!$A:$ZZ,$K$5+ROW()-26+$H$11,MATCH($F$11,'Raw Pressure Data'!$1:$1,0))+$G$11))),"")</f>
        <v/>
      </c>
      <c r="U121" s="26">
        <f>IFERROR(IF($F$12="","",IF($K$5+ROW()-26&gt;$K$6,"",IF(INDEX('Raw Pressure Data'!$A:$ZZ,$K$5+ROW()-26+$H$12,MATCH($F$12,'Raw Pressure Data'!$1:$1,0))=-999,"",INDEX('Raw Pressure Data'!$A:$ZZ,$K$5+ROW()-26+$H$12,MATCH($F$12,'Raw Pressure Data'!$1:$1,0))+$G$12))),"")</f>
        <v/>
      </c>
      <c r="V121" s="26">
        <f>IFERROR(IF($F$13="","",IF($K$5+ROW()-26&gt;$K$6,"",IF(INDEX('Raw Pressure Data'!$A:$ZZ,$K$5+ROW()-26+$H$13,MATCH($F$13,'Raw Pressure Data'!$1:$1,0))=-999,"",INDEX('Raw Pressure Data'!$A:$ZZ,$K$5+ROW()-26+$H$13,MATCH($F$13,'Raw Pressure Data'!$1:$1,0))+$G$13))),"")</f>
        <v/>
      </c>
      <c r="W121" s="26">
        <f>IFERROR(IF($F$14="","",IF($K$5+ROW()-26&gt;$K$6,"",IF(INDEX('Raw Pressure Data'!$A:$ZZ,$K$5+ROW()-26+$H$14,MATCH($F$14,'Raw Pressure Data'!$1:$1,0))=-999,"",INDEX('Raw Pressure Data'!$A:$ZZ,$K$5+ROW()-26+$H$14,MATCH($F$14,'Raw Pressure Data'!$1:$1,0))+$G$14))),"")</f>
        <v/>
      </c>
      <c r="X121" s="26">
        <f>IFERROR(IF($F$15="","",IF($K$5+ROW()-26&gt;$K$6,"",IF(INDEX('Raw Pressure Data'!$A:$ZZ,$K$5+ROW()-26+$H$15,MATCH($F$15,'Raw Pressure Data'!$1:$1,0))=-999,"",INDEX('Raw Pressure Data'!$A:$ZZ,$K$5+ROW()-26+$H$15,MATCH($F$15,'Raw Pressure Data'!$1:$1,0))+$G$15))),"")</f>
        <v/>
      </c>
      <c r="Y121" s="26">
        <f>IFERROR(IF($F$16="","",IF($K$5+ROW()-26&gt;$K$6,"",IF(INDEX('Raw Pressure Data'!$A:$ZZ,$K$5+ROW()-26+$H$16,MATCH($F$16,'Raw Pressure Data'!$1:$1,0))=-999,"",INDEX('Raw Pressure Data'!$A:$ZZ,$K$5+ROW()-26+$H$16,MATCH($F$16,'Raw Pressure Data'!$1:$1,0))+$G$16))),"")</f>
        <v/>
      </c>
      <c r="Z121" s="26">
        <f>IFERROR(IF($F$17="","",IF($K$5+ROW()-26&gt;$K$6,"",IF(INDEX('Raw Pressure Data'!$A:$ZZ,$K$5+ROW()-26+$H$17,MATCH($F$17,'Raw Pressure Data'!$1:$1,0))=-999,"",INDEX('Raw Pressure Data'!$A:$ZZ,$K$5+ROW()-26+$H$17,MATCH($F$17,'Raw Pressure Data'!$1:$1,0))+$G$17))),"")</f>
        <v/>
      </c>
      <c r="AA121" s="26">
        <f>IFERROR(IF($F$18="","",IF($K$5+ROW()-26&gt;$K$6,"",IF(INDEX('Raw Pressure Data'!$A:$ZZ,$K$5+ROW()-26+$H$18,MATCH($F$18,'Raw Pressure Data'!$1:$1,0))=-999,"",INDEX('Raw Pressure Data'!$A:$ZZ,$K$5+ROW()-26+$H$18,MATCH($F$18,'Raw Pressure Data'!$1:$1,0))+$G$18))),"")</f>
        <v/>
      </c>
      <c r="AB121" s="26">
        <f>IFERROR(IF($F$19="","",IF($K$5+ROW()-26&gt;$K$6,"",IF(INDEX('Raw Pressure Data'!$A:$ZZ,$K$5+ROW()-26+$H$19,MATCH($F$19,'Raw Pressure Data'!$1:$1,0))=-999,"",INDEX('Raw Pressure Data'!$A:$ZZ,$K$5+ROW()-26+$H$19,MATCH($F$19,'Raw Pressure Data'!$1:$1,0))+$G$19))),"")</f>
        <v/>
      </c>
      <c r="AC121" s="26">
        <f>IFERROR(IF($F$20="","",IF($K$5+ROW()-26&gt;$K$6,"",IF(INDEX('Raw Pressure Data'!$A:$ZZ,$K$5+ROW()-26+$H$20,MATCH($F$20,'Raw Pressure Data'!$1:$1,0))=-999,"",INDEX('Raw Pressure Data'!$A:$ZZ,$K$5+ROW()-26+$H$20,MATCH($F$20,'Raw Pressure Data'!$1:$1,0))+$G$20))),"")</f>
        <v/>
      </c>
      <c r="AD121" s="26">
        <f>IFERROR(IF($F$21="","",IF($K$5+ROW()-26&gt;$K$6,"",IF(INDEX('Raw Pressure Data'!$A:$ZZ,$K$5+ROW()-26+$H$21,MATCH($F$21,'Raw Pressure Data'!$1:$1,0))=-999,"",INDEX('Raw Pressure Data'!$A:$ZZ,$K$5+ROW()-26+$H$21,MATCH($F$21,'Raw Pressure Data'!$1:$1,0))+$G$21))),"")</f>
        <v/>
      </c>
      <c r="AE121" s="26">
        <f>IFERROR(IF($F$22="","",IF($K$5+ROW()-26&gt;$K$6,"",IF(INDEX('Raw Pressure Data'!$A:$ZZ,$K$5+ROW()-26+$H$22,MATCH($F$22,'Raw Pressure Data'!$1:$1,0))=-999,"",INDEX('Raw Pressure Data'!$A:$ZZ,$K$5+ROW()-26+$H$22,MATCH($F$22,'Raw Pressure Data'!$1:$1,0))+$G$22))),"")</f>
        <v/>
      </c>
    </row>
    <row r="122" ht="15" customHeight="1">
      <c r="A122" s="23">
        <f>IFERROR(IF($K$5+ROW()-26&gt;$K$6,"",IF(INDEX('Raw Flow Data'!$A:$A,$K$5+ROW()-26)="","",INDEX('Raw Flow Data'!$A:$A,$K$5+ROW()-26))),"")</f>
        <v/>
      </c>
      <c r="B122" s="24">
        <f>IFERROR(IF($B$3="","",IF($K$5+ROW()-26&gt;$K$6,"",IF(INDEX('Raw Flow Data'!$A:$ZZ,$K$5+ROW()-26+$D$3,MATCH($B$3,'Raw Flow Data'!$1:$1,0))=-999,"",INDEX('Raw Flow Data'!$A:$ZZ,$K$5+ROW()-26+$D$3,MATCH($B$3,'Raw Flow Data'!$1:$1,0))*$C$3))),"")</f>
        <v/>
      </c>
      <c r="C122" s="24">
        <f>IFERROR(IF($B$4="","",IF($K$5+ROW()-26&gt;$K$6,"",IF(INDEX('Raw Flow Data'!$A:$ZZ,$K$5+ROW()-26+$D$4,MATCH($B$4,'Raw Flow Data'!$1:$1,0))=-999,"",INDEX('Raw Flow Data'!$A:$ZZ,$K$5+ROW()-26+$D$4,MATCH($B$4,'Raw Flow Data'!$1:$1,0))*$C$4))),"")</f>
        <v/>
      </c>
      <c r="D122" s="24">
        <f>IFERROR(IF($B$5="","",IF($K$5+ROW()-26&gt;$K$6,"",IF(INDEX('Raw Flow Data'!$A:$ZZ,$K$5+ROW()-26+$D$5,MATCH($B$5,'Raw Flow Data'!$1:$1,0))=-999,"",INDEX('Raw Flow Data'!$A:$ZZ,$K$5+ROW()-26+$D$5,MATCH($B$5,'Raw Flow Data'!$1:$1,0))*$C$5))),"")</f>
        <v/>
      </c>
      <c r="E122" s="24">
        <f>IFERROR(IF($B$6="","",IF($K$5+ROW()-26&gt;$K$6,"",IF(INDEX('Raw Flow Data'!$A:$ZZ,$K$5+ROW()-26+$D$6,MATCH($B$6,'Raw Flow Data'!$1:$1,0))=-999,"",INDEX('Raw Flow Data'!$A:$ZZ,$K$5+ROW()-26+$D$6,MATCH($B$6,'Raw Flow Data'!$1:$1,0))*$C$6))),"")</f>
        <v/>
      </c>
      <c r="F122" s="24">
        <f>IFERROR(IF($B$7="","",IF($K$5+ROW()-26&gt;$K$6,"",IF(INDEX('Raw Flow Data'!$A:$ZZ,$K$5+ROW()-26+$D$7,MATCH($B$7,'Raw Flow Data'!$1:$1,0))=-999,"",INDEX('Raw Flow Data'!$A:$ZZ,$K$5+ROW()-26+$D$7,MATCH($B$7,'Raw Flow Data'!$1:$1,0))*$C$7))),"")</f>
        <v/>
      </c>
      <c r="G122" s="24">
        <f>IFERROR(IF($B$8="","",IF($K$5+ROW()-26&gt;$K$6,"",IF(INDEX('Raw Flow Data'!$A:$ZZ,$K$5+ROW()-26+$D$8,MATCH($B$8,'Raw Flow Data'!$1:$1,0))=-999,"",INDEX('Raw Flow Data'!$A:$ZZ,$K$5+ROW()-26+$D$8,MATCH($B$8,'Raw Flow Data'!$1:$1,0))*$C$8))),"")</f>
        <v/>
      </c>
      <c r="H122" s="24">
        <f>IFERROR(IF($B$9="","",IF($K$5+ROW()-26&gt;$K$6,"",IF(INDEX('Raw Flow Data'!$A:$ZZ,$K$5+ROW()-26+$D$9,MATCH($B$9,'Raw Flow Data'!$1:$1,0))=-999,"",INDEX('Raw Flow Data'!$A:$ZZ,$K$5+ROW()-26+$D$9,MATCH($B$9,'Raw Flow Data'!$1:$1,0))*$C$9))),"")</f>
        <v/>
      </c>
      <c r="I122" s="24">
        <f>IFERROR(IF($B$10="","",IF($K$5+ROW()-26&gt;$K$6,"",IF(INDEX('Raw Flow Data'!$A:$ZZ,$K$5+ROW()-26+$D$10,MATCH($B$10,'Raw Flow Data'!$1:$1,0))=-999,"",INDEX('Raw Flow Data'!$A:$ZZ,$K$5+ROW()-26+$D$10,MATCH($B$10,'Raw Flow Data'!$1:$1,0))*$C$10))),"")</f>
        <v/>
      </c>
      <c r="J122" s="24">
        <f>IFERROR(IF($B$11="","",IF($K$5+ROW()-26&gt;$K$6,"",IF(INDEX('Raw Flow Data'!$A:$ZZ,$K$5+ROW()-26+$D$11,MATCH($B$11,'Raw Flow Data'!$1:$1,0))=-999,"",INDEX('Raw Flow Data'!$A:$ZZ,$K$5+ROW()-26+$D$11,MATCH($B$11,'Raw Flow Data'!$1:$1,0))*$C$11))),"")</f>
        <v/>
      </c>
      <c r="K122" s="24">
        <f>IFERROR(IF($B$12="","",IF($K$5+ROW()-26&gt;$K$6,"",IF(INDEX('Raw Flow Data'!$A:$ZZ,$K$5+ROW()-26+$D$12,MATCH($B$12,'Raw Flow Data'!$1:$1,0))=-999,"",INDEX('Raw Flow Data'!$A:$ZZ,$K$5+ROW()-26+$D$12,MATCH($B$12,'Raw Flow Data'!$1:$1,0))*$C$12))),"")</f>
        <v/>
      </c>
      <c r="L122" s="24">
        <f>IFERROR(IF($F$3="","",IF($K$5+ROW()-26&gt;$K$6,"",IF(INDEX('Raw Pressure Data'!$A:$ZZ,$K$5+ROW()-26+$H$3,MATCH($F$3,'Raw Pressure Data'!$1:$1,0))=-999,"",INDEX('Raw Pressure Data'!$A:$ZZ,$K$5+ROW()-26+$H$3,MATCH($F$3,'Raw Pressure Data'!$1:$1,0))+$G$3))),"")</f>
        <v/>
      </c>
      <c r="M122" s="24">
        <f>IFERROR(IF($F$4="","",IF($K$5+ROW()-26&gt;$K$6,"",IF(INDEX('Raw Pressure Data'!$A:$ZZ,$K$5+ROW()-26+$H$4,MATCH($F$4,'Raw Pressure Data'!$1:$1,0))=-999,"",INDEX('Raw Pressure Data'!$A:$ZZ,$K$5+ROW()-26+$H$4,MATCH($F$4,'Raw Pressure Data'!$1:$1,0))+$G$4))),"")</f>
        <v/>
      </c>
      <c r="N122" s="24">
        <f>IFERROR(IF($F$5="","",IF($K$5+ROW()-26&gt;$K$6,"",IF(INDEX('Raw Pressure Data'!$A:$ZZ,$K$5+ROW()-26+$H$5,MATCH($F$5,'Raw Pressure Data'!$1:$1,0))=-999,"",INDEX('Raw Pressure Data'!$A:$ZZ,$K$5+ROW()-26+$H$5,MATCH($F$5,'Raw Pressure Data'!$1:$1,0))+$G$5))),"")</f>
        <v/>
      </c>
      <c r="O122" s="24">
        <f>IFERROR(IF($F$6="","",IF($K$5+ROW()-26&gt;$K$6,"",IF(INDEX('Raw Pressure Data'!$A:$ZZ,$K$5+ROW()-26+$H$6,MATCH($F$6,'Raw Pressure Data'!$1:$1,0))=-999,"",INDEX('Raw Pressure Data'!$A:$ZZ,$K$5+ROW()-26+$H$6,MATCH($F$6,'Raw Pressure Data'!$1:$1,0))+$G$6))),"")</f>
        <v/>
      </c>
      <c r="P122" s="24">
        <f>IFERROR(IF($F$7="","",IF($K$5+ROW()-26&gt;$K$6,"",IF(INDEX('Raw Pressure Data'!$A:$ZZ,$K$5+ROW()-26+$H$7,MATCH($F$7,'Raw Pressure Data'!$1:$1,0))=-999,"",INDEX('Raw Pressure Data'!$A:$ZZ,$K$5+ROW()-26+$H$7,MATCH($F$7,'Raw Pressure Data'!$1:$1,0))+$G$7))),"")</f>
        <v/>
      </c>
      <c r="Q122" s="24">
        <f>IFERROR(IF($F$8="","",IF($K$5+ROW()-26&gt;$K$6,"",IF(INDEX('Raw Pressure Data'!$A:$ZZ,$K$5+ROW()-26+$H$8,MATCH($F$8,'Raw Pressure Data'!$1:$1,0))=-999,"",INDEX('Raw Pressure Data'!$A:$ZZ,$K$5+ROW()-26+$H$8,MATCH($F$8,'Raw Pressure Data'!$1:$1,0))+$G$8))),"")</f>
        <v/>
      </c>
      <c r="R122" s="24">
        <f>IFERROR(IF($F$9="","",IF($K$5+ROW()-26&gt;$K$6,"",IF(INDEX('Raw Pressure Data'!$A:$ZZ,$K$5+ROW()-26+$H$9,MATCH($F$9,'Raw Pressure Data'!$1:$1,0))=-999,"",INDEX('Raw Pressure Data'!$A:$ZZ,$K$5+ROW()-26+$H$9,MATCH($F$9,'Raw Pressure Data'!$1:$1,0))+$G$9))),"")</f>
        <v/>
      </c>
      <c r="S122" s="24">
        <f>IFERROR(IF($F$10="","",IF($K$5+ROW()-26&gt;$K$6,"",IF(INDEX('Raw Pressure Data'!$A:$ZZ,$K$5+ROW()-26+$H$10,MATCH($F$10,'Raw Pressure Data'!$1:$1,0))=-999,"",INDEX('Raw Pressure Data'!$A:$ZZ,$K$5+ROW()-26+$H$10,MATCH($F$10,'Raw Pressure Data'!$1:$1,0))+$G$10))),"")</f>
        <v/>
      </c>
      <c r="T122" s="24">
        <f>IFERROR(IF($F$11="","",IF($K$5+ROW()-26&gt;$K$6,"",IF(INDEX('Raw Pressure Data'!$A:$ZZ,$K$5+ROW()-26+$H$11,MATCH($F$11,'Raw Pressure Data'!$1:$1,0))=-999,"",INDEX('Raw Pressure Data'!$A:$ZZ,$K$5+ROW()-26+$H$11,MATCH($F$11,'Raw Pressure Data'!$1:$1,0))+$G$11))),"")</f>
        <v/>
      </c>
      <c r="U122" s="24">
        <f>IFERROR(IF($F$12="","",IF($K$5+ROW()-26&gt;$K$6,"",IF(INDEX('Raw Pressure Data'!$A:$ZZ,$K$5+ROW()-26+$H$12,MATCH($F$12,'Raw Pressure Data'!$1:$1,0))=-999,"",INDEX('Raw Pressure Data'!$A:$ZZ,$K$5+ROW()-26+$H$12,MATCH($F$12,'Raw Pressure Data'!$1:$1,0))+$G$12))),"")</f>
        <v/>
      </c>
      <c r="V122" s="24">
        <f>IFERROR(IF($F$13="","",IF($K$5+ROW()-26&gt;$K$6,"",IF(INDEX('Raw Pressure Data'!$A:$ZZ,$K$5+ROW()-26+$H$13,MATCH($F$13,'Raw Pressure Data'!$1:$1,0))=-999,"",INDEX('Raw Pressure Data'!$A:$ZZ,$K$5+ROW()-26+$H$13,MATCH($F$13,'Raw Pressure Data'!$1:$1,0))+$G$13))),"")</f>
        <v/>
      </c>
      <c r="W122" s="24">
        <f>IFERROR(IF($F$14="","",IF($K$5+ROW()-26&gt;$K$6,"",IF(INDEX('Raw Pressure Data'!$A:$ZZ,$K$5+ROW()-26+$H$14,MATCH($F$14,'Raw Pressure Data'!$1:$1,0))=-999,"",INDEX('Raw Pressure Data'!$A:$ZZ,$K$5+ROW()-26+$H$14,MATCH($F$14,'Raw Pressure Data'!$1:$1,0))+$G$14))),"")</f>
        <v/>
      </c>
      <c r="X122" s="24">
        <f>IFERROR(IF($F$15="","",IF($K$5+ROW()-26&gt;$K$6,"",IF(INDEX('Raw Pressure Data'!$A:$ZZ,$K$5+ROW()-26+$H$15,MATCH($F$15,'Raw Pressure Data'!$1:$1,0))=-999,"",INDEX('Raw Pressure Data'!$A:$ZZ,$K$5+ROW()-26+$H$15,MATCH($F$15,'Raw Pressure Data'!$1:$1,0))+$G$15))),"")</f>
        <v/>
      </c>
      <c r="Y122" s="24">
        <f>IFERROR(IF($F$16="","",IF($K$5+ROW()-26&gt;$K$6,"",IF(INDEX('Raw Pressure Data'!$A:$ZZ,$K$5+ROW()-26+$H$16,MATCH($F$16,'Raw Pressure Data'!$1:$1,0))=-999,"",INDEX('Raw Pressure Data'!$A:$ZZ,$K$5+ROW()-26+$H$16,MATCH($F$16,'Raw Pressure Data'!$1:$1,0))+$G$16))),"")</f>
        <v/>
      </c>
      <c r="Z122" s="24">
        <f>IFERROR(IF($F$17="","",IF($K$5+ROW()-26&gt;$K$6,"",IF(INDEX('Raw Pressure Data'!$A:$ZZ,$K$5+ROW()-26+$H$17,MATCH($F$17,'Raw Pressure Data'!$1:$1,0))=-999,"",INDEX('Raw Pressure Data'!$A:$ZZ,$K$5+ROW()-26+$H$17,MATCH($F$17,'Raw Pressure Data'!$1:$1,0))+$G$17))),"")</f>
        <v/>
      </c>
      <c r="AA122" s="24">
        <f>IFERROR(IF($F$18="","",IF($K$5+ROW()-26&gt;$K$6,"",IF(INDEX('Raw Pressure Data'!$A:$ZZ,$K$5+ROW()-26+$H$18,MATCH($F$18,'Raw Pressure Data'!$1:$1,0))=-999,"",INDEX('Raw Pressure Data'!$A:$ZZ,$K$5+ROW()-26+$H$18,MATCH($F$18,'Raw Pressure Data'!$1:$1,0))+$G$18))),"")</f>
        <v/>
      </c>
      <c r="AB122" s="24">
        <f>IFERROR(IF($F$19="","",IF($K$5+ROW()-26&gt;$K$6,"",IF(INDEX('Raw Pressure Data'!$A:$ZZ,$K$5+ROW()-26+$H$19,MATCH($F$19,'Raw Pressure Data'!$1:$1,0))=-999,"",INDEX('Raw Pressure Data'!$A:$ZZ,$K$5+ROW()-26+$H$19,MATCH($F$19,'Raw Pressure Data'!$1:$1,0))+$G$19))),"")</f>
        <v/>
      </c>
      <c r="AC122" s="24">
        <f>IFERROR(IF($F$20="","",IF($K$5+ROW()-26&gt;$K$6,"",IF(INDEX('Raw Pressure Data'!$A:$ZZ,$K$5+ROW()-26+$H$20,MATCH($F$20,'Raw Pressure Data'!$1:$1,0))=-999,"",INDEX('Raw Pressure Data'!$A:$ZZ,$K$5+ROW()-26+$H$20,MATCH($F$20,'Raw Pressure Data'!$1:$1,0))+$G$20))),"")</f>
        <v/>
      </c>
      <c r="AD122" s="24">
        <f>IFERROR(IF($F$21="","",IF($K$5+ROW()-26&gt;$K$6,"",IF(INDEX('Raw Pressure Data'!$A:$ZZ,$K$5+ROW()-26+$H$21,MATCH($F$21,'Raw Pressure Data'!$1:$1,0))=-999,"",INDEX('Raw Pressure Data'!$A:$ZZ,$K$5+ROW()-26+$H$21,MATCH($F$21,'Raw Pressure Data'!$1:$1,0))+$G$21))),"")</f>
        <v/>
      </c>
      <c r="AE122" s="24">
        <f>IFERROR(IF($F$22="","",IF($K$5+ROW()-26&gt;$K$6,"",IF(INDEX('Raw Pressure Data'!$A:$ZZ,$K$5+ROW()-26+$H$22,MATCH($F$22,'Raw Pressure Data'!$1:$1,0))=-999,"",INDEX('Raw Pressure Data'!$A:$ZZ,$K$5+ROW()-26+$H$22,MATCH($F$22,'Raw Pressure Data'!$1:$1,0))+$G$22))),"")</f>
        <v/>
      </c>
    </row>
    <row r="123" ht="15" customHeight="1">
      <c r="A123" s="25">
        <f>IFERROR(IF($K$5+ROW()-26&gt;$K$6,"",IF(INDEX('Raw Flow Data'!$A:$A,$K$5+ROW()-26)="","",INDEX('Raw Flow Data'!$A:$A,$K$5+ROW()-26))),"")</f>
        <v/>
      </c>
      <c r="B123" s="26">
        <f>IFERROR(IF($B$3="","",IF($K$5+ROW()-26&gt;$K$6,"",IF(INDEX('Raw Flow Data'!$A:$ZZ,$K$5+ROW()-26+$D$3,MATCH($B$3,'Raw Flow Data'!$1:$1,0))=-999,"",INDEX('Raw Flow Data'!$A:$ZZ,$K$5+ROW()-26+$D$3,MATCH($B$3,'Raw Flow Data'!$1:$1,0))*$C$3))),"")</f>
        <v/>
      </c>
      <c r="C123" s="26">
        <f>IFERROR(IF($B$4="","",IF($K$5+ROW()-26&gt;$K$6,"",IF(INDEX('Raw Flow Data'!$A:$ZZ,$K$5+ROW()-26+$D$4,MATCH($B$4,'Raw Flow Data'!$1:$1,0))=-999,"",INDEX('Raw Flow Data'!$A:$ZZ,$K$5+ROW()-26+$D$4,MATCH($B$4,'Raw Flow Data'!$1:$1,0))*$C$4))),"")</f>
        <v/>
      </c>
      <c r="D123" s="26">
        <f>IFERROR(IF($B$5="","",IF($K$5+ROW()-26&gt;$K$6,"",IF(INDEX('Raw Flow Data'!$A:$ZZ,$K$5+ROW()-26+$D$5,MATCH($B$5,'Raw Flow Data'!$1:$1,0))=-999,"",INDEX('Raw Flow Data'!$A:$ZZ,$K$5+ROW()-26+$D$5,MATCH($B$5,'Raw Flow Data'!$1:$1,0))*$C$5))),"")</f>
        <v/>
      </c>
      <c r="E123" s="26">
        <f>IFERROR(IF($B$6="","",IF($K$5+ROW()-26&gt;$K$6,"",IF(INDEX('Raw Flow Data'!$A:$ZZ,$K$5+ROW()-26+$D$6,MATCH($B$6,'Raw Flow Data'!$1:$1,0))=-999,"",INDEX('Raw Flow Data'!$A:$ZZ,$K$5+ROW()-26+$D$6,MATCH($B$6,'Raw Flow Data'!$1:$1,0))*$C$6))),"")</f>
        <v/>
      </c>
      <c r="F123" s="26">
        <f>IFERROR(IF($B$7="","",IF($K$5+ROW()-26&gt;$K$6,"",IF(INDEX('Raw Flow Data'!$A:$ZZ,$K$5+ROW()-26+$D$7,MATCH($B$7,'Raw Flow Data'!$1:$1,0))=-999,"",INDEX('Raw Flow Data'!$A:$ZZ,$K$5+ROW()-26+$D$7,MATCH($B$7,'Raw Flow Data'!$1:$1,0))*$C$7))),"")</f>
        <v/>
      </c>
      <c r="G123" s="26">
        <f>IFERROR(IF($B$8="","",IF($K$5+ROW()-26&gt;$K$6,"",IF(INDEX('Raw Flow Data'!$A:$ZZ,$K$5+ROW()-26+$D$8,MATCH($B$8,'Raw Flow Data'!$1:$1,0))=-999,"",INDEX('Raw Flow Data'!$A:$ZZ,$K$5+ROW()-26+$D$8,MATCH($B$8,'Raw Flow Data'!$1:$1,0))*$C$8))),"")</f>
        <v/>
      </c>
      <c r="H123" s="26">
        <f>IFERROR(IF($B$9="","",IF($K$5+ROW()-26&gt;$K$6,"",IF(INDEX('Raw Flow Data'!$A:$ZZ,$K$5+ROW()-26+$D$9,MATCH($B$9,'Raw Flow Data'!$1:$1,0))=-999,"",INDEX('Raw Flow Data'!$A:$ZZ,$K$5+ROW()-26+$D$9,MATCH($B$9,'Raw Flow Data'!$1:$1,0))*$C$9))),"")</f>
        <v/>
      </c>
      <c r="I123" s="26">
        <f>IFERROR(IF($B$10="","",IF($K$5+ROW()-26&gt;$K$6,"",IF(INDEX('Raw Flow Data'!$A:$ZZ,$K$5+ROW()-26+$D$10,MATCH($B$10,'Raw Flow Data'!$1:$1,0))=-999,"",INDEX('Raw Flow Data'!$A:$ZZ,$K$5+ROW()-26+$D$10,MATCH($B$10,'Raw Flow Data'!$1:$1,0))*$C$10))),"")</f>
        <v/>
      </c>
      <c r="J123" s="26">
        <f>IFERROR(IF($B$11="","",IF($K$5+ROW()-26&gt;$K$6,"",IF(INDEX('Raw Flow Data'!$A:$ZZ,$K$5+ROW()-26+$D$11,MATCH($B$11,'Raw Flow Data'!$1:$1,0))=-999,"",INDEX('Raw Flow Data'!$A:$ZZ,$K$5+ROW()-26+$D$11,MATCH($B$11,'Raw Flow Data'!$1:$1,0))*$C$11))),"")</f>
        <v/>
      </c>
      <c r="K123" s="26">
        <f>IFERROR(IF($B$12="","",IF($K$5+ROW()-26&gt;$K$6,"",IF(INDEX('Raw Flow Data'!$A:$ZZ,$K$5+ROW()-26+$D$12,MATCH($B$12,'Raw Flow Data'!$1:$1,0))=-999,"",INDEX('Raw Flow Data'!$A:$ZZ,$K$5+ROW()-26+$D$12,MATCH($B$12,'Raw Flow Data'!$1:$1,0))*$C$12))),"")</f>
        <v/>
      </c>
      <c r="L123" s="26">
        <f>IFERROR(IF($F$3="","",IF($K$5+ROW()-26&gt;$K$6,"",IF(INDEX('Raw Pressure Data'!$A:$ZZ,$K$5+ROW()-26+$H$3,MATCH($F$3,'Raw Pressure Data'!$1:$1,0))=-999,"",INDEX('Raw Pressure Data'!$A:$ZZ,$K$5+ROW()-26+$H$3,MATCH($F$3,'Raw Pressure Data'!$1:$1,0))+$G$3))),"")</f>
        <v/>
      </c>
      <c r="M123" s="26">
        <f>IFERROR(IF($F$4="","",IF($K$5+ROW()-26&gt;$K$6,"",IF(INDEX('Raw Pressure Data'!$A:$ZZ,$K$5+ROW()-26+$H$4,MATCH($F$4,'Raw Pressure Data'!$1:$1,0))=-999,"",INDEX('Raw Pressure Data'!$A:$ZZ,$K$5+ROW()-26+$H$4,MATCH($F$4,'Raw Pressure Data'!$1:$1,0))+$G$4))),"")</f>
        <v/>
      </c>
      <c r="N123" s="26">
        <f>IFERROR(IF($F$5="","",IF($K$5+ROW()-26&gt;$K$6,"",IF(INDEX('Raw Pressure Data'!$A:$ZZ,$K$5+ROW()-26+$H$5,MATCH($F$5,'Raw Pressure Data'!$1:$1,0))=-999,"",INDEX('Raw Pressure Data'!$A:$ZZ,$K$5+ROW()-26+$H$5,MATCH($F$5,'Raw Pressure Data'!$1:$1,0))+$G$5))),"")</f>
        <v/>
      </c>
      <c r="O123" s="26">
        <f>IFERROR(IF($F$6="","",IF($K$5+ROW()-26&gt;$K$6,"",IF(INDEX('Raw Pressure Data'!$A:$ZZ,$K$5+ROW()-26+$H$6,MATCH($F$6,'Raw Pressure Data'!$1:$1,0))=-999,"",INDEX('Raw Pressure Data'!$A:$ZZ,$K$5+ROW()-26+$H$6,MATCH($F$6,'Raw Pressure Data'!$1:$1,0))+$G$6))),"")</f>
        <v/>
      </c>
      <c r="P123" s="26">
        <f>IFERROR(IF($F$7="","",IF($K$5+ROW()-26&gt;$K$6,"",IF(INDEX('Raw Pressure Data'!$A:$ZZ,$K$5+ROW()-26+$H$7,MATCH($F$7,'Raw Pressure Data'!$1:$1,0))=-999,"",INDEX('Raw Pressure Data'!$A:$ZZ,$K$5+ROW()-26+$H$7,MATCH($F$7,'Raw Pressure Data'!$1:$1,0))+$G$7))),"")</f>
        <v/>
      </c>
      <c r="Q123" s="26">
        <f>IFERROR(IF($F$8="","",IF($K$5+ROW()-26&gt;$K$6,"",IF(INDEX('Raw Pressure Data'!$A:$ZZ,$K$5+ROW()-26+$H$8,MATCH($F$8,'Raw Pressure Data'!$1:$1,0))=-999,"",INDEX('Raw Pressure Data'!$A:$ZZ,$K$5+ROW()-26+$H$8,MATCH($F$8,'Raw Pressure Data'!$1:$1,0))+$G$8))),"")</f>
        <v/>
      </c>
      <c r="R123" s="26">
        <f>IFERROR(IF($F$9="","",IF($K$5+ROW()-26&gt;$K$6,"",IF(INDEX('Raw Pressure Data'!$A:$ZZ,$K$5+ROW()-26+$H$9,MATCH($F$9,'Raw Pressure Data'!$1:$1,0))=-999,"",INDEX('Raw Pressure Data'!$A:$ZZ,$K$5+ROW()-26+$H$9,MATCH($F$9,'Raw Pressure Data'!$1:$1,0))+$G$9))),"")</f>
        <v/>
      </c>
      <c r="S123" s="26">
        <f>IFERROR(IF($F$10="","",IF($K$5+ROW()-26&gt;$K$6,"",IF(INDEX('Raw Pressure Data'!$A:$ZZ,$K$5+ROW()-26+$H$10,MATCH($F$10,'Raw Pressure Data'!$1:$1,0))=-999,"",INDEX('Raw Pressure Data'!$A:$ZZ,$K$5+ROW()-26+$H$10,MATCH($F$10,'Raw Pressure Data'!$1:$1,0))+$G$10))),"")</f>
        <v/>
      </c>
      <c r="T123" s="26">
        <f>IFERROR(IF($F$11="","",IF($K$5+ROW()-26&gt;$K$6,"",IF(INDEX('Raw Pressure Data'!$A:$ZZ,$K$5+ROW()-26+$H$11,MATCH($F$11,'Raw Pressure Data'!$1:$1,0))=-999,"",INDEX('Raw Pressure Data'!$A:$ZZ,$K$5+ROW()-26+$H$11,MATCH($F$11,'Raw Pressure Data'!$1:$1,0))+$G$11))),"")</f>
        <v/>
      </c>
      <c r="U123" s="26">
        <f>IFERROR(IF($F$12="","",IF($K$5+ROW()-26&gt;$K$6,"",IF(INDEX('Raw Pressure Data'!$A:$ZZ,$K$5+ROW()-26+$H$12,MATCH($F$12,'Raw Pressure Data'!$1:$1,0))=-999,"",INDEX('Raw Pressure Data'!$A:$ZZ,$K$5+ROW()-26+$H$12,MATCH($F$12,'Raw Pressure Data'!$1:$1,0))+$G$12))),"")</f>
        <v/>
      </c>
      <c r="V123" s="26">
        <f>IFERROR(IF($F$13="","",IF($K$5+ROW()-26&gt;$K$6,"",IF(INDEX('Raw Pressure Data'!$A:$ZZ,$K$5+ROW()-26+$H$13,MATCH($F$13,'Raw Pressure Data'!$1:$1,0))=-999,"",INDEX('Raw Pressure Data'!$A:$ZZ,$K$5+ROW()-26+$H$13,MATCH($F$13,'Raw Pressure Data'!$1:$1,0))+$G$13))),"")</f>
        <v/>
      </c>
      <c r="W123" s="26">
        <f>IFERROR(IF($F$14="","",IF($K$5+ROW()-26&gt;$K$6,"",IF(INDEX('Raw Pressure Data'!$A:$ZZ,$K$5+ROW()-26+$H$14,MATCH($F$14,'Raw Pressure Data'!$1:$1,0))=-999,"",INDEX('Raw Pressure Data'!$A:$ZZ,$K$5+ROW()-26+$H$14,MATCH($F$14,'Raw Pressure Data'!$1:$1,0))+$G$14))),"")</f>
        <v/>
      </c>
      <c r="X123" s="26">
        <f>IFERROR(IF($F$15="","",IF($K$5+ROW()-26&gt;$K$6,"",IF(INDEX('Raw Pressure Data'!$A:$ZZ,$K$5+ROW()-26+$H$15,MATCH($F$15,'Raw Pressure Data'!$1:$1,0))=-999,"",INDEX('Raw Pressure Data'!$A:$ZZ,$K$5+ROW()-26+$H$15,MATCH($F$15,'Raw Pressure Data'!$1:$1,0))+$G$15))),"")</f>
        <v/>
      </c>
      <c r="Y123" s="26">
        <f>IFERROR(IF($F$16="","",IF($K$5+ROW()-26&gt;$K$6,"",IF(INDEX('Raw Pressure Data'!$A:$ZZ,$K$5+ROW()-26+$H$16,MATCH($F$16,'Raw Pressure Data'!$1:$1,0))=-999,"",INDEX('Raw Pressure Data'!$A:$ZZ,$K$5+ROW()-26+$H$16,MATCH($F$16,'Raw Pressure Data'!$1:$1,0))+$G$16))),"")</f>
        <v/>
      </c>
      <c r="Z123" s="26">
        <f>IFERROR(IF($F$17="","",IF($K$5+ROW()-26&gt;$K$6,"",IF(INDEX('Raw Pressure Data'!$A:$ZZ,$K$5+ROW()-26+$H$17,MATCH($F$17,'Raw Pressure Data'!$1:$1,0))=-999,"",INDEX('Raw Pressure Data'!$A:$ZZ,$K$5+ROW()-26+$H$17,MATCH($F$17,'Raw Pressure Data'!$1:$1,0))+$G$17))),"")</f>
        <v/>
      </c>
      <c r="AA123" s="26">
        <f>IFERROR(IF($F$18="","",IF($K$5+ROW()-26&gt;$K$6,"",IF(INDEX('Raw Pressure Data'!$A:$ZZ,$K$5+ROW()-26+$H$18,MATCH($F$18,'Raw Pressure Data'!$1:$1,0))=-999,"",INDEX('Raw Pressure Data'!$A:$ZZ,$K$5+ROW()-26+$H$18,MATCH($F$18,'Raw Pressure Data'!$1:$1,0))+$G$18))),"")</f>
        <v/>
      </c>
      <c r="AB123" s="26">
        <f>IFERROR(IF($F$19="","",IF($K$5+ROW()-26&gt;$K$6,"",IF(INDEX('Raw Pressure Data'!$A:$ZZ,$K$5+ROW()-26+$H$19,MATCH($F$19,'Raw Pressure Data'!$1:$1,0))=-999,"",INDEX('Raw Pressure Data'!$A:$ZZ,$K$5+ROW()-26+$H$19,MATCH($F$19,'Raw Pressure Data'!$1:$1,0))+$G$19))),"")</f>
        <v/>
      </c>
      <c r="AC123" s="26">
        <f>IFERROR(IF($F$20="","",IF($K$5+ROW()-26&gt;$K$6,"",IF(INDEX('Raw Pressure Data'!$A:$ZZ,$K$5+ROW()-26+$H$20,MATCH($F$20,'Raw Pressure Data'!$1:$1,0))=-999,"",INDEX('Raw Pressure Data'!$A:$ZZ,$K$5+ROW()-26+$H$20,MATCH($F$20,'Raw Pressure Data'!$1:$1,0))+$G$20))),"")</f>
        <v/>
      </c>
      <c r="AD123" s="26">
        <f>IFERROR(IF($F$21="","",IF($K$5+ROW()-26&gt;$K$6,"",IF(INDEX('Raw Pressure Data'!$A:$ZZ,$K$5+ROW()-26+$H$21,MATCH($F$21,'Raw Pressure Data'!$1:$1,0))=-999,"",INDEX('Raw Pressure Data'!$A:$ZZ,$K$5+ROW()-26+$H$21,MATCH($F$21,'Raw Pressure Data'!$1:$1,0))+$G$21))),"")</f>
        <v/>
      </c>
      <c r="AE123" s="26">
        <f>IFERROR(IF($F$22="","",IF($K$5+ROW()-26&gt;$K$6,"",IF(INDEX('Raw Pressure Data'!$A:$ZZ,$K$5+ROW()-26+$H$22,MATCH($F$22,'Raw Pressure Data'!$1:$1,0))=-999,"",INDEX('Raw Pressure Data'!$A:$ZZ,$K$5+ROW()-26+$H$22,MATCH($F$22,'Raw Pressure Data'!$1:$1,0))+$G$22))),"")</f>
        <v/>
      </c>
    </row>
    <row r="124" ht="15" customHeight="1">
      <c r="A124" s="23">
        <f>IFERROR(IF($K$5+ROW()-26&gt;$K$6,"",IF(INDEX('Raw Flow Data'!$A:$A,$K$5+ROW()-26)="","",INDEX('Raw Flow Data'!$A:$A,$K$5+ROW()-26))),"")</f>
        <v/>
      </c>
      <c r="B124" s="24">
        <f>IFERROR(IF($B$3="","",IF($K$5+ROW()-26&gt;$K$6,"",IF(INDEX('Raw Flow Data'!$A:$ZZ,$K$5+ROW()-26+$D$3,MATCH($B$3,'Raw Flow Data'!$1:$1,0))=-999,"",INDEX('Raw Flow Data'!$A:$ZZ,$K$5+ROW()-26+$D$3,MATCH($B$3,'Raw Flow Data'!$1:$1,0))*$C$3))),"")</f>
        <v/>
      </c>
      <c r="C124" s="24">
        <f>IFERROR(IF($B$4="","",IF($K$5+ROW()-26&gt;$K$6,"",IF(INDEX('Raw Flow Data'!$A:$ZZ,$K$5+ROW()-26+$D$4,MATCH($B$4,'Raw Flow Data'!$1:$1,0))=-999,"",INDEX('Raw Flow Data'!$A:$ZZ,$K$5+ROW()-26+$D$4,MATCH($B$4,'Raw Flow Data'!$1:$1,0))*$C$4))),"")</f>
        <v/>
      </c>
      <c r="D124" s="24">
        <f>IFERROR(IF($B$5="","",IF($K$5+ROW()-26&gt;$K$6,"",IF(INDEX('Raw Flow Data'!$A:$ZZ,$K$5+ROW()-26+$D$5,MATCH($B$5,'Raw Flow Data'!$1:$1,0))=-999,"",INDEX('Raw Flow Data'!$A:$ZZ,$K$5+ROW()-26+$D$5,MATCH($B$5,'Raw Flow Data'!$1:$1,0))*$C$5))),"")</f>
        <v/>
      </c>
      <c r="E124" s="24">
        <f>IFERROR(IF($B$6="","",IF($K$5+ROW()-26&gt;$K$6,"",IF(INDEX('Raw Flow Data'!$A:$ZZ,$K$5+ROW()-26+$D$6,MATCH($B$6,'Raw Flow Data'!$1:$1,0))=-999,"",INDEX('Raw Flow Data'!$A:$ZZ,$K$5+ROW()-26+$D$6,MATCH($B$6,'Raw Flow Data'!$1:$1,0))*$C$6))),"")</f>
        <v/>
      </c>
      <c r="F124" s="24">
        <f>IFERROR(IF($B$7="","",IF($K$5+ROW()-26&gt;$K$6,"",IF(INDEX('Raw Flow Data'!$A:$ZZ,$K$5+ROW()-26+$D$7,MATCH($B$7,'Raw Flow Data'!$1:$1,0))=-999,"",INDEX('Raw Flow Data'!$A:$ZZ,$K$5+ROW()-26+$D$7,MATCH($B$7,'Raw Flow Data'!$1:$1,0))*$C$7))),"")</f>
        <v/>
      </c>
      <c r="G124" s="24">
        <f>IFERROR(IF($B$8="","",IF($K$5+ROW()-26&gt;$K$6,"",IF(INDEX('Raw Flow Data'!$A:$ZZ,$K$5+ROW()-26+$D$8,MATCH($B$8,'Raw Flow Data'!$1:$1,0))=-999,"",INDEX('Raw Flow Data'!$A:$ZZ,$K$5+ROW()-26+$D$8,MATCH($B$8,'Raw Flow Data'!$1:$1,0))*$C$8))),"")</f>
        <v/>
      </c>
      <c r="H124" s="24">
        <f>IFERROR(IF($B$9="","",IF($K$5+ROW()-26&gt;$K$6,"",IF(INDEX('Raw Flow Data'!$A:$ZZ,$K$5+ROW()-26+$D$9,MATCH($B$9,'Raw Flow Data'!$1:$1,0))=-999,"",INDEX('Raw Flow Data'!$A:$ZZ,$K$5+ROW()-26+$D$9,MATCH($B$9,'Raw Flow Data'!$1:$1,0))*$C$9))),"")</f>
        <v/>
      </c>
      <c r="I124" s="24">
        <f>IFERROR(IF($B$10="","",IF($K$5+ROW()-26&gt;$K$6,"",IF(INDEX('Raw Flow Data'!$A:$ZZ,$K$5+ROW()-26+$D$10,MATCH($B$10,'Raw Flow Data'!$1:$1,0))=-999,"",INDEX('Raw Flow Data'!$A:$ZZ,$K$5+ROW()-26+$D$10,MATCH($B$10,'Raw Flow Data'!$1:$1,0))*$C$10))),"")</f>
        <v/>
      </c>
      <c r="J124" s="24">
        <f>IFERROR(IF($B$11="","",IF($K$5+ROW()-26&gt;$K$6,"",IF(INDEX('Raw Flow Data'!$A:$ZZ,$K$5+ROW()-26+$D$11,MATCH($B$11,'Raw Flow Data'!$1:$1,0))=-999,"",INDEX('Raw Flow Data'!$A:$ZZ,$K$5+ROW()-26+$D$11,MATCH($B$11,'Raw Flow Data'!$1:$1,0))*$C$11))),"")</f>
        <v/>
      </c>
      <c r="K124" s="24">
        <f>IFERROR(IF($B$12="","",IF($K$5+ROW()-26&gt;$K$6,"",IF(INDEX('Raw Flow Data'!$A:$ZZ,$K$5+ROW()-26+$D$12,MATCH($B$12,'Raw Flow Data'!$1:$1,0))=-999,"",INDEX('Raw Flow Data'!$A:$ZZ,$K$5+ROW()-26+$D$12,MATCH($B$12,'Raw Flow Data'!$1:$1,0))*$C$12))),"")</f>
        <v/>
      </c>
      <c r="L124" s="24">
        <f>IFERROR(IF($F$3="","",IF($K$5+ROW()-26&gt;$K$6,"",IF(INDEX('Raw Pressure Data'!$A:$ZZ,$K$5+ROW()-26+$H$3,MATCH($F$3,'Raw Pressure Data'!$1:$1,0))=-999,"",INDEX('Raw Pressure Data'!$A:$ZZ,$K$5+ROW()-26+$H$3,MATCH($F$3,'Raw Pressure Data'!$1:$1,0))+$G$3))),"")</f>
        <v/>
      </c>
      <c r="M124" s="24">
        <f>IFERROR(IF($F$4="","",IF($K$5+ROW()-26&gt;$K$6,"",IF(INDEX('Raw Pressure Data'!$A:$ZZ,$K$5+ROW()-26+$H$4,MATCH($F$4,'Raw Pressure Data'!$1:$1,0))=-999,"",INDEX('Raw Pressure Data'!$A:$ZZ,$K$5+ROW()-26+$H$4,MATCH($F$4,'Raw Pressure Data'!$1:$1,0))+$G$4))),"")</f>
        <v/>
      </c>
      <c r="N124" s="24">
        <f>IFERROR(IF($F$5="","",IF($K$5+ROW()-26&gt;$K$6,"",IF(INDEX('Raw Pressure Data'!$A:$ZZ,$K$5+ROW()-26+$H$5,MATCH($F$5,'Raw Pressure Data'!$1:$1,0))=-999,"",INDEX('Raw Pressure Data'!$A:$ZZ,$K$5+ROW()-26+$H$5,MATCH($F$5,'Raw Pressure Data'!$1:$1,0))+$G$5))),"")</f>
        <v/>
      </c>
      <c r="O124" s="24">
        <f>IFERROR(IF($F$6="","",IF($K$5+ROW()-26&gt;$K$6,"",IF(INDEX('Raw Pressure Data'!$A:$ZZ,$K$5+ROW()-26+$H$6,MATCH($F$6,'Raw Pressure Data'!$1:$1,0))=-999,"",INDEX('Raw Pressure Data'!$A:$ZZ,$K$5+ROW()-26+$H$6,MATCH($F$6,'Raw Pressure Data'!$1:$1,0))+$G$6))),"")</f>
        <v/>
      </c>
      <c r="P124" s="24">
        <f>IFERROR(IF($F$7="","",IF($K$5+ROW()-26&gt;$K$6,"",IF(INDEX('Raw Pressure Data'!$A:$ZZ,$K$5+ROW()-26+$H$7,MATCH($F$7,'Raw Pressure Data'!$1:$1,0))=-999,"",INDEX('Raw Pressure Data'!$A:$ZZ,$K$5+ROW()-26+$H$7,MATCH($F$7,'Raw Pressure Data'!$1:$1,0))+$G$7))),"")</f>
        <v/>
      </c>
      <c r="Q124" s="24">
        <f>IFERROR(IF($F$8="","",IF($K$5+ROW()-26&gt;$K$6,"",IF(INDEX('Raw Pressure Data'!$A:$ZZ,$K$5+ROW()-26+$H$8,MATCH($F$8,'Raw Pressure Data'!$1:$1,0))=-999,"",INDEX('Raw Pressure Data'!$A:$ZZ,$K$5+ROW()-26+$H$8,MATCH($F$8,'Raw Pressure Data'!$1:$1,0))+$G$8))),"")</f>
        <v/>
      </c>
      <c r="R124" s="24">
        <f>IFERROR(IF($F$9="","",IF($K$5+ROW()-26&gt;$K$6,"",IF(INDEX('Raw Pressure Data'!$A:$ZZ,$K$5+ROW()-26+$H$9,MATCH($F$9,'Raw Pressure Data'!$1:$1,0))=-999,"",INDEX('Raw Pressure Data'!$A:$ZZ,$K$5+ROW()-26+$H$9,MATCH($F$9,'Raw Pressure Data'!$1:$1,0))+$G$9))),"")</f>
        <v/>
      </c>
      <c r="S124" s="24">
        <f>IFERROR(IF($F$10="","",IF($K$5+ROW()-26&gt;$K$6,"",IF(INDEX('Raw Pressure Data'!$A:$ZZ,$K$5+ROW()-26+$H$10,MATCH($F$10,'Raw Pressure Data'!$1:$1,0))=-999,"",INDEX('Raw Pressure Data'!$A:$ZZ,$K$5+ROW()-26+$H$10,MATCH($F$10,'Raw Pressure Data'!$1:$1,0))+$G$10))),"")</f>
        <v/>
      </c>
      <c r="T124" s="24">
        <f>IFERROR(IF($F$11="","",IF($K$5+ROW()-26&gt;$K$6,"",IF(INDEX('Raw Pressure Data'!$A:$ZZ,$K$5+ROW()-26+$H$11,MATCH($F$11,'Raw Pressure Data'!$1:$1,0))=-999,"",INDEX('Raw Pressure Data'!$A:$ZZ,$K$5+ROW()-26+$H$11,MATCH($F$11,'Raw Pressure Data'!$1:$1,0))+$G$11))),"")</f>
        <v/>
      </c>
      <c r="U124" s="24">
        <f>IFERROR(IF($F$12="","",IF($K$5+ROW()-26&gt;$K$6,"",IF(INDEX('Raw Pressure Data'!$A:$ZZ,$K$5+ROW()-26+$H$12,MATCH($F$12,'Raw Pressure Data'!$1:$1,0))=-999,"",INDEX('Raw Pressure Data'!$A:$ZZ,$K$5+ROW()-26+$H$12,MATCH($F$12,'Raw Pressure Data'!$1:$1,0))+$G$12))),"")</f>
        <v/>
      </c>
      <c r="V124" s="24">
        <f>IFERROR(IF($F$13="","",IF($K$5+ROW()-26&gt;$K$6,"",IF(INDEX('Raw Pressure Data'!$A:$ZZ,$K$5+ROW()-26+$H$13,MATCH($F$13,'Raw Pressure Data'!$1:$1,0))=-999,"",INDEX('Raw Pressure Data'!$A:$ZZ,$K$5+ROW()-26+$H$13,MATCH($F$13,'Raw Pressure Data'!$1:$1,0))+$G$13))),"")</f>
        <v/>
      </c>
      <c r="W124" s="24">
        <f>IFERROR(IF($F$14="","",IF($K$5+ROW()-26&gt;$K$6,"",IF(INDEX('Raw Pressure Data'!$A:$ZZ,$K$5+ROW()-26+$H$14,MATCH($F$14,'Raw Pressure Data'!$1:$1,0))=-999,"",INDEX('Raw Pressure Data'!$A:$ZZ,$K$5+ROW()-26+$H$14,MATCH($F$14,'Raw Pressure Data'!$1:$1,0))+$G$14))),"")</f>
        <v/>
      </c>
      <c r="X124" s="24">
        <f>IFERROR(IF($F$15="","",IF($K$5+ROW()-26&gt;$K$6,"",IF(INDEX('Raw Pressure Data'!$A:$ZZ,$K$5+ROW()-26+$H$15,MATCH($F$15,'Raw Pressure Data'!$1:$1,0))=-999,"",INDEX('Raw Pressure Data'!$A:$ZZ,$K$5+ROW()-26+$H$15,MATCH($F$15,'Raw Pressure Data'!$1:$1,0))+$G$15))),"")</f>
        <v/>
      </c>
      <c r="Y124" s="24">
        <f>IFERROR(IF($F$16="","",IF($K$5+ROW()-26&gt;$K$6,"",IF(INDEX('Raw Pressure Data'!$A:$ZZ,$K$5+ROW()-26+$H$16,MATCH($F$16,'Raw Pressure Data'!$1:$1,0))=-999,"",INDEX('Raw Pressure Data'!$A:$ZZ,$K$5+ROW()-26+$H$16,MATCH($F$16,'Raw Pressure Data'!$1:$1,0))+$G$16))),"")</f>
        <v/>
      </c>
      <c r="Z124" s="24">
        <f>IFERROR(IF($F$17="","",IF($K$5+ROW()-26&gt;$K$6,"",IF(INDEX('Raw Pressure Data'!$A:$ZZ,$K$5+ROW()-26+$H$17,MATCH($F$17,'Raw Pressure Data'!$1:$1,0))=-999,"",INDEX('Raw Pressure Data'!$A:$ZZ,$K$5+ROW()-26+$H$17,MATCH($F$17,'Raw Pressure Data'!$1:$1,0))+$G$17))),"")</f>
        <v/>
      </c>
      <c r="AA124" s="24">
        <f>IFERROR(IF($F$18="","",IF($K$5+ROW()-26&gt;$K$6,"",IF(INDEX('Raw Pressure Data'!$A:$ZZ,$K$5+ROW()-26+$H$18,MATCH($F$18,'Raw Pressure Data'!$1:$1,0))=-999,"",INDEX('Raw Pressure Data'!$A:$ZZ,$K$5+ROW()-26+$H$18,MATCH($F$18,'Raw Pressure Data'!$1:$1,0))+$G$18))),"")</f>
        <v/>
      </c>
      <c r="AB124" s="24">
        <f>IFERROR(IF($F$19="","",IF($K$5+ROW()-26&gt;$K$6,"",IF(INDEX('Raw Pressure Data'!$A:$ZZ,$K$5+ROW()-26+$H$19,MATCH($F$19,'Raw Pressure Data'!$1:$1,0))=-999,"",INDEX('Raw Pressure Data'!$A:$ZZ,$K$5+ROW()-26+$H$19,MATCH($F$19,'Raw Pressure Data'!$1:$1,0))+$G$19))),"")</f>
        <v/>
      </c>
      <c r="AC124" s="24">
        <f>IFERROR(IF($F$20="","",IF($K$5+ROW()-26&gt;$K$6,"",IF(INDEX('Raw Pressure Data'!$A:$ZZ,$K$5+ROW()-26+$H$20,MATCH($F$20,'Raw Pressure Data'!$1:$1,0))=-999,"",INDEX('Raw Pressure Data'!$A:$ZZ,$K$5+ROW()-26+$H$20,MATCH($F$20,'Raw Pressure Data'!$1:$1,0))+$G$20))),"")</f>
        <v/>
      </c>
      <c r="AD124" s="24">
        <f>IFERROR(IF($F$21="","",IF($K$5+ROW()-26&gt;$K$6,"",IF(INDEX('Raw Pressure Data'!$A:$ZZ,$K$5+ROW()-26+$H$21,MATCH($F$21,'Raw Pressure Data'!$1:$1,0))=-999,"",INDEX('Raw Pressure Data'!$A:$ZZ,$K$5+ROW()-26+$H$21,MATCH($F$21,'Raw Pressure Data'!$1:$1,0))+$G$21))),"")</f>
        <v/>
      </c>
      <c r="AE124" s="24">
        <f>IFERROR(IF($F$22="","",IF($K$5+ROW()-26&gt;$K$6,"",IF(INDEX('Raw Pressure Data'!$A:$ZZ,$K$5+ROW()-26+$H$22,MATCH($F$22,'Raw Pressure Data'!$1:$1,0))=-999,"",INDEX('Raw Pressure Data'!$A:$ZZ,$K$5+ROW()-26+$H$22,MATCH($F$22,'Raw Pressure Data'!$1:$1,0))+$G$22))),"")</f>
        <v/>
      </c>
    </row>
    <row r="125" ht="15" customHeight="1">
      <c r="A125" s="25">
        <f>IFERROR(IF($K$5+ROW()-26&gt;$K$6,"",IF(INDEX('Raw Flow Data'!$A:$A,$K$5+ROW()-26)="","",INDEX('Raw Flow Data'!$A:$A,$K$5+ROW()-26))),"")</f>
        <v/>
      </c>
      <c r="B125" s="26">
        <f>IFERROR(IF($B$3="","",IF($K$5+ROW()-26&gt;$K$6,"",IF(INDEX('Raw Flow Data'!$A:$ZZ,$K$5+ROW()-26+$D$3,MATCH($B$3,'Raw Flow Data'!$1:$1,0))=-999,"",INDEX('Raw Flow Data'!$A:$ZZ,$K$5+ROW()-26+$D$3,MATCH($B$3,'Raw Flow Data'!$1:$1,0))*$C$3))),"")</f>
        <v/>
      </c>
      <c r="C125" s="26">
        <f>IFERROR(IF($B$4="","",IF($K$5+ROW()-26&gt;$K$6,"",IF(INDEX('Raw Flow Data'!$A:$ZZ,$K$5+ROW()-26+$D$4,MATCH($B$4,'Raw Flow Data'!$1:$1,0))=-999,"",INDEX('Raw Flow Data'!$A:$ZZ,$K$5+ROW()-26+$D$4,MATCH($B$4,'Raw Flow Data'!$1:$1,0))*$C$4))),"")</f>
        <v/>
      </c>
      <c r="D125" s="26">
        <f>IFERROR(IF($B$5="","",IF($K$5+ROW()-26&gt;$K$6,"",IF(INDEX('Raw Flow Data'!$A:$ZZ,$K$5+ROW()-26+$D$5,MATCH($B$5,'Raw Flow Data'!$1:$1,0))=-999,"",INDEX('Raw Flow Data'!$A:$ZZ,$K$5+ROW()-26+$D$5,MATCH($B$5,'Raw Flow Data'!$1:$1,0))*$C$5))),"")</f>
        <v/>
      </c>
      <c r="E125" s="26">
        <f>IFERROR(IF($B$6="","",IF($K$5+ROW()-26&gt;$K$6,"",IF(INDEX('Raw Flow Data'!$A:$ZZ,$K$5+ROW()-26+$D$6,MATCH($B$6,'Raw Flow Data'!$1:$1,0))=-999,"",INDEX('Raw Flow Data'!$A:$ZZ,$K$5+ROW()-26+$D$6,MATCH($B$6,'Raw Flow Data'!$1:$1,0))*$C$6))),"")</f>
        <v/>
      </c>
      <c r="F125" s="26">
        <f>IFERROR(IF($B$7="","",IF($K$5+ROW()-26&gt;$K$6,"",IF(INDEX('Raw Flow Data'!$A:$ZZ,$K$5+ROW()-26+$D$7,MATCH($B$7,'Raw Flow Data'!$1:$1,0))=-999,"",INDEX('Raw Flow Data'!$A:$ZZ,$K$5+ROW()-26+$D$7,MATCH($B$7,'Raw Flow Data'!$1:$1,0))*$C$7))),"")</f>
        <v/>
      </c>
      <c r="G125" s="26">
        <f>IFERROR(IF($B$8="","",IF($K$5+ROW()-26&gt;$K$6,"",IF(INDEX('Raw Flow Data'!$A:$ZZ,$K$5+ROW()-26+$D$8,MATCH($B$8,'Raw Flow Data'!$1:$1,0))=-999,"",INDEX('Raw Flow Data'!$A:$ZZ,$K$5+ROW()-26+$D$8,MATCH($B$8,'Raw Flow Data'!$1:$1,0))*$C$8))),"")</f>
        <v/>
      </c>
      <c r="H125" s="26">
        <f>IFERROR(IF($B$9="","",IF($K$5+ROW()-26&gt;$K$6,"",IF(INDEX('Raw Flow Data'!$A:$ZZ,$K$5+ROW()-26+$D$9,MATCH($B$9,'Raw Flow Data'!$1:$1,0))=-999,"",INDEX('Raw Flow Data'!$A:$ZZ,$K$5+ROW()-26+$D$9,MATCH($B$9,'Raw Flow Data'!$1:$1,0))*$C$9))),"")</f>
        <v/>
      </c>
      <c r="I125" s="26">
        <f>IFERROR(IF($B$10="","",IF($K$5+ROW()-26&gt;$K$6,"",IF(INDEX('Raw Flow Data'!$A:$ZZ,$K$5+ROW()-26+$D$10,MATCH($B$10,'Raw Flow Data'!$1:$1,0))=-999,"",INDEX('Raw Flow Data'!$A:$ZZ,$K$5+ROW()-26+$D$10,MATCH($B$10,'Raw Flow Data'!$1:$1,0))*$C$10))),"")</f>
        <v/>
      </c>
      <c r="J125" s="26">
        <f>IFERROR(IF($B$11="","",IF($K$5+ROW()-26&gt;$K$6,"",IF(INDEX('Raw Flow Data'!$A:$ZZ,$K$5+ROW()-26+$D$11,MATCH($B$11,'Raw Flow Data'!$1:$1,0))=-999,"",INDEX('Raw Flow Data'!$A:$ZZ,$K$5+ROW()-26+$D$11,MATCH($B$11,'Raw Flow Data'!$1:$1,0))*$C$11))),"")</f>
        <v/>
      </c>
      <c r="K125" s="26">
        <f>IFERROR(IF($B$12="","",IF($K$5+ROW()-26&gt;$K$6,"",IF(INDEX('Raw Flow Data'!$A:$ZZ,$K$5+ROW()-26+$D$12,MATCH($B$12,'Raw Flow Data'!$1:$1,0))=-999,"",INDEX('Raw Flow Data'!$A:$ZZ,$K$5+ROW()-26+$D$12,MATCH($B$12,'Raw Flow Data'!$1:$1,0))*$C$12))),"")</f>
        <v/>
      </c>
      <c r="L125" s="26">
        <f>IFERROR(IF($F$3="","",IF($K$5+ROW()-26&gt;$K$6,"",IF(INDEX('Raw Pressure Data'!$A:$ZZ,$K$5+ROW()-26+$H$3,MATCH($F$3,'Raw Pressure Data'!$1:$1,0))=-999,"",INDEX('Raw Pressure Data'!$A:$ZZ,$K$5+ROW()-26+$H$3,MATCH($F$3,'Raw Pressure Data'!$1:$1,0))+$G$3))),"")</f>
        <v/>
      </c>
      <c r="M125" s="26">
        <f>IFERROR(IF($F$4="","",IF($K$5+ROW()-26&gt;$K$6,"",IF(INDEX('Raw Pressure Data'!$A:$ZZ,$K$5+ROW()-26+$H$4,MATCH($F$4,'Raw Pressure Data'!$1:$1,0))=-999,"",INDEX('Raw Pressure Data'!$A:$ZZ,$K$5+ROW()-26+$H$4,MATCH($F$4,'Raw Pressure Data'!$1:$1,0))+$G$4))),"")</f>
        <v/>
      </c>
      <c r="N125" s="26">
        <f>IFERROR(IF($F$5="","",IF($K$5+ROW()-26&gt;$K$6,"",IF(INDEX('Raw Pressure Data'!$A:$ZZ,$K$5+ROW()-26+$H$5,MATCH($F$5,'Raw Pressure Data'!$1:$1,0))=-999,"",INDEX('Raw Pressure Data'!$A:$ZZ,$K$5+ROW()-26+$H$5,MATCH($F$5,'Raw Pressure Data'!$1:$1,0))+$G$5))),"")</f>
        <v/>
      </c>
      <c r="O125" s="26">
        <f>IFERROR(IF($F$6="","",IF($K$5+ROW()-26&gt;$K$6,"",IF(INDEX('Raw Pressure Data'!$A:$ZZ,$K$5+ROW()-26+$H$6,MATCH($F$6,'Raw Pressure Data'!$1:$1,0))=-999,"",INDEX('Raw Pressure Data'!$A:$ZZ,$K$5+ROW()-26+$H$6,MATCH($F$6,'Raw Pressure Data'!$1:$1,0))+$G$6))),"")</f>
        <v/>
      </c>
      <c r="P125" s="26">
        <f>IFERROR(IF($F$7="","",IF($K$5+ROW()-26&gt;$K$6,"",IF(INDEX('Raw Pressure Data'!$A:$ZZ,$K$5+ROW()-26+$H$7,MATCH($F$7,'Raw Pressure Data'!$1:$1,0))=-999,"",INDEX('Raw Pressure Data'!$A:$ZZ,$K$5+ROW()-26+$H$7,MATCH($F$7,'Raw Pressure Data'!$1:$1,0))+$G$7))),"")</f>
        <v/>
      </c>
      <c r="Q125" s="26">
        <f>IFERROR(IF($F$8="","",IF($K$5+ROW()-26&gt;$K$6,"",IF(INDEX('Raw Pressure Data'!$A:$ZZ,$K$5+ROW()-26+$H$8,MATCH($F$8,'Raw Pressure Data'!$1:$1,0))=-999,"",INDEX('Raw Pressure Data'!$A:$ZZ,$K$5+ROW()-26+$H$8,MATCH($F$8,'Raw Pressure Data'!$1:$1,0))+$G$8))),"")</f>
        <v/>
      </c>
      <c r="R125" s="26">
        <f>IFERROR(IF($F$9="","",IF($K$5+ROW()-26&gt;$K$6,"",IF(INDEX('Raw Pressure Data'!$A:$ZZ,$K$5+ROW()-26+$H$9,MATCH($F$9,'Raw Pressure Data'!$1:$1,0))=-999,"",INDEX('Raw Pressure Data'!$A:$ZZ,$K$5+ROW()-26+$H$9,MATCH($F$9,'Raw Pressure Data'!$1:$1,0))+$G$9))),"")</f>
        <v/>
      </c>
      <c r="S125" s="26">
        <f>IFERROR(IF($F$10="","",IF($K$5+ROW()-26&gt;$K$6,"",IF(INDEX('Raw Pressure Data'!$A:$ZZ,$K$5+ROW()-26+$H$10,MATCH($F$10,'Raw Pressure Data'!$1:$1,0))=-999,"",INDEX('Raw Pressure Data'!$A:$ZZ,$K$5+ROW()-26+$H$10,MATCH($F$10,'Raw Pressure Data'!$1:$1,0))+$G$10))),"")</f>
        <v/>
      </c>
      <c r="T125" s="26">
        <f>IFERROR(IF($F$11="","",IF($K$5+ROW()-26&gt;$K$6,"",IF(INDEX('Raw Pressure Data'!$A:$ZZ,$K$5+ROW()-26+$H$11,MATCH($F$11,'Raw Pressure Data'!$1:$1,0))=-999,"",INDEX('Raw Pressure Data'!$A:$ZZ,$K$5+ROW()-26+$H$11,MATCH($F$11,'Raw Pressure Data'!$1:$1,0))+$G$11))),"")</f>
        <v/>
      </c>
      <c r="U125" s="26">
        <f>IFERROR(IF($F$12="","",IF($K$5+ROW()-26&gt;$K$6,"",IF(INDEX('Raw Pressure Data'!$A:$ZZ,$K$5+ROW()-26+$H$12,MATCH($F$12,'Raw Pressure Data'!$1:$1,0))=-999,"",INDEX('Raw Pressure Data'!$A:$ZZ,$K$5+ROW()-26+$H$12,MATCH($F$12,'Raw Pressure Data'!$1:$1,0))+$G$12))),"")</f>
        <v/>
      </c>
      <c r="V125" s="26">
        <f>IFERROR(IF($F$13="","",IF($K$5+ROW()-26&gt;$K$6,"",IF(INDEX('Raw Pressure Data'!$A:$ZZ,$K$5+ROW()-26+$H$13,MATCH($F$13,'Raw Pressure Data'!$1:$1,0))=-999,"",INDEX('Raw Pressure Data'!$A:$ZZ,$K$5+ROW()-26+$H$13,MATCH($F$13,'Raw Pressure Data'!$1:$1,0))+$G$13))),"")</f>
        <v/>
      </c>
      <c r="W125" s="26">
        <f>IFERROR(IF($F$14="","",IF($K$5+ROW()-26&gt;$K$6,"",IF(INDEX('Raw Pressure Data'!$A:$ZZ,$K$5+ROW()-26+$H$14,MATCH($F$14,'Raw Pressure Data'!$1:$1,0))=-999,"",INDEX('Raw Pressure Data'!$A:$ZZ,$K$5+ROW()-26+$H$14,MATCH($F$14,'Raw Pressure Data'!$1:$1,0))+$G$14))),"")</f>
        <v/>
      </c>
      <c r="X125" s="26">
        <f>IFERROR(IF($F$15="","",IF($K$5+ROW()-26&gt;$K$6,"",IF(INDEX('Raw Pressure Data'!$A:$ZZ,$K$5+ROW()-26+$H$15,MATCH($F$15,'Raw Pressure Data'!$1:$1,0))=-999,"",INDEX('Raw Pressure Data'!$A:$ZZ,$K$5+ROW()-26+$H$15,MATCH($F$15,'Raw Pressure Data'!$1:$1,0))+$G$15))),"")</f>
        <v/>
      </c>
      <c r="Y125" s="26">
        <f>IFERROR(IF($F$16="","",IF($K$5+ROW()-26&gt;$K$6,"",IF(INDEX('Raw Pressure Data'!$A:$ZZ,$K$5+ROW()-26+$H$16,MATCH($F$16,'Raw Pressure Data'!$1:$1,0))=-999,"",INDEX('Raw Pressure Data'!$A:$ZZ,$K$5+ROW()-26+$H$16,MATCH($F$16,'Raw Pressure Data'!$1:$1,0))+$G$16))),"")</f>
        <v/>
      </c>
      <c r="Z125" s="26">
        <f>IFERROR(IF($F$17="","",IF($K$5+ROW()-26&gt;$K$6,"",IF(INDEX('Raw Pressure Data'!$A:$ZZ,$K$5+ROW()-26+$H$17,MATCH($F$17,'Raw Pressure Data'!$1:$1,0))=-999,"",INDEX('Raw Pressure Data'!$A:$ZZ,$K$5+ROW()-26+$H$17,MATCH($F$17,'Raw Pressure Data'!$1:$1,0))+$G$17))),"")</f>
        <v/>
      </c>
      <c r="AA125" s="26">
        <f>IFERROR(IF($F$18="","",IF($K$5+ROW()-26&gt;$K$6,"",IF(INDEX('Raw Pressure Data'!$A:$ZZ,$K$5+ROW()-26+$H$18,MATCH($F$18,'Raw Pressure Data'!$1:$1,0))=-999,"",INDEX('Raw Pressure Data'!$A:$ZZ,$K$5+ROW()-26+$H$18,MATCH($F$18,'Raw Pressure Data'!$1:$1,0))+$G$18))),"")</f>
        <v/>
      </c>
      <c r="AB125" s="26">
        <f>IFERROR(IF($F$19="","",IF($K$5+ROW()-26&gt;$K$6,"",IF(INDEX('Raw Pressure Data'!$A:$ZZ,$K$5+ROW()-26+$H$19,MATCH($F$19,'Raw Pressure Data'!$1:$1,0))=-999,"",INDEX('Raw Pressure Data'!$A:$ZZ,$K$5+ROW()-26+$H$19,MATCH($F$19,'Raw Pressure Data'!$1:$1,0))+$G$19))),"")</f>
        <v/>
      </c>
      <c r="AC125" s="26">
        <f>IFERROR(IF($F$20="","",IF($K$5+ROW()-26&gt;$K$6,"",IF(INDEX('Raw Pressure Data'!$A:$ZZ,$K$5+ROW()-26+$H$20,MATCH($F$20,'Raw Pressure Data'!$1:$1,0))=-999,"",INDEX('Raw Pressure Data'!$A:$ZZ,$K$5+ROW()-26+$H$20,MATCH($F$20,'Raw Pressure Data'!$1:$1,0))+$G$20))),"")</f>
        <v/>
      </c>
      <c r="AD125" s="26">
        <f>IFERROR(IF($F$21="","",IF($K$5+ROW()-26&gt;$K$6,"",IF(INDEX('Raw Pressure Data'!$A:$ZZ,$K$5+ROW()-26+$H$21,MATCH($F$21,'Raw Pressure Data'!$1:$1,0))=-999,"",INDEX('Raw Pressure Data'!$A:$ZZ,$K$5+ROW()-26+$H$21,MATCH($F$21,'Raw Pressure Data'!$1:$1,0))+$G$21))),"")</f>
        <v/>
      </c>
      <c r="AE125" s="26">
        <f>IFERROR(IF($F$22="","",IF($K$5+ROW()-26&gt;$K$6,"",IF(INDEX('Raw Pressure Data'!$A:$ZZ,$K$5+ROW()-26+$H$22,MATCH($F$22,'Raw Pressure Data'!$1:$1,0))=-999,"",INDEX('Raw Pressure Data'!$A:$ZZ,$K$5+ROW()-26+$H$22,MATCH($F$22,'Raw Pressure Data'!$1:$1,0))+$G$22))),"")</f>
        <v/>
      </c>
    </row>
    <row r="126" ht="15" customHeight="1">
      <c r="A126" s="23">
        <f>IFERROR(IF($K$5+ROW()-26&gt;$K$6,"",IF(INDEX('Raw Flow Data'!$A:$A,$K$5+ROW()-26)="","",INDEX('Raw Flow Data'!$A:$A,$K$5+ROW()-26))),"")</f>
        <v/>
      </c>
      <c r="B126" s="24">
        <f>IFERROR(IF($B$3="","",IF($K$5+ROW()-26&gt;$K$6,"",IF(INDEX('Raw Flow Data'!$A:$ZZ,$K$5+ROW()-26+$D$3,MATCH($B$3,'Raw Flow Data'!$1:$1,0))=-999,"",INDEX('Raw Flow Data'!$A:$ZZ,$K$5+ROW()-26+$D$3,MATCH($B$3,'Raw Flow Data'!$1:$1,0))*$C$3))),"")</f>
        <v/>
      </c>
      <c r="C126" s="24">
        <f>IFERROR(IF($B$4="","",IF($K$5+ROW()-26&gt;$K$6,"",IF(INDEX('Raw Flow Data'!$A:$ZZ,$K$5+ROW()-26+$D$4,MATCH($B$4,'Raw Flow Data'!$1:$1,0))=-999,"",INDEX('Raw Flow Data'!$A:$ZZ,$K$5+ROW()-26+$D$4,MATCH($B$4,'Raw Flow Data'!$1:$1,0))*$C$4))),"")</f>
        <v/>
      </c>
      <c r="D126" s="24">
        <f>IFERROR(IF($B$5="","",IF($K$5+ROW()-26&gt;$K$6,"",IF(INDEX('Raw Flow Data'!$A:$ZZ,$K$5+ROW()-26+$D$5,MATCH($B$5,'Raw Flow Data'!$1:$1,0))=-999,"",INDEX('Raw Flow Data'!$A:$ZZ,$K$5+ROW()-26+$D$5,MATCH($B$5,'Raw Flow Data'!$1:$1,0))*$C$5))),"")</f>
        <v/>
      </c>
      <c r="E126" s="24">
        <f>IFERROR(IF($B$6="","",IF($K$5+ROW()-26&gt;$K$6,"",IF(INDEX('Raw Flow Data'!$A:$ZZ,$K$5+ROW()-26+$D$6,MATCH($B$6,'Raw Flow Data'!$1:$1,0))=-999,"",INDEX('Raw Flow Data'!$A:$ZZ,$K$5+ROW()-26+$D$6,MATCH($B$6,'Raw Flow Data'!$1:$1,0))*$C$6))),"")</f>
        <v/>
      </c>
      <c r="F126" s="24">
        <f>IFERROR(IF($B$7="","",IF($K$5+ROW()-26&gt;$K$6,"",IF(INDEX('Raw Flow Data'!$A:$ZZ,$K$5+ROW()-26+$D$7,MATCH($B$7,'Raw Flow Data'!$1:$1,0))=-999,"",INDEX('Raw Flow Data'!$A:$ZZ,$K$5+ROW()-26+$D$7,MATCH($B$7,'Raw Flow Data'!$1:$1,0))*$C$7))),"")</f>
        <v/>
      </c>
      <c r="G126" s="24">
        <f>IFERROR(IF($B$8="","",IF($K$5+ROW()-26&gt;$K$6,"",IF(INDEX('Raw Flow Data'!$A:$ZZ,$K$5+ROW()-26+$D$8,MATCH($B$8,'Raw Flow Data'!$1:$1,0))=-999,"",INDEX('Raw Flow Data'!$A:$ZZ,$K$5+ROW()-26+$D$8,MATCH($B$8,'Raw Flow Data'!$1:$1,0))*$C$8))),"")</f>
        <v/>
      </c>
      <c r="H126" s="24">
        <f>IFERROR(IF($B$9="","",IF($K$5+ROW()-26&gt;$K$6,"",IF(INDEX('Raw Flow Data'!$A:$ZZ,$K$5+ROW()-26+$D$9,MATCH($B$9,'Raw Flow Data'!$1:$1,0))=-999,"",INDEX('Raw Flow Data'!$A:$ZZ,$K$5+ROW()-26+$D$9,MATCH($B$9,'Raw Flow Data'!$1:$1,0))*$C$9))),"")</f>
        <v/>
      </c>
      <c r="I126" s="24">
        <f>IFERROR(IF($B$10="","",IF($K$5+ROW()-26&gt;$K$6,"",IF(INDEX('Raw Flow Data'!$A:$ZZ,$K$5+ROW()-26+$D$10,MATCH($B$10,'Raw Flow Data'!$1:$1,0))=-999,"",INDEX('Raw Flow Data'!$A:$ZZ,$K$5+ROW()-26+$D$10,MATCH($B$10,'Raw Flow Data'!$1:$1,0))*$C$10))),"")</f>
        <v/>
      </c>
      <c r="J126" s="24">
        <f>IFERROR(IF($B$11="","",IF($K$5+ROW()-26&gt;$K$6,"",IF(INDEX('Raw Flow Data'!$A:$ZZ,$K$5+ROW()-26+$D$11,MATCH($B$11,'Raw Flow Data'!$1:$1,0))=-999,"",INDEX('Raw Flow Data'!$A:$ZZ,$K$5+ROW()-26+$D$11,MATCH($B$11,'Raw Flow Data'!$1:$1,0))*$C$11))),"")</f>
        <v/>
      </c>
      <c r="K126" s="24">
        <f>IFERROR(IF($B$12="","",IF($K$5+ROW()-26&gt;$K$6,"",IF(INDEX('Raw Flow Data'!$A:$ZZ,$K$5+ROW()-26+$D$12,MATCH($B$12,'Raw Flow Data'!$1:$1,0))=-999,"",INDEX('Raw Flow Data'!$A:$ZZ,$K$5+ROW()-26+$D$12,MATCH($B$12,'Raw Flow Data'!$1:$1,0))*$C$12))),"")</f>
        <v/>
      </c>
      <c r="L126" s="24">
        <f>IFERROR(IF($F$3="","",IF($K$5+ROW()-26&gt;$K$6,"",IF(INDEX('Raw Pressure Data'!$A:$ZZ,$K$5+ROW()-26+$H$3,MATCH($F$3,'Raw Pressure Data'!$1:$1,0))=-999,"",INDEX('Raw Pressure Data'!$A:$ZZ,$K$5+ROW()-26+$H$3,MATCH($F$3,'Raw Pressure Data'!$1:$1,0))+$G$3))),"")</f>
        <v/>
      </c>
      <c r="M126" s="24">
        <f>IFERROR(IF($F$4="","",IF($K$5+ROW()-26&gt;$K$6,"",IF(INDEX('Raw Pressure Data'!$A:$ZZ,$K$5+ROW()-26+$H$4,MATCH($F$4,'Raw Pressure Data'!$1:$1,0))=-999,"",INDEX('Raw Pressure Data'!$A:$ZZ,$K$5+ROW()-26+$H$4,MATCH($F$4,'Raw Pressure Data'!$1:$1,0))+$G$4))),"")</f>
        <v/>
      </c>
      <c r="N126" s="24">
        <f>IFERROR(IF($F$5="","",IF($K$5+ROW()-26&gt;$K$6,"",IF(INDEX('Raw Pressure Data'!$A:$ZZ,$K$5+ROW()-26+$H$5,MATCH($F$5,'Raw Pressure Data'!$1:$1,0))=-999,"",INDEX('Raw Pressure Data'!$A:$ZZ,$K$5+ROW()-26+$H$5,MATCH($F$5,'Raw Pressure Data'!$1:$1,0))+$G$5))),"")</f>
        <v/>
      </c>
      <c r="O126" s="24">
        <f>IFERROR(IF($F$6="","",IF($K$5+ROW()-26&gt;$K$6,"",IF(INDEX('Raw Pressure Data'!$A:$ZZ,$K$5+ROW()-26+$H$6,MATCH($F$6,'Raw Pressure Data'!$1:$1,0))=-999,"",INDEX('Raw Pressure Data'!$A:$ZZ,$K$5+ROW()-26+$H$6,MATCH($F$6,'Raw Pressure Data'!$1:$1,0))+$G$6))),"")</f>
        <v/>
      </c>
      <c r="P126" s="24">
        <f>IFERROR(IF($F$7="","",IF($K$5+ROW()-26&gt;$K$6,"",IF(INDEX('Raw Pressure Data'!$A:$ZZ,$K$5+ROW()-26+$H$7,MATCH($F$7,'Raw Pressure Data'!$1:$1,0))=-999,"",INDEX('Raw Pressure Data'!$A:$ZZ,$K$5+ROW()-26+$H$7,MATCH($F$7,'Raw Pressure Data'!$1:$1,0))+$G$7))),"")</f>
        <v/>
      </c>
      <c r="Q126" s="24">
        <f>IFERROR(IF($F$8="","",IF($K$5+ROW()-26&gt;$K$6,"",IF(INDEX('Raw Pressure Data'!$A:$ZZ,$K$5+ROW()-26+$H$8,MATCH($F$8,'Raw Pressure Data'!$1:$1,0))=-999,"",INDEX('Raw Pressure Data'!$A:$ZZ,$K$5+ROW()-26+$H$8,MATCH($F$8,'Raw Pressure Data'!$1:$1,0))+$G$8))),"")</f>
        <v/>
      </c>
      <c r="R126" s="24">
        <f>IFERROR(IF($F$9="","",IF($K$5+ROW()-26&gt;$K$6,"",IF(INDEX('Raw Pressure Data'!$A:$ZZ,$K$5+ROW()-26+$H$9,MATCH($F$9,'Raw Pressure Data'!$1:$1,0))=-999,"",INDEX('Raw Pressure Data'!$A:$ZZ,$K$5+ROW()-26+$H$9,MATCH($F$9,'Raw Pressure Data'!$1:$1,0))+$G$9))),"")</f>
        <v/>
      </c>
      <c r="S126" s="24">
        <f>IFERROR(IF($F$10="","",IF($K$5+ROW()-26&gt;$K$6,"",IF(INDEX('Raw Pressure Data'!$A:$ZZ,$K$5+ROW()-26+$H$10,MATCH($F$10,'Raw Pressure Data'!$1:$1,0))=-999,"",INDEX('Raw Pressure Data'!$A:$ZZ,$K$5+ROW()-26+$H$10,MATCH($F$10,'Raw Pressure Data'!$1:$1,0))+$G$10))),"")</f>
        <v/>
      </c>
      <c r="T126" s="24">
        <f>IFERROR(IF($F$11="","",IF($K$5+ROW()-26&gt;$K$6,"",IF(INDEX('Raw Pressure Data'!$A:$ZZ,$K$5+ROW()-26+$H$11,MATCH($F$11,'Raw Pressure Data'!$1:$1,0))=-999,"",INDEX('Raw Pressure Data'!$A:$ZZ,$K$5+ROW()-26+$H$11,MATCH($F$11,'Raw Pressure Data'!$1:$1,0))+$G$11))),"")</f>
        <v/>
      </c>
      <c r="U126" s="24">
        <f>IFERROR(IF($F$12="","",IF($K$5+ROW()-26&gt;$K$6,"",IF(INDEX('Raw Pressure Data'!$A:$ZZ,$K$5+ROW()-26+$H$12,MATCH($F$12,'Raw Pressure Data'!$1:$1,0))=-999,"",INDEX('Raw Pressure Data'!$A:$ZZ,$K$5+ROW()-26+$H$12,MATCH($F$12,'Raw Pressure Data'!$1:$1,0))+$G$12))),"")</f>
        <v/>
      </c>
      <c r="V126" s="24">
        <f>IFERROR(IF($F$13="","",IF($K$5+ROW()-26&gt;$K$6,"",IF(INDEX('Raw Pressure Data'!$A:$ZZ,$K$5+ROW()-26+$H$13,MATCH($F$13,'Raw Pressure Data'!$1:$1,0))=-999,"",INDEX('Raw Pressure Data'!$A:$ZZ,$K$5+ROW()-26+$H$13,MATCH($F$13,'Raw Pressure Data'!$1:$1,0))+$G$13))),"")</f>
        <v/>
      </c>
      <c r="W126" s="24">
        <f>IFERROR(IF($F$14="","",IF($K$5+ROW()-26&gt;$K$6,"",IF(INDEX('Raw Pressure Data'!$A:$ZZ,$K$5+ROW()-26+$H$14,MATCH($F$14,'Raw Pressure Data'!$1:$1,0))=-999,"",INDEX('Raw Pressure Data'!$A:$ZZ,$K$5+ROW()-26+$H$14,MATCH($F$14,'Raw Pressure Data'!$1:$1,0))+$G$14))),"")</f>
        <v/>
      </c>
      <c r="X126" s="24">
        <f>IFERROR(IF($F$15="","",IF($K$5+ROW()-26&gt;$K$6,"",IF(INDEX('Raw Pressure Data'!$A:$ZZ,$K$5+ROW()-26+$H$15,MATCH($F$15,'Raw Pressure Data'!$1:$1,0))=-999,"",INDEX('Raw Pressure Data'!$A:$ZZ,$K$5+ROW()-26+$H$15,MATCH($F$15,'Raw Pressure Data'!$1:$1,0))+$G$15))),"")</f>
        <v/>
      </c>
      <c r="Y126" s="24">
        <f>IFERROR(IF($F$16="","",IF($K$5+ROW()-26&gt;$K$6,"",IF(INDEX('Raw Pressure Data'!$A:$ZZ,$K$5+ROW()-26+$H$16,MATCH($F$16,'Raw Pressure Data'!$1:$1,0))=-999,"",INDEX('Raw Pressure Data'!$A:$ZZ,$K$5+ROW()-26+$H$16,MATCH($F$16,'Raw Pressure Data'!$1:$1,0))+$G$16))),"")</f>
        <v/>
      </c>
      <c r="Z126" s="24">
        <f>IFERROR(IF($F$17="","",IF($K$5+ROW()-26&gt;$K$6,"",IF(INDEX('Raw Pressure Data'!$A:$ZZ,$K$5+ROW()-26+$H$17,MATCH($F$17,'Raw Pressure Data'!$1:$1,0))=-999,"",INDEX('Raw Pressure Data'!$A:$ZZ,$K$5+ROW()-26+$H$17,MATCH($F$17,'Raw Pressure Data'!$1:$1,0))+$G$17))),"")</f>
        <v/>
      </c>
      <c r="AA126" s="24">
        <f>IFERROR(IF($F$18="","",IF($K$5+ROW()-26&gt;$K$6,"",IF(INDEX('Raw Pressure Data'!$A:$ZZ,$K$5+ROW()-26+$H$18,MATCH($F$18,'Raw Pressure Data'!$1:$1,0))=-999,"",INDEX('Raw Pressure Data'!$A:$ZZ,$K$5+ROW()-26+$H$18,MATCH($F$18,'Raw Pressure Data'!$1:$1,0))+$G$18))),"")</f>
        <v/>
      </c>
      <c r="AB126" s="24">
        <f>IFERROR(IF($F$19="","",IF($K$5+ROW()-26&gt;$K$6,"",IF(INDEX('Raw Pressure Data'!$A:$ZZ,$K$5+ROW()-26+$H$19,MATCH($F$19,'Raw Pressure Data'!$1:$1,0))=-999,"",INDEX('Raw Pressure Data'!$A:$ZZ,$K$5+ROW()-26+$H$19,MATCH($F$19,'Raw Pressure Data'!$1:$1,0))+$G$19))),"")</f>
        <v/>
      </c>
      <c r="AC126" s="24">
        <f>IFERROR(IF($F$20="","",IF($K$5+ROW()-26&gt;$K$6,"",IF(INDEX('Raw Pressure Data'!$A:$ZZ,$K$5+ROW()-26+$H$20,MATCH($F$20,'Raw Pressure Data'!$1:$1,0))=-999,"",INDEX('Raw Pressure Data'!$A:$ZZ,$K$5+ROW()-26+$H$20,MATCH($F$20,'Raw Pressure Data'!$1:$1,0))+$G$20))),"")</f>
        <v/>
      </c>
      <c r="AD126" s="24">
        <f>IFERROR(IF($F$21="","",IF($K$5+ROW()-26&gt;$K$6,"",IF(INDEX('Raw Pressure Data'!$A:$ZZ,$K$5+ROW()-26+$H$21,MATCH($F$21,'Raw Pressure Data'!$1:$1,0))=-999,"",INDEX('Raw Pressure Data'!$A:$ZZ,$K$5+ROW()-26+$H$21,MATCH($F$21,'Raw Pressure Data'!$1:$1,0))+$G$21))),"")</f>
        <v/>
      </c>
      <c r="AE126" s="24">
        <f>IFERROR(IF($F$22="","",IF($K$5+ROW()-26&gt;$K$6,"",IF(INDEX('Raw Pressure Data'!$A:$ZZ,$K$5+ROW()-26+$H$22,MATCH($F$22,'Raw Pressure Data'!$1:$1,0))=-999,"",INDEX('Raw Pressure Data'!$A:$ZZ,$K$5+ROW()-26+$H$22,MATCH($F$22,'Raw Pressure Data'!$1:$1,0))+$G$22))),"")</f>
        <v/>
      </c>
    </row>
    <row r="127" ht="15" customHeight="1">
      <c r="A127" s="25">
        <f>IFERROR(IF($K$5+ROW()-26&gt;$K$6,"",IF(INDEX('Raw Flow Data'!$A:$A,$K$5+ROW()-26)="","",INDEX('Raw Flow Data'!$A:$A,$K$5+ROW()-26))),"")</f>
        <v/>
      </c>
      <c r="B127" s="26">
        <f>IFERROR(IF($B$3="","",IF($K$5+ROW()-26&gt;$K$6,"",IF(INDEX('Raw Flow Data'!$A:$ZZ,$K$5+ROW()-26+$D$3,MATCH($B$3,'Raw Flow Data'!$1:$1,0))=-999,"",INDEX('Raw Flow Data'!$A:$ZZ,$K$5+ROW()-26+$D$3,MATCH($B$3,'Raw Flow Data'!$1:$1,0))*$C$3))),"")</f>
        <v/>
      </c>
      <c r="C127" s="26">
        <f>IFERROR(IF($B$4="","",IF($K$5+ROW()-26&gt;$K$6,"",IF(INDEX('Raw Flow Data'!$A:$ZZ,$K$5+ROW()-26+$D$4,MATCH($B$4,'Raw Flow Data'!$1:$1,0))=-999,"",INDEX('Raw Flow Data'!$A:$ZZ,$K$5+ROW()-26+$D$4,MATCH($B$4,'Raw Flow Data'!$1:$1,0))*$C$4))),"")</f>
        <v/>
      </c>
      <c r="D127" s="26">
        <f>IFERROR(IF($B$5="","",IF($K$5+ROW()-26&gt;$K$6,"",IF(INDEX('Raw Flow Data'!$A:$ZZ,$K$5+ROW()-26+$D$5,MATCH($B$5,'Raw Flow Data'!$1:$1,0))=-999,"",INDEX('Raw Flow Data'!$A:$ZZ,$K$5+ROW()-26+$D$5,MATCH($B$5,'Raw Flow Data'!$1:$1,0))*$C$5))),"")</f>
        <v/>
      </c>
      <c r="E127" s="26">
        <f>IFERROR(IF($B$6="","",IF($K$5+ROW()-26&gt;$K$6,"",IF(INDEX('Raw Flow Data'!$A:$ZZ,$K$5+ROW()-26+$D$6,MATCH($B$6,'Raw Flow Data'!$1:$1,0))=-999,"",INDEX('Raw Flow Data'!$A:$ZZ,$K$5+ROW()-26+$D$6,MATCH($B$6,'Raw Flow Data'!$1:$1,0))*$C$6))),"")</f>
        <v/>
      </c>
      <c r="F127" s="26">
        <f>IFERROR(IF($B$7="","",IF($K$5+ROW()-26&gt;$K$6,"",IF(INDEX('Raw Flow Data'!$A:$ZZ,$K$5+ROW()-26+$D$7,MATCH($B$7,'Raw Flow Data'!$1:$1,0))=-999,"",INDEX('Raw Flow Data'!$A:$ZZ,$K$5+ROW()-26+$D$7,MATCH($B$7,'Raw Flow Data'!$1:$1,0))*$C$7))),"")</f>
        <v/>
      </c>
      <c r="G127" s="26">
        <f>IFERROR(IF($B$8="","",IF($K$5+ROW()-26&gt;$K$6,"",IF(INDEX('Raw Flow Data'!$A:$ZZ,$K$5+ROW()-26+$D$8,MATCH($B$8,'Raw Flow Data'!$1:$1,0))=-999,"",INDEX('Raw Flow Data'!$A:$ZZ,$K$5+ROW()-26+$D$8,MATCH($B$8,'Raw Flow Data'!$1:$1,0))*$C$8))),"")</f>
        <v/>
      </c>
      <c r="H127" s="26">
        <f>IFERROR(IF($B$9="","",IF($K$5+ROW()-26&gt;$K$6,"",IF(INDEX('Raw Flow Data'!$A:$ZZ,$K$5+ROW()-26+$D$9,MATCH($B$9,'Raw Flow Data'!$1:$1,0))=-999,"",INDEX('Raw Flow Data'!$A:$ZZ,$K$5+ROW()-26+$D$9,MATCH($B$9,'Raw Flow Data'!$1:$1,0))*$C$9))),"")</f>
        <v/>
      </c>
      <c r="I127" s="26">
        <f>IFERROR(IF($B$10="","",IF($K$5+ROW()-26&gt;$K$6,"",IF(INDEX('Raw Flow Data'!$A:$ZZ,$K$5+ROW()-26+$D$10,MATCH($B$10,'Raw Flow Data'!$1:$1,0))=-999,"",INDEX('Raw Flow Data'!$A:$ZZ,$K$5+ROW()-26+$D$10,MATCH($B$10,'Raw Flow Data'!$1:$1,0))*$C$10))),"")</f>
        <v/>
      </c>
      <c r="J127" s="26">
        <f>IFERROR(IF($B$11="","",IF($K$5+ROW()-26&gt;$K$6,"",IF(INDEX('Raw Flow Data'!$A:$ZZ,$K$5+ROW()-26+$D$11,MATCH($B$11,'Raw Flow Data'!$1:$1,0))=-999,"",INDEX('Raw Flow Data'!$A:$ZZ,$K$5+ROW()-26+$D$11,MATCH($B$11,'Raw Flow Data'!$1:$1,0))*$C$11))),"")</f>
        <v/>
      </c>
      <c r="K127" s="26">
        <f>IFERROR(IF($B$12="","",IF($K$5+ROW()-26&gt;$K$6,"",IF(INDEX('Raw Flow Data'!$A:$ZZ,$K$5+ROW()-26+$D$12,MATCH($B$12,'Raw Flow Data'!$1:$1,0))=-999,"",INDEX('Raw Flow Data'!$A:$ZZ,$K$5+ROW()-26+$D$12,MATCH($B$12,'Raw Flow Data'!$1:$1,0))*$C$12))),"")</f>
        <v/>
      </c>
      <c r="L127" s="26">
        <f>IFERROR(IF($F$3="","",IF($K$5+ROW()-26&gt;$K$6,"",IF(INDEX('Raw Pressure Data'!$A:$ZZ,$K$5+ROW()-26+$H$3,MATCH($F$3,'Raw Pressure Data'!$1:$1,0))=-999,"",INDEX('Raw Pressure Data'!$A:$ZZ,$K$5+ROW()-26+$H$3,MATCH($F$3,'Raw Pressure Data'!$1:$1,0))+$G$3))),"")</f>
        <v/>
      </c>
      <c r="M127" s="26">
        <f>IFERROR(IF($F$4="","",IF($K$5+ROW()-26&gt;$K$6,"",IF(INDEX('Raw Pressure Data'!$A:$ZZ,$K$5+ROW()-26+$H$4,MATCH($F$4,'Raw Pressure Data'!$1:$1,0))=-999,"",INDEX('Raw Pressure Data'!$A:$ZZ,$K$5+ROW()-26+$H$4,MATCH($F$4,'Raw Pressure Data'!$1:$1,0))+$G$4))),"")</f>
        <v/>
      </c>
      <c r="N127" s="26">
        <f>IFERROR(IF($F$5="","",IF($K$5+ROW()-26&gt;$K$6,"",IF(INDEX('Raw Pressure Data'!$A:$ZZ,$K$5+ROW()-26+$H$5,MATCH($F$5,'Raw Pressure Data'!$1:$1,0))=-999,"",INDEX('Raw Pressure Data'!$A:$ZZ,$K$5+ROW()-26+$H$5,MATCH($F$5,'Raw Pressure Data'!$1:$1,0))+$G$5))),"")</f>
        <v/>
      </c>
      <c r="O127" s="26">
        <f>IFERROR(IF($F$6="","",IF($K$5+ROW()-26&gt;$K$6,"",IF(INDEX('Raw Pressure Data'!$A:$ZZ,$K$5+ROW()-26+$H$6,MATCH($F$6,'Raw Pressure Data'!$1:$1,0))=-999,"",INDEX('Raw Pressure Data'!$A:$ZZ,$K$5+ROW()-26+$H$6,MATCH($F$6,'Raw Pressure Data'!$1:$1,0))+$G$6))),"")</f>
        <v/>
      </c>
      <c r="P127" s="26">
        <f>IFERROR(IF($F$7="","",IF($K$5+ROW()-26&gt;$K$6,"",IF(INDEX('Raw Pressure Data'!$A:$ZZ,$K$5+ROW()-26+$H$7,MATCH($F$7,'Raw Pressure Data'!$1:$1,0))=-999,"",INDEX('Raw Pressure Data'!$A:$ZZ,$K$5+ROW()-26+$H$7,MATCH($F$7,'Raw Pressure Data'!$1:$1,0))+$G$7))),"")</f>
        <v/>
      </c>
      <c r="Q127" s="26">
        <f>IFERROR(IF($F$8="","",IF($K$5+ROW()-26&gt;$K$6,"",IF(INDEX('Raw Pressure Data'!$A:$ZZ,$K$5+ROW()-26+$H$8,MATCH($F$8,'Raw Pressure Data'!$1:$1,0))=-999,"",INDEX('Raw Pressure Data'!$A:$ZZ,$K$5+ROW()-26+$H$8,MATCH($F$8,'Raw Pressure Data'!$1:$1,0))+$G$8))),"")</f>
        <v/>
      </c>
      <c r="R127" s="26">
        <f>IFERROR(IF($F$9="","",IF($K$5+ROW()-26&gt;$K$6,"",IF(INDEX('Raw Pressure Data'!$A:$ZZ,$K$5+ROW()-26+$H$9,MATCH($F$9,'Raw Pressure Data'!$1:$1,0))=-999,"",INDEX('Raw Pressure Data'!$A:$ZZ,$K$5+ROW()-26+$H$9,MATCH($F$9,'Raw Pressure Data'!$1:$1,0))+$G$9))),"")</f>
        <v/>
      </c>
      <c r="S127" s="26">
        <f>IFERROR(IF($F$10="","",IF($K$5+ROW()-26&gt;$K$6,"",IF(INDEX('Raw Pressure Data'!$A:$ZZ,$K$5+ROW()-26+$H$10,MATCH($F$10,'Raw Pressure Data'!$1:$1,0))=-999,"",INDEX('Raw Pressure Data'!$A:$ZZ,$K$5+ROW()-26+$H$10,MATCH($F$10,'Raw Pressure Data'!$1:$1,0))+$G$10))),"")</f>
        <v/>
      </c>
      <c r="T127" s="26">
        <f>IFERROR(IF($F$11="","",IF($K$5+ROW()-26&gt;$K$6,"",IF(INDEX('Raw Pressure Data'!$A:$ZZ,$K$5+ROW()-26+$H$11,MATCH($F$11,'Raw Pressure Data'!$1:$1,0))=-999,"",INDEX('Raw Pressure Data'!$A:$ZZ,$K$5+ROW()-26+$H$11,MATCH($F$11,'Raw Pressure Data'!$1:$1,0))+$G$11))),"")</f>
        <v/>
      </c>
      <c r="U127" s="26">
        <f>IFERROR(IF($F$12="","",IF($K$5+ROW()-26&gt;$K$6,"",IF(INDEX('Raw Pressure Data'!$A:$ZZ,$K$5+ROW()-26+$H$12,MATCH($F$12,'Raw Pressure Data'!$1:$1,0))=-999,"",INDEX('Raw Pressure Data'!$A:$ZZ,$K$5+ROW()-26+$H$12,MATCH($F$12,'Raw Pressure Data'!$1:$1,0))+$G$12))),"")</f>
        <v/>
      </c>
      <c r="V127" s="26">
        <f>IFERROR(IF($F$13="","",IF($K$5+ROW()-26&gt;$K$6,"",IF(INDEX('Raw Pressure Data'!$A:$ZZ,$K$5+ROW()-26+$H$13,MATCH($F$13,'Raw Pressure Data'!$1:$1,0))=-999,"",INDEX('Raw Pressure Data'!$A:$ZZ,$K$5+ROW()-26+$H$13,MATCH($F$13,'Raw Pressure Data'!$1:$1,0))+$G$13))),"")</f>
        <v/>
      </c>
      <c r="W127" s="26">
        <f>IFERROR(IF($F$14="","",IF($K$5+ROW()-26&gt;$K$6,"",IF(INDEX('Raw Pressure Data'!$A:$ZZ,$K$5+ROW()-26+$H$14,MATCH($F$14,'Raw Pressure Data'!$1:$1,0))=-999,"",INDEX('Raw Pressure Data'!$A:$ZZ,$K$5+ROW()-26+$H$14,MATCH($F$14,'Raw Pressure Data'!$1:$1,0))+$G$14))),"")</f>
        <v/>
      </c>
      <c r="X127" s="26">
        <f>IFERROR(IF($F$15="","",IF($K$5+ROW()-26&gt;$K$6,"",IF(INDEX('Raw Pressure Data'!$A:$ZZ,$K$5+ROW()-26+$H$15,MATCH($F$15,'Raw Pressure Data'!$1:$1,0))=-999,"",INDEX('Raw Pressure Data'!$A:$ZZ,$K$5+ROW()-26+$H$15,MATCH($F$15,'Raw Pressure Data'!$1:$1,0))+$G$15))),"")</f>
        <v/>
      </c>
      <c r="Y127" s="26">
        <f>IFERROR(IF($F$16="","",IF($K$5+ROW()-26&gt;$K$6,"",IF(INDEX('Raw Pressure Data'!$A:$ZZ,$K$5+ROW()-26+$H$16,MATCH($F$16,'Raw Pressure Data'!$1:$1,0))=-999,"",INDEX('Raw Pressure Data'!$A:$ZZ,$K$5+ROW()-26+$H$16,MATCH($F$16,'Raw Pressure Data'!$1:$1,0))+$G$16))),"")</f>
        <v/>
      </c>
      <c r="Z127" s="26">
        <f>IFERROR(IF($F$17="","",IF($K$5+ROW()-26&gt;$K$6,"",IF(INDEX('Raw Pressure Data'!$A:$ZZ,$K$5+ROW()-26+$H$17,MATCH($F$17,'Raw Pressure Data'!$1:$1,0))=-999,"",INDEX('Raw Pressure Data'!$A:$ZZ,$K$5+ROW()-26+$H$17,MATCH($F$17,'Raw Pressure Data'!$1:$1,0))+$G$17))),"")</f>
        <v/>
      </c>
      <c r="AA127" s="26">
        <f>IFERROR(IF($F$18="","",IF($K$5+ROW()-26&gt;$K$6,"",IF(INDEX('Raw Pressure Data'!$A:$ZZ,$K$5+ROW()-26+$H$18,MATCH($F$18,'Raw Pressure Data'!$1:$1,0))=-999,"",INDEX('Raw Pressure Data'!$A:$ZZ,$K$5+ROW()-26+$H$18,MATCH($F$18,'Raw Pressure Data'!$1:$1,0))+$G$18))),"")</f>
        <v/>
      </c>
      <c r="AB127" s="26">
        <f>IFERROR(IF($F$19="","",IF($K$5+ROW()-26&gt;$K$6,"",IF(INDEX('Raw Pressure Data'!$A:$ZZ,$K$5+ROW()-26+$H$19,MATCH($F$19,'Raw Pressure Data'!$1:$1,0))=-999,"",INDEX('Raw Pressure Data'!$A:$ZZ,$K$5+ROW()-26+$H$19,MATCH($F$19,'Raw Pressure Data'!$1:$1,0))+$G$19))),"")</f>
        <v/>
      </c>
      <c r="AC127" s="26">
        <f>IFERROR(IF($F$20="","",IF($K$5+ROW()-26&gt;$K$6,"",IF(INDEX('Raw Pressure Data'!$A:$ZZ,$K$5+ROW()-26+$H$20,MATCH($F$20,'Raw Pressure Data'!$1:$1,0))=-999,"",INDEX('Raw Pressure Data'!$A:$ZZ,$K$5+ROW()-26+$H$20,MATCH($F$20,'Raw Pressure Data'!$1:$1,0))+$G$20))),"")</f>
        <v/>
      </c>
      <c r="AD127" s="26">
        <f>IFERROR(IF($F$21="","",IF($K$5+ROW()-26&gt;$K$6,"",IF(INDEX('Raw Pressure Data'!$A:$ZZ,$K$5+ROW()-26+$H$21,MATCH($F$21,'Raw Pressure Data'!$1:$1,0))=-999,"",INDEX('Raw Pressure Data'!$A:$ZZ,$K$5+ROW()-26+$H$21,MATCH($F$21,'Raw Pressure Data'!$1:$1,0))+$G$21))),"")</f>
        <v/>
      </c>
      <c r="AE127" s="26">
        <f>IFERROR(IF($F$22="","",IF($K$5+ROW()-26&gt;$K$6,"",IF(INDEX('Raw Pressure Data'!$A:$ZZ,$K$5+ROW()-26+$H$22,MATCH($F$22,'Raw Pressure Data'!$1:$1,0))=-999,"",INDEX('Raw Pressure Data'!$A:$ZZ,$K$5+ROW()-26+$H$22,MATCH($F$22,'Raw Pressure Data'!$1:$1,0))+$G$22))),"")</f>
        <v/>
      </c>
    </row>
    <row r="128" ht="15" customHeight="1">
      <c r="A128" s="23">
        <f>IFERROR(IF($K$5+ROW()-26&gt;$K$6,"",IF(INDEX('Raw Flow Data'!$A:$A,$K$5+ROW()-26)="","",INDEX('Raw Flow Data'!$A:$A,$K$5+ROW()-26))),"")</f>
        <v/>
      </c>
      <c r="B128" s="24">
        <f>IFERROR(IF($B$3="","",IF($K$5+ROW()-26&gt;$K$6,"",IF(INDEX('Raw Flow Data'!$A:$ZZ,$K$5+ROW()-26+$D$3,MATCH($B$3,'Raw Flow Data'!$1:$1,0))=-999,"",INDEX('Raw Flow Data'!$A:$ZZ,$K$5+ROW()-26+$D$3,MATCH($B$3,'Raw Flow Data'!$1:$1,0))*$C$3))),"")</f>
        <v/>
      </c>
      <c r="C128" s="24">
        <f>IFERROR(IF($B$4="","",IF($K$5+ROW()-26&gt;$K$6,"",IF(INDEX('Raw Flow Data'!$A:$ZZ,$K$5+ROW()-26+$D$4,MATCH($B$4,'Raw Flow Data'!$1:$1,0))=-999,"",INDEX('Raw Flow Data'!$A:$ZZ,$K$5+ROW()-26+$D$4,MATCH($B$4,'Raw Flow Data'!$1:$1,0))*$C$4))),"")</f>
        <v/>
      </c>
      <c r="D128" s="24">
        <f>IFERROR(IF($B$5="","",IF($K$5+ROW()-26&gt;$K$6,"",IF(INDEX('Raw Flow Data'!$A:$ZZ,$K$5+ROW()-26+$D$5,MATCH($B$5,'Raw Flow Data'!$1:$1,0))=-999,"",INDEX('Raw Flow Data'!$A:$ZZ,$K$5+ROW()-26+$D$5,MATCH($B$5,'Raw Flow Data'!$1:$1,0))*$C$5))),"")</f>
        <v/>
      </c>
      <c r="E128" s="24">
        <f>IFERROR(IF($B$6="","",IF($K$5+ROW()-26&gt;$K$6,"",IF(INDEX('Raw Flow Data'!$A:$ZZ,$K$5+ROW()-26+$D$6,MATCH($B$6,'Raw Flow Data'!$1:$1,0))=-999,"",INDEX('Raw Flow Data'!$A:$ZZ,$K$5+ROW()-26+$D$6,MATCH($B$6,'Raw Flow Data'!$1:$1,0))*$C$6))),"")</f>
        <v/>
      </c>
      <c r="F128" s="24">
        <f>IFERROR(IF($B$7="","",IF($K$5+ROW()-26&gt;$K$6,"",IF(INDEX('Raw Flow Data'!$A:$ZZ,$K$5+ROW()-26+$D$7,MATCH($B$7,'Raw Flow Data'!$1:$1,0))=-999,"",INDEX('Raw Flow Data'!$A:$ZZ,$K$5+ROW()-26+$D$7,MATCH($B$7,'Raw Flow Data'!$1:$1,0))*$C$7))),"")</f>
        <v/>
      </c>
      <c r="G128" s="24">
        <f>IFERROR(IF($B$8="","",IF($K$5+ROW()-26&gt;$K$6,"",IF(INDEX('Raw Flow Data'!$A:$ZZ,$K$5+ROW()-26+$D$8,MATCH($B$8,'Raw Flow Data'!$1:$1,0))=-999,"",INDEX('Raw Flow Data'!$A:$ZZ,$K$5+ROW()-26+$D$8,MATCH($B$8,'Raw Flow Data'!$1:$1,0))*$C$8))),"")</f>
        <v/>
      </c>
      <c r="H128" s="24">
        <f>IFERROR(IF($B$9="","",IF($K$5+ROW()-26&gt;$K$6,"",IF(INDEX('Raw Flow Data'!$A:$ZZ,$K$5+ROW()-26+$D$9,MATCH($B$9,'Raw Flow Data'!$1:$1,0))=-999,"",INDEX('Raw Flow Data'!$A:$ZZ,$K$5+ROW()-26+$D$9,MATCH($B$9,'Raw Flow Data'!$1:$1,0))*$C$9))),"")</f>
        <v/>
      </c>
      <c r="I128" s="24">
        <f>IFERROR(IF($B$10="","",IF($K$5+ROW()-26&gt;$K$6,"",IF(INDEX('Raw Flow Data'!$A:$ZZ,$K$5+ROW()-26+$D$10,MATCH($B$10,'Raw Flow Data'!$1:$1,0))=-999,"",INDEX('Raw Flow Data'!$A:$ZZ,$K$5+ROW()-26+$D$10,MATCH($B$10,'Raw Flow Data'!$1:$1,0))*$C$10))),"")</f>
        <v/>
      </c>
      <c r="J128" s="24">
        <f>IFERROR(IF($B$11="","",IF($K$5+ROW()-26&gt;$K$6,"",IF(INDEX('Raw Flow Data'!$A:$ZZ,$K$5+ROW()-26+$D$11,MATCH($B$11,'Raw Flow Data'!$1:$1,0))=-999,"",INDEX('Raw Flow Data'!$A:$ZZ,$K$5+ROW()-26+$D$11,MATCH($B$11,'Raw Flow Data'!$1:$1,0))*$C$11))),"")</f>
        <v/>
      </c>
      <c r="K128" s="24">
        <f>IFERROR(IF($B$12="","",IF($K$5+ROW()-26&gt;$K$6,"",IF(INDEX('Raw Flow Data'!$A:$ZZ,$K$5+ROW()-26+$D$12,MATCH($B$12,'Raw Flow Data'!$1:$1,0))=-999,"",INDEX('Raw Flow Data'!$A:$ZZ,$K$5+ROW()-26+$D$12,MATCH($B$12,'Raw Flow Data'!$1:$1,0))*$C$12))),"")</f>
        <v/>
      </c>
      <c r="L128" s="24">
        <f>IFERROR(IF($F$3="","",IF($K$5+ROW()-26&gt;$K$6,"",IF(INDEX('Raw Pressure Data'!$A:$ZZ,$K$5+ROW()-26+$H$3,MATCH($F$3,'Raw Pressure Data'!$1:$1,0))=-999,"",INDEX('Raw Pressure Data'!$A:$ZZ,$K$5+ROW()-26+$H$3,MATCH($F$3,'Raw Pressure Data'!$1:$1,0))+$G$3))),"")</f>
        <v/>
      </c>
      <c r="M128" s="24">
        <f>IFERROR(IF($F$4="","",IF($K$5+ROW()-26&gt;$K$6,"",IF(INDEX('Raw Pressure Data'!$A:$ZZ,$K$5+ROW()-26+$H$4,MATCH($F$4,'Raw Pressure Data'!$1:$1,0))=-999,"",INDEX('Raw Pressure Data'!$A:$ZZ,$K$5+ROW()-26+$H$4,MATCH($F$4,'Raw Pressure Data'!$1:$1,0))+$G$4))),"")</f>
        <v/>
      </c>
      <c r="N128" s="24">
        <f>IFERROR(IF($F$5="","",IF($K$5+ROW()-26&gt;$K$6,"",IF(INDEX('Raw Pressure Data'!$A:$ZZ,$K$5+ROW()-26+$H$5,MATCH($F$5,'Raw Pressure Data'!$1:$1,0))=-999,"",INDEX('Raw Pressure Data'!$A:$ZZ,$K$5+ROW()-26+$H$5,MATCH($F$5,'Raw Pressure Data'!$1:$1,0))+$G$5))),"")</f>
        <v/>
      </c>
      <c r="O128" s="24">
        <f>IFERROR(IF($F$6="","",IF($K$5+ROW()-26&gt;$K$6,"",IF(INDEX('Raw Pressure Data'!$A:$ZZ,$K$5+ROW()-26+$H$6,MATCH($F$6,'Raw Pressure Data'!$1:$1,0))=-999,"",INDEX('Raw Pressure Data'!$A:$ZZ,$K$5+ROW()-26+$H$6,MATCH($F$6,'Raw Pressure Data'!$1:$1,0))+$G$6))),"")</f>
        <v/>
      </c>
      <c r="P128" s="24">
        <f>IFERROR(IF($F$7="","",IF($K$5+ROW()-26&gt;$K$6,"",IF(INDEX('Raw Pressure Data'!$A:$ZZ,$K$5+ROW()-26+$H$7,MATCH($F$7,'Raw Pressure Data'!$1:$1,0))=-999,"",INDEX('Raw Pressure Data'!$A:$ZZ,$K$5+ROW()-26+$H$7,MATCH($F$7,'Raw Pressure Data'!$1:$1,0))+$G$7))),"")</f>
        <v/>
      </c>
      <c r="Q128" s="24">
        <f>IFERROR(IF($F$8="","",IF($K$5+ROW()-26&gt;$K$6,"",IF(INDEX('Raw Pressure Data'!$A:$ZZ,$K$5+ROW()-26+$H$8,MATCH($F$8,'Raw Pressure Data'!$1:$1,0))=-999,"",INDEX('Raw Pressure Data'!$A:$ZZ,$K$5+ROW()-26+$H$8,MATCH($F$8,'Raw Pressure Data'!$1:$1,0))+$G$8))),"")</f>
        <v/>
      </c>
      <c r="R128" s="24">
        <f>IFERROR(IF($F$9="","",IF($K$5+ROW()-26&gt;$K$6,"",IF(INDEX('Raw Pressure Data'!$A:$ZZ,$K$5+ROW()-26+$H$9,MATCH($F$9,'Raw Pressure Data'!$1:$1,0))=-999,"",INDEX('Raw Pressure Data'!$A:$ZZ,$K$5+ROW()-26+$H$9,MATCH($F$9,'Raw Pressure Data'!$1:$1,0))+$G$9))),"")</f>
        <v/>
      </c>
      <c r="S128" s="24">
        <f>IFERROR(IF($F$10="","",IF($K$5+ROW()-26&gt;$K$6,"",IF(INDEX('Raw Pressure Data'!$A:$ZZ,$K$5+ROW()-26+$H$10,MATCH($F$10,'Raw Pressure Data'!$1:$1,0))=-999,"",INDEX('Raw Pressure Data'!$A:$ZZ,$K$5+ROW()-26+$H$10,MATCH($F$10,'Raw Pressure Data'!$1:$1,0))+$G$10))),"")</f>
        <v/>
      </c>
      <c r="T128" s="24">
        <f>IFERROR(IF($F$11="","",IF($K$5+ROW()-26&gt;$K$6,"",IF(INDEX('Raw Pressure Data'!$A:$ZZ,$K$5+ROW()-26+$H$11,MATCH($F$11,'Raw Pressure Data'!$1:$1,0))=-999,"",INDEX('Raw Pressure Data'!$A:$ZZ,$K$5+ROW()-26+$H$11,MATCH($F$11,'Raw Pressure Data'!$1:$1,0))+$G$11))),"")</f>
        <v/>
      </c>
      <c r="U128" s="24">
        <f>IFERROR(IF($F$12="","",IF($K$5+ROW()-26&gt;$K$6,"",IF(INDEX('Raw Pressure Data'!$A:$ZZ,$K$5+ROW()-26+$H$12,MATCH($F$12,'Raw Pressure Data'!$1:$1,0))=-999,"",INDEX('Raw Pressure Data'!$A:$ZZ,$K$5+ROW()-26+$H$12,MATCH($F$12,'Raw Pressure Data'!$1:$1,0))+$G$12))),"")</f>
        <v/>
      </c>
      <c r="V128" s="24">
        <f>IFERROR(IF($F$13="","",IF($K$5+ROW()-26&gt;$K$6,"",IF(INDEX('Raw Pressure Data'!$A:$ZZ,$K$5+ROW()-26+$H$13,MATCH($F$13,'Raw Pressure Data'!$1:$1,0))=-999,"",INDEX('Raw Pressure Data'!$A:$ZZ,$K$5+ROW()-26+$H$13,MATCH($F$13,'Raw Pressure Data'!$1:$1,0))+$G$13))),"")</f>
        <v/>
      </c>
      <c r="W128" s="24">
        <f>IFERROR(IF($F$14="","",IF($K$5+ROW()-26&gt;$K$6,"",IF(INDEX('Raw Pressure Data'!$A:$ZZ,$K$5+ROW()-26+$H$14,MATCH($F$14,'Raw Pressure Data'!$1:$1,0))=-999,"",INDEX('Raw Pressure Data'!$A:$ZZ,$K$5+ROW()-26+$H$14,MATCH($F$14,'Raw Pressure Data'!$1:$1,0))+$G$14))),"")</f>
        <v/>
      </c>
      <c r="X128" s="24">
        <f>IFERROR(IF($F$15="","",IF($K$5+ROW()-26&gt;$K$6,"",IF(INDEX('Raw Pressure Data'!$A:$ZZ,$K$5+ROW()-26+$H$15,MATCH($F$15,'Raw Pressure Data'!$1:$1,0))=-999,"",INDEX('Raw Pressure Data'!$A:$ZZ,$K$5+ROW()-26+$H$15,MATCH($F$15,'Raw Pressure Data'!$1:$1,0))+$G$15))),"")</f>
        <v/>
      </c>
      <c r="Y128" s="24">
        <f>IFERROR(IF($F$16="","",IF($K$5+ROW()-26&gt;$K$6,"",IF(INDEX('Raw Pressure Data'!$A:$ZZ,$K$5+ROW()-26+$H$16,MATCH($F$16,'Raw Pressure Data'!$1:$1,0))=-999,"",INDEX('Raw Pressure Data'!$A:$ZZ,$K$5+ROW()-26+$H$16,MATCH($F$16,'Raw Pressure Data'!$1:$1,0))+$G$16))),"")</f>
        <v/>
      </c>
      <c r="Z128" s="24">
        <f>IFERROR(IF($F$17="","",IF($K$5+ROW()-26&gt;$K$6,"",IF(INDEX('Raw Pressure Data'!$A:$ZZ,$K$5+ROW()-26+$H$17,MATCH($F$17,'Raw Pressure Data'!$1:$1,0))=-999,"",INDEX('Raw Pressure Data'!$A:$ZZ,$K$5+ROW()-26+$H$17,MATCH($F$17,'Raw Pressure Data'!$1:$1,0))+$G$17))),"")</f>
        <v/>
      </c>
      <c r="AA128" s="24">
        <f>IFERROR(IF($F$18="","",IF($K$5+ROW()-26&gt;$K$6,"",IF(INDEX('Raw Pressure Data'!$A:$ZZ,$K$5+ROW()-26+$H$18,MATCH($F$18,'Raw Pressure Data'!$1:$1,0))=-999,"",INDEX('Raw Pressure Data'!$A:$ZZ,$K$5+ROW()-26+$H$18,MATCH($F$18,'Raw Pressure Data'!$1:$1,0))+$G$18))),"")</f>
        <v/>
      </c>
      <c r="AB128" s="24">
        <f>IFERROR(IF($F$19="","",IF($K$5+ROW()-26&gt;$K$6,"",IF(INDEX('Raw Pressure Data'!$A:$ZZ,$K$5+ROW()-26+$H$19,MATCH($F$19,'Raw Pressure Data'!$1:$1,0))=-999,"",INDEX('Raw Pressure Data'!$A:$ZZ,$K$5+ROW()-26+$H$19,MATCH($F$19,'Raw Pressure Data'!$1:$1,0))+$G$19))),"")</f>
        <v/>
      </c>
      <c r="AC128" s="24">
        <f>IFERROR(IF($F$20="","",IF($K$5+ROW()-26&gt;$K$6,"",IF(INDEX('Raw Pressure Data'!$A:$ZZ,$K$5+ROW()-26+$H$20,MATCH($F$20,'Raw Pressure Data'!$1:$1,0))=-999,"",INDEX('Raw Pressure Data'!$A:$ZZ,$K$5+ROW()-26+$H$20,MATCH($F$20,'Raw Pressure Data'!$1:$1,0))+$G$20))),"")</f>
        <v/>
      </c>
      <c r="AD128" s="24">
        <f>IFERROR(IF($F$21="","",IF($K$5+ROW()-26&gt;$K$6,"",IF(INDEX('Raw Pressure Data'!$A:$ZZ,$K$5+ROW()-26+$H$21,MATCH($F$21,'Raw Pressure Data'!$1:$1,0))=-999,"",INDEX('Raw Pressure Data'!$A:$ZZ,$K$5+ROW()-26+$H$21,MATCH($F$21,'Raw Pressure Data'!$1:$1,0))+$G$21))),"")</f>
        <v/>
      </c>
      <c r="AE128" s="24">
        <f>IFERROR(IF($F$22="","",IF($K$5+ROW()-26&gt;$K$6,"",IF(INDEX('Raw Pressure Data'!$A:$ZZ,$K$5+ROW()-26+$H$22,MATCH($F$22,'Raw Pressure Data'!$1:$1,0))=-999,"",INDEX('Raw Pressure Data'!$A:$ZZ,$K$5+ROW()-26+$H$22,MATCH($F$22,'Raw Pressure Data'!$1:$1,0))+$G$22))),"")</f>
        <v/>
      </c>
    </row>
    <row r="129" ht="15" customHeight="1">
      <c r="A129" s="25">
        <f>IFERROR(IF($K$5+ROW()-26&gt;$K$6,"",IF(INDEX('Raw Flow Data'!$A:$A,$K$5+ROW()-26)="","",INDEX('Raw Flow Data'!$A:$A,$K$5+ROW()-26))),"")</f>
        <v/>
      </c>
      <c r="B129" s="26">
        <f>IFERROR(IF($B$3="","",IF($K$5+ROW()-26&gt;$K$6,"",IF(INDEX('Raw Flow Data'!$A:$ZZ,$K$5+ROW()-26+$D$3,MATCH($B$3,'Raw Flow Data'!$1:$1,0))=-999,"",INDEX('Raw Flow Data'!$A:$ZZ,$K$5+ROW()-26+$D$3,MATCH($B$3,'Raw Flow Data'!$1:$1,0))*$C$3))),"")</f>
        <v/>
      </c>
      <c r="C129" s="26">
        <f>IFERROR(IF($B$4="","",IF($K$5+ROW()-26&gt;$K$6,"",IF(INDEX('Raw Flow Data'!$A:$ZZ,$K$5+ROW()-26+$D$4,MATCH($B$4,'Raw Flow Data'!$1:$1,0))=-999,"",INDEX('Raw Flow Data'!$A:$ZZ,$K$5+ROW()-26+$D$4,MATCH($B$4,'Raw Flow Data'!$1:$1,0))*$C$4))),"")</f>
        <v/>
      </c>
      <c r="D129" s="26">
        <f>IFERROR(IF($B$5="","",IF($K$5+ROW()-26&gt;$K$6,"",IF(INDEX('Raw Flow Data'!$A:$ZZ,$K$5+ROW()-26+$D$5,MATCH($B$5,'Raw Flow Data'!$1:$1,0))=-999,"",INDEX('Raw Flow Data'!$A:$ZZ,$K$5+ROW()-26+$D$5,MATCH($B$5,'Raw Flow Data'!$1:$1,0))*$C$5))),"")</f>
        <v/>
      </c>
      <c r="E129" s="26">
        <f>IFERROR(IF($B$6="","",IF($K$5+ROW()-26&gt;$K$6,"",IF(INDEX('Raw Flow Data'!$A:$ZZ,$K$5+ROW()-26+$D$6,MATCH($B$6,'Raw Flow Data'!$1:$1,0))=-999,"",INDEX('Raw Flow Data'!$A:$ZZ,$K$5+ROW()-26+$D$6,MATCH($B$6,'Raw Flow Data'!$1:$1,0))*$C$6))),"")</f>
        <v/>
      </c>
      <c r="F129" s="26">
        <f>IFERROR(IF($B$7="","",IF($K$5+ROW()-26&gt;$K$6,"",IF(INDEX('Raw Flow Data'!$A:$ZZ,$K$5+ROW()-26+$D$7,MATCH($B$7,'Raw Flow Data'!$1:$1,0))=-999,"",INDEX('Raw Flow Data'!$A:$ZZ,$K$5+ROW()-26+$D$7,MATCH($B$7,'Raw Flow Data'!$1:$1,0))*$C$7))),"")</f>
        <v/>
      </c>
      <c r="G129" s="26">
        <f>IFERROR(IF($B$8="","",IF($K$5+ROW()-26&gt;$K$6,"",IF(INDEX('Raw Flow Data'!$A:$ZZ,$K$5+ROW()-26+$D$8,MATCH($B$8,'Raw Flow Data'!$1:$1,0))=-999,"",INDEX('Raw Flow Data'!$A:$ZZ,$K$5+ROW()-26+$D$8,MATCH($B$8,'Raw Flow Data'!$1:$1,0))*$C$8))),"")</f>
        <v/>
      </c>
      <c r="H129" s="26">
        <f>IFERROR(IF($B$9="","",IF($K$5+ROW()-26&gt;$K$6,"",IF(INDEX('Raw Flow Data'!$A:$ZZ,$K$5+ROW()-26+$D$9,MATCH($B$9,'Raw Flow Data'!$1:$1,0))=-999,"",INDEX('Raw Flow Data'!$A:$ZZ,$K$5+ROW()-26+$D$9,MATCH($B$9,'Raw Flow Data'!$1:$1,0))*$C$9))),"")</f>
        <v/>
      </c>
      <c r="I129" s="26">
        <f>IFERROR(IF($B$10="","",IF($K$5+ROW()-26&gt;$K$6,"",IF(INDEX('Raw Flow Data'!$A:$ZZ,$K$5+ROW()-26+$D$10,MATCH($B$10,'Raw Flow Data'!$1:$1,0))=-999,"",INDEX('Raw Flow Data'!$A:$ZZ,$K$5+ROW()-26+$D$10,MATCH($B$10,'Raw Flow Data'!$1:$1,0))*$C$10))),"")</f>
        <v/>
      </c>
      <c r="J129" s="26">
        <f>IFERROR(IF($B$11="","",IF($K$5+ROW()-26&gt;$K$6,"",IF(INDEX('Raw Flow Data'!$A:$ZZ,$K$5+ROW()-26+$D$11,MATCH($B$11,'Raw Flow Data'!$1:$1,0))=-999,"",INDEX('Raw Flow Data'!$A:$ZZ,$K$5+ROW()-26+$D$11,MATCH($B$11,'Raw Flow Data'!$1:$1,0))*$C$11))),"")</f>
        <v/>
      </c>
      <c r="K129" s="26">
        <f>IFERROR(IF($B$12="","",IF($K$5+ROW()-26&gt;$K$6,"",IF(INDEX('Raw Flow Data'!$A:$ZZ,$K$5+ROW()-26+$D$12,MATCH($B$12,'Raw Flow Data'!$1:$1,0))=-999,"",INDEX('Raw Flow Data'!$A:$ZZ,$K$5+ROW()-26+$D$12,MATCH($B$12,'Raw Flow Data'!$1:$1,0))*$C$12))),"")</f>
        <v/>
      </c>
      <c r="L129" s="26">
        <f>IFERROR(IF($F$3="","",IF($K$5+ROW()-26&gt;$K$6,"",IF(INDEX('Raw Pressure Data'!$A:$ZZ,$K$5+ROW()-26+$H$3,MATCH($F$3,'Raw Pressure Data'!$1:$1,0))=-999,"",INDEX('Raw Pressure Data'!$A:$ZZ,$K$5+ROW()-26+$H$3,MATCH($F$3,'Raw Pressure Data'!$1:$1,0))+$G$3))),"")</f>
        <v/>
      </c>
      <c r="M129" s="26">
        <f>IFERROR(IF($F$4="","",IF($K$5+ROW()-26&gt;$K$6,"",IF(INDEX('Raw Pressure Data'!$A:$ZZ,$K$5+ROW()-26+$H$4,MATCH($F$4,'Raw Pressure Data'!$1:$1,0))=-999,"",INDEX('Raw Pressure Data'!$A:$ZZ,$K$5+ROW()-26+$H$4,MATCH($F$4,'Raw Pressure Data'!$1:$1,0))+$G$4))),"")</f>
        <v/>
      </c>
      <c r="N129" s="26">
        <f>IFERROR(IF($F$5="","",IF($K$5+ROW()-26&gt;$K$6,"",IF(INDEX('Raw Pressure Data'!$A:$ZZ,$K$5+ROW()-26+$H$5,MATCH($F$5,'Raw Pressure Data'!$1:$1,0))=-999,"",INDEX('Raw Pressure Data'!$A:$ZZ,$K$5+ROW()-26+$H$5,MATCH($F$5,'Raw Pressure Data'!$1:$1,0))+$G$5))),"")</f>
        <v/>
      </c>
      <c r="O129" s="26">
        <f>IFERROR(IF($F$6="","",IF($K$5+ROW()-26&gt;$K$6,"",IF(INDEX('Raw Pressure Data'!$A:$ZZ,$K$5+ROW()-26+$H$6,MATCH($F$6,'Raw Pressure Data'!$1:$1,0))=-999,"",INDEX('Raw Pressure Data'!$A:$ZZ,$K$5+ROW()-26+$H$6,MATCH($F$6,'Raw Pressure Data'!$1:$1,0))+$G$6))),"")</f>
        <v/>
      </c>
      <c r="P129" s="26">
        <f>IFERROR(IF($F$7="","",IF($K$5+ROW()-26&gt;$K$6,"",IF(INDEX('Raw Pressure Data'!$A:$ZZ,$K$5+ROW()-26+$H$7,MATCH($F$7,'Raw Pressure Data'!$1:$1,0))=-999,"",INDEX('Raw Pressure Data'!$A:$ZZ,$K$5+ROW()-26+$H$7,MATCH($F$7,'Raw Pressure Data'!$1:$1,0))+$G$7))),"")</f>
        <v/>
      </c>
      <c r="Q129" s="26">
        <f>IFERROR(IF($F$8="","",IF($K$5+ROW()-26&gt;$K$6,"",IF(INDEX('Raw Pressure Data'!$A:$ZZ,$K$5+ROW()-26+$H$8,MATCH($F$8,'Raw Pressure Data'!$1:$1,0))=-999,"",INDEX('Raw Pressure Data'!$A:$ZZ,$K$5+ROW()-26+$H$8,MATCH($F$8,'Raw Pressure Data'!$1:$1,0))+$G$8))),"")</f>
        <v/>
      </c>
      <c r="R129" s="26">
        <f>IFERROR(IF($F$9="","",IF($K$5+ROW()-26&gt;$K$6,"",IF(INDEX('Raw Pressure Data'!$A:$ZZ,$K$5+ROW()-26+$H$9,MATCH($F$9,'Raw Pressure Data'!$1:$1,0))=-999,"",INDEX('Raw Pressure Data'!$A:$ZZ,$K$5+ROW()-26+$H$9,MATCH($F$9,'Raw Pressure Data'!$1:$1,0))+$G$9))),"")</f>
        <v/>
      </c>
      <c r="S129" s="26">
        <f>IFERROR(IF($F$10="","",IF($K$5+ROW()-26&gt;$K$6,"",IF(INDEX('Raw Pressure Data'!$A:$ZZ,$K$5+ROW()-26+$H$10,MATCH($F$10,'Raw Pressure Data'!$1:$1,0))=-999,"",INDEX('Raw Pressure Data'!$A:$ZZ,$K$5+ROW()-26+$H$10,MATCH($F$10,'Raw Pressure Data'!$1:$1,0))+$G$10))),"")</f>
        <v/>
      </c>
      <c r="T129" s="26">
        <f>IFERROR(IF($F$11="","",IF($K$5+ROW()-26&gt;$K$6,"",IF(INDEX('Raw Pressure Data'!$A:$ZZ,$K$5+ROW()-26+$H$11,MATCH($F$11,'Raw Pressure Data'!$1:$1,0))=-999,"",INDEX('Raw Pressure Data'!$A:$ZZ,$K$5+ROW()-26+$H$11,MATCH($F$11,'Raw Pressure Data'!$1:$1,0))+$G$11))),"")</f>
        <v/>
      </c>
      <c r="U129" s="26">
        <f>IFERROR(IF($F$12="","",IF($K$5+ROW()-26&gt;$K$6,"",IF(INDEX('Raw Pressure Data'!$A:$ZZ,$K$5+ROW()-26+$H$12,MATCH($F$12,'Raw Pressure Data'!$1:$1,0))=-999,"",INDEX('Raw Pressure Data'!$A:$ZZ,$K$5+ROW()-26+$H$12,MATCH($F$12,'Raw Pressure Data'!$1:$1,0))+$G$12))),"")</f>
        <v/>
      </c>
      <c r="V129" s="26">
        <f>IFERROR(IF($F$13="","",IF($K$5+ROW()-26&gt;$K$6,"",IF(INDEX('Raw Pressure Data'!$A:$ZZ,$K$5+ROW()-26+$H$13,MATCH($F$13,'Raw Pressure Data'!$1:$1,0))=-999,"",INDEX('Raw Pressure Data'!$A:$ZZ,$K$5+ROW()-26+$H$13,MATCH($F$13,'Raw Pressure Data'!$1:$1,0))+$G$13))),"")</f>
        <v/>
      </c>
      <c r="W129" s="26">
        <f>IFERROR(IF($F$14="","",IF($K$5+ROW()-26&gt;$K$6,"",IF(INDEX('Raw Pressure Data'!$A:$ZZ,$K$5+ROW()-26+$H$14,MATCH($F$14,'Raw Pressure Data'!$1:$1,0))=-999,"",INDEX('Raw Pressure Data'!$A:$ZZ,$K$5+ROW()-26+$H$14,MATCH($F$14,'Raw Pressure Data'!$1:$1,0))+$G$14))),"")</f>
        <v/>
      </c>
      <c r="X129" s="26">
        <f>IFERROR(IF($F$15="","",IF($K$5+ROW()-26&gt;$K$6,"",IF(INDEX('Raw Pressure Data'!$A:$ZZ,$K$5+ROW()-26+$H$15,MATCH($F$15,'Raw Pressure Data'!$1:$1,0))=-999,"",INDEX('Raw Pressure Data'!$A:$ZZ,$K$5+ROW()-26+$H$15,MATCH($F$15,'Raw Pressure Data'!$1:$1,0))+$G$15))),"")</f>
        <v/>
      </c>
      <c r="Y129" s="26">
        <f>IFERROR(IF($F$16="","",IF($K$5+ROW()-26&gt;$K$6,"",IF(INDEX('Raw Pressure Data'!$A:$ZZ,$K$5+ROW()-26+$H$16,MATCH($F$16,'Raw Pressure Data'!$1:$1,0))=-999,"",INDEX('Raw Pressure Data'!$A:$ZZ,$K$5+ROW()-26+$H$16,MATCH($F$16,'Raw Pressure Data'!$1:$1,0))+$G$16))),"")</f>
        <v/>
      </c>
      <c r="Z129" s="26">
        <f>IFERROR(IF($F$17="","",IF($K$5+ROW()-26&gt;$K$6,"",IF(INDEX('Raw Pressure Data'!$A:$ZZ,$K$5+ROW()-26+$H$17,MATCH($F$17,'Raw Pressure Data'!$1:$1,0))=-999,"",INDEX('Raw Pressure Data'!$A:$ZZ,$K$5+ROW()-26+$H$17,MATCH($F$17,'Raw Pressure Data'!$1:$1,0))+$G$17))),"")</f>
        <v/>
      </c>
      <c r="AA129" s="26">
        <f>IFERROR(IF($F$18="","",IF($K$5+ROW()-26&gt;$K$6,"",IF(INDEX('Raw Pressure Data'!$A:$ZZ,$K$5+ROW()-26+$H$18,MATCH($F$18,'Raw Pressure Data'!$1:$1,0))=-999,"",INDEX('Raw Pressure Data'!$A:$ZZ,$K$5+ROW()-26+$H$18,MATCH($F$18,'Raw Pressure Data'!$1:$1,0))+$G$18))),"")</f>
        <v/>
      </c>
      <c r="AB129" s="26">
        <f>IFERROR(IF($F$19="","",IF($K$5+ROW()-26&gt;$K$6,"",IF(INDEX('Raw Pressure Data'!$A:$ZZ,$K$5+ROW()-26+$H$19,MATCH($F$19,'Raw Pressure Data'!$1:$1,0))=-999,"",INDEX('Raw Pressure Data'!$A:$ZZ,$K$5+ROW()-26+$H$19,MATCH($F$19,'Raw Pressure Data'!$1:$1,0))+$G$19))),"")</f>
        <v/>
      </c>
      <c r="AC129" s="26">
        <f>IFERROR(IF($F$20="","",IF($K$5+ROW()-26&gt;$K$6,"",IF(INDEX('Raw Pressure Data'!$A:$ZZ,$K$5+ROW()-26+$H$20,MATCH($F$20,'Raw Pressure Data'!$1:$1,0))=-999,"",INDEX('Raw Pressure Data'!$A:$ZZ,$K$5+ROW()-26+$H$20,MATCH($F$20,'Raw Pressure Data'!$1:$1,0))+$G$20))),"")</f>
        <v/>
      </c>
      <c r="AD129" s="26">
        <f>IFERROR(IF($F$21="","",IF($K$5+ROW()-26&gt;$K$6,"",IF(INDEX('Raw Pressure Data'!$A:$ZZ,$K$5+ROW()-26+$H$21,MATCH($F$21,'Raw Pressure Data'!$1:$1,0))=-999,"",INDEX('Raw Pressure Data'!$A:$ZZ,$K$5+ROW()-26+$H$21,MATCH($F$21,'Raw Pressure Data'!$1:$1,0))+$G$21))),"")</f>
        <v/>
      </c>
      <c r="AE129" s="26">
        <f>IFERROR(IF($F$22="","",IF($K$5+ROW()-26&gt;$K$6,"",IF(INDEX('Raw Pressure Data'!$A:$ZZ,$K$5+ROW()-26+$H$22,MATCH($F$22,'Raw Pressure Data'!$1:$1,0))=-999,"",INDEX('Raw Pressure Data'!$A:$ZZ,$K$5+ROW()-26+$H$22,MATCH($F$22,'Raw Pressure Data'!$1:$1,0))+$G$22))),"")</f>
        <v/>
      </c>
    </row>
    <row r="130" ht="15" customHeight="1">
      <c r="A130" s="23">
        <f>IFERROR(IF($K$5+ROW()-26&gt;$K$6,"",IF(INDEX('Raw Flow Data'!$A:$A,$K$5+ROW()-26)="","",INDEX('Raw Flow Data'!$A:$A,$K$5+ROW()-26))),"")</f>
        <v/>
      </c>
      <c r="B130" s="24">
        <f>IFERROR(IF($B$3="","",IF($K$5+ROW()-26&gt;$K$6,"",IF(INDEX('Raw Flow Data'!$A:$ZZ,$K$5+ROW()-26+$D$3,MATCH($B$3,'Raw Flow Data'!$1:$1,0))=-999,"",INDEX('Raw Flow Data'!$A:$ZZ,$K$5+ROW()-26+$D$3,MATCH($B$3,'Raw Flow Data'!$1:$1,0))*$C$3))),"")</f>
        <v/>
      </c>
      <c r="C130" s="24">
        <f>IFERROR(IF($B$4="","",IF($K$5+ROW()-26&gt;$K$6,"",IF(INDEX('Raw Flow Data'!$A:$ZZ,$K$5+ROW()-26+$D$4,MATCH($B$4,'Raw Flow Data'!$1:$1,0))=-999,"",INDEX('Raw Flow Data'!$A:$ZZ,$K$5+ROW()-26+$D$4,MATCH($B$4,'Raw Flow Data'!$1:$1,0))*$C$4))),"")</f>
        <v/>
      </c>
      <c r="D130" s="24">
        <f>IFERROR(IF($B$5="","",IF($K$5+ROW()-26&gt;$K$6,"",IF(INDEX('Raw Flow Data'!$A:$ZZ,$K$5+ROW()-26+$D$5,MATCH($B$5,'Raw Flow Data'!$1:$1,0))=-999,"",INDEX('Raw Flow Data'!$A:$ZZ,$K$5+ROW()-26+$D$5,MATCH($B$5,'Raw Flow Data'!$1:$1,0))*$C$5))),"")</f>
        <v/>
      </c>
      <c r="E130" s="24">
        <f>IFERROR(IF($B$6="","",IF($K$5+ROW()-26&gt;$K$6,"",IF(INDEX('Raw Flow Data'!$A:$ZZ,$K$5+ROW()-26+$D$6,MATCH($B$6,'Raw Flow Data'!$1:$1,0))=-999,"",INDEX('Raw Flow Data'!$A:$ZZ,$K$5+ROW()-26+$D$6,MATCH($B$6,'Raw Flow Data'!$1:$1,0))*$C$6))),"")</f>
        <v/>
      </c>
      <c r="F130" s="24">
        <f>IFERROR(IF($B$7="","",IF($K$5+ROW()-26&gt;$K$6,"",IF(INDEX('Raw Flow Data'!$A:$ZZ,$K$5+ROW()-26+$D$7,MATCH($B$7,'Raw Flow Data'!$1:$1,0))=-999,"",INDEX('Raw Flow Data'!$A:$ZZ,$K$5+ROW()-26+$D$7,MATCH($B$7,'Raw Flow Data'!$1:$1,0))*$C$7))),"")</f>
        <v/>
      </c>
      <c r="G130" s="24">
        <f>IFERROR(IF($B$8="","",IF($K$5+ROW()-26&gt;$K$6,"",IF(INDEX('Raw Flow Data'!$A:$ZZ,$K$5+ROW()-26+$D$8,MATCH($B$8,'Raw Flow Data'!$1:$1,0))=-999,"",INDEX('Raw Flow Data'!$A:$ZZ,$K$5+ROW()-26+$D$8,MATCH($B$8,'Raw Flow Data'!$1:$1,0))*$C$8))),"")</f>
        <v/>
      </c>
      <c r="H130" s="24">
        <f>IFERROR(IF($B$9="","",IF($K$5+ROW()-26&gt;$K$6,"",IF(INDEX('Raw Flow Data'!$A:$ZZ,$K$5+ROW()-26+$D$9,MATCH($B$9,'Raw Flow Data'!$1:$1,0))=-999,"",INDEX('Raw Flow Data'!$A:$ZZ,$K$5+ROW()-26+$D$9,MATCH($B$9,'Raw Flow Data'!$1:$1,0))*$C$9))),"")</f>
        <v/>
      </c>
      <c r="I130" s="24">
        <f>IFERROR(IF($B$10="","",IF($K$5+ROW()-26&gt;$K$6,"",IF(INDEX('Raw Flow Data'!$A:$ZZ,$K$5+ROW()-26+$D$10,MATCH($B$10,'Raw Flow Data'!$1:$1,0))=-999,"",INDEX('Raw Flow Data'!$A:$ZZ,$K$5+ROW()-26+$D$10,MATCH($B$10,'Raw Flow Data'!$1:$1,0))*$C$10))),"")</f>
        <v/>
      </c>
      <c r="J130" s="24">
        <f>IFERROR(IF($B$11="","",IF($K$5+ROW()-26&gt;$K$6,"",IF(INDEX('Raw Flow Data'!$A:$ZZ,$K$5+ROW()-26+$D$11,MATCH($B$11,'Raw Flow Data'!$1:$1,0))=-999,"",INDEX('Raw Flow Data'!$A:$ZZ,$K$5+ROW()-26+$D$11,MATCH($B$11,'Raw Flow Data'!$1:$1,0))*$C$11))),"")</f>
        <v/>
      </c>
      <c r="K130" s="24">
        <f>IFERROR(IF($B$12="","",IF($K$5+ROW()-26&gt;$K$6,"",IF(INDEX('Raw Flow Data'!$A:$ZZ,$K$5+ROW()-26+$D$12,MATCH($B$12,'Raw Flow Data'!$1:$1,0))=-999,"",INDEX('Raw Flow Data'!$A:$ZZ,$K$5+ROW()-26+$D$12,MATCH($B$12,'Raw Flow Data'!$1:$1,0))*$C$12))),"")</f>
        <v/>
      </c>
      <c r="L130" s="24">
        <f>IFERROR(IF($F$3="","",IF($K$5+ROW()-26&gt;$K$6,"",IF(INDEX('Raw Pressure Data'!$A:$ZZ,$K$5+ROW()-26+$H$3,MATCH($F$3,'Raw Pressure Data'!$1:$1,0))=-999,"",INDEX('Raw Pressure Data'!$A:$ZZ,$K$5+ROW()-26+$H$3,MATCH($F$3,'Raw Pressure Data'!$1:$1,0))+$G$3))),"")</f>
        <v/>
      </c>
      <c r="M130" s="24">
        <f>IFERROR(IF($F$4="","",IF($K$5+ROW()-26&gt;$K$6,"",IF(INDEX('Raw Pressure Data'!$A:$ZZ,$K$5+ROW()-26+$H$4,MATCH($F$4,'Raw Pressure Data'!$1:$1,0))=-999,"",INDEX('Raw Pressure Data'!$A:$ZZ,$K$5+ROW()-26+$H$4,MATCH($F$4,'Raw Pressure Data'!$1:$1,0))+$G$4))),"")</f>
        <v/>
      </c>
      <c r="N130" s="24">
        <f>IFERROR(IF($F$5="","",IF($K$5+ROW()-26&gt;$K$6,"",IF(INDEX('Raw Pressure Data'!$A:$ZZ,$K$5+ROW()-26+$H$5,MATCH($F$5,'Raw Pressure Data'!$1:$1,0))=-999,"",INDEX('Raw Pressure Data'!$A:$ZZ,$K$5+ROW()-26+$H$5,MATCH($F$5,'Raw Pressure Data'!$1:$1,0))+$G$5))),"")</f>
        <v/>
      </c>
      <c r="O130" s="24">
        <f>IFERROR(IF($F$6="","",IF($K$5+ROW()-26&gt;$K$6,"",IF(INDEX('Raw Pressure Data'!$A:$ZZ,$K$5+ROW()-26+$H$6,MATCH($F$6,'Raw Pressure Data'!$1:$1,0))=-999,"",INDEX('Raw Pressure Data'!$A:$ZZ,$K$5+ROW()-26+$H$6,MATCH($F$6,'Raw Pressure Data'!$1:$1,0))+$G$6))),"")</f>
        <v/>
      </c>
      <c r="P130" s="24">
        <f>IFERROR(IF($F$7="","",IF($K$5+ROW()-26&gt;$K$6,"",IF(INDEX('Raw Pressure Data'!$A:$ZZ,$K$5+ROW()-26+$H$7,MATCH($F$7,'Raw Pressure Data'!$1:$1,0))=-999,"",INDEX('Raw Pressure Data'!$A:$ZZ,$K$5+ROW()-26+$H$7,MATCH($F$7,'Raw Pressure Data'!$1:$1,0))+$G$7))),"")</f>
        <v/>
      </c>
      <c r="Q130" s="24">
        <f>IFERROR(IF($F$8="","",IF($K$5+ROW()-26&gt;$K$6,"",IF(INDEX('Raw Pressure Data'!$A:$ZZ,$K$5+ROW()-26+$H$8,MATCH($F$8,'Raw Pressure Data'!$1:$1,0))=-999,"",INDEX('Raw Pressure Data'!$A:$ZZ,$K$5+ROW()-26+$H$8,MATCH($F$8,'Raw Pressure Data'!$1:$1,0))+$G$8))),"")</f>
        <v/>
      </c>
      <c r="R130" s="24">
        <f>IFERROR(IF($F$9="","",IF($K$5+ROW()-26&gt;$K$6,"",IF(INDEX('Raw Pressure Data'!$A:$ZZ,$K$5+ROW()-26+$H$9,MATCH($F$9,'Raw Pressure Data'!$1:$1,0))=-999,"",INDEX('Raw Pressure Data'!$A:$ZZ,$K$5+ROW()-26+$H$9,MATCH($F$9,'Raw Pressure Data'!$1:$1,0))+$G$9))),"")</f>
        <v/>
      </c>
      <c r="S130" s="24">
        <f>IFERROR(IF($F$10="","",IF($K$5+ROW()-26&gt;$K$6,"",IF(INDEX('Raw Pressure Data'!$A:$ZZ,$K$5+ROW()-26+$H$10,MATCH($F$10,'Raw Pressure Data'!$1:$1,0))=-999,"",INDEX('Raw Pressure Data'!$A:$ZZ,$K$5+ROW()-26+$H$10,MATCH($F$10,'Raw Pressure Data'!$1:$1,0))+$G$10))),"")</f>
        <v/>
      </c>
      <c r="T130" s="24">
        <f>IFERROR(IF($F$11="","",IF($K$5+ROW()-26&gt;$K$6,"",IF(INDEX('Raw Pressure Data'!$A:$ZZ,$K$5+ROW()-26+$H$11,MATCH($F$11,'Raw Pressure Data'!$1:$1,0))=-999,"",INDEX('Raw Pressure Data'!$A:$ZZ,$K$5+ROW()-26+$H$11,MATCH($F$11,'Raw Pressure Data'!$1:$1,0))+$G$11))),"")</f>
        <v/>
      </c>
      <c r="U130" s="24">
        <f>IFERROR(IF($F$12="","",IF($K$5+ROW()-26&gt;$K$6,"",IF(INDEX('Raw Pressure Data'!$A:$ZZ,$K$5+ROW()-26+$H$12,MATCH($F$12,'Raw Pressure Data'!$1:$1,0))=-999,"",INDEX('Raw Pressure Data'!$A:$ZZ,$K$5+ROW()-26+$H$12,MATCH($F$12,'Raw Pressure Data'!$1:$1,0))+$G$12))),"")</f>
        <v/>
      </c>
      <c r="V130" s="24">
        <f>IFERROR(IF($F$13="","",IF($K$5+ROW()-26&gt;$K$6,"",IF(INDEX('Raw Pressure Data'!$A:$ZZ,$K$5+ROW()-26+$H$13,MATCH($F$13,'Raw Pressure Data'!$1:$1,0))=-999,"",INDEX('Raw Pressure Data'!$A:$ZZ,$K$5+ROW()-26+$H$13,MATCH($F$13,'Raw Pressure Data'!$1:$1,0))+$G$13))),"")</f>
        <v/>
      </c>
      <c r="W130" s="24">
        <f>IFERROR(IF($F$14="","",IF($K$5+ROW()-26&gt;$K$6,"",IF(INDEX('Raw Pressure Data'!$A:$ZZ,$K$5+ROW()-26+$H$14,MATCH($F$14,'Raw Pressure Data'!$1:$1,0))=-999,"",INDEX('Raw Pressure Data'!$A:$ZZ,$K$5+ROW()-26+$H$14,MATCH($F$14,'Raw Pressure Data'!$1:$1,0))+$G$14))),"")</f>
        <v/>
      </c>
      <c r="X130" s="24">
        <f>IFERROR(IF($F$15="","",IF($K$5+ROW()-26&gt;$K$6,"",IF(INDEX('Raw Pressure Data'!$A:$ZZ,$K$5+ROW()-26+$H$15,MATCH($F$15,'Raw Pressure Data'!$1:$1,0))=-999,"",INDEX('Raw Pressure Data'!$A:$ZZ,$K$5+ROW()-26+$H$15,MATCH($F$15,'Raw Pressure Data'!$1:$1,0))+$G$15))),"")</f>
        <v/>
      </c>
      <c r="Y130" s="24">
        <f>IFERROR(IF($F$16="","",IF($K$5+ROW()-26&gt;$K$6,"",IF(INDEX('Raw Pressure Data'!$A:$ZZ,$K$5+ROW()-26+$H$16,MATCH($F$16,'Raw Pressure Data'!$1:$1,0))=-999,"",INDEX('Raw Pressure Data'!$A:$ZZ,$K$5+ROW()-26+$H$16,MATCH($F$16,'Raw Pressure Data'!$1:$1,0))+$G$16))),"")</f>
        <v/>
      </c>
      <c r="Z130" s="24">
        <f>IFERROR(IF($F$17="","",IF($K$5+ROW()-26&gt;$K$6,"",IF(INDEX('Raw Pressure Data'!$A:$ZZ,$K$5+ROW()-26+$H$17,MATCH($F$17,'Raw Pressure Data'!$1:$1,0))=-999,"",INDEX('Raw Pressure Data'!$A:$ZZ,$K$5+ROW()-26+$H$17,MATCH($F$17,'Raw Pressure Data'!$1:$1,0))+$G$17))),"")</f>
        <v/>
      </c>
      <c r="AA130" s="24">
        <f>IFERROR(IF($F$18="","",IF($K$5+ROW()-26&gt;$K$6,"",IF(INDEX('Raw Pressure Data'!$A:$ZZ,$K$5+ROW()-26+$H$18,MATCH($F$18,'Raw Pressure Data'!$1:$1,0))=-999,"",INDEX('Raw Pressure Data'!$A:$ZZ,$K$5+ROW()-26+$H$18,MATCH($F$18,'Raw Pressure Data'!$1:$1,0))+$G$18))),"")</f>
        <v/>
      </c>
      <c r="AB130" s="24">
        <f>IFERROR(IF($F$19="","",IF($K$5+ROW()-26&gt;$K$6,"",IF(INDEX('Raw Pressure Data'!$A:$ZZ,$K$5+ROW()-26+$H$19,MATCH($F$19,'Raw Pressure Data'!$1:$1,0))=-999,"",INDEX('Raw Pressure Data'!$A:$ZZ,$K$5+ROW()-26+$H$19,MATCH($F$19,'Raw Pressure Data'!$1:$1,0))+$G$19))),"")</f>
        <v/>
      </c>
      <c r="AC130" s="24">
        <f>IFERROR(IF($F$20="","",IF($K$5+ROW()-26&gt;$K$6,"",IF(INDEX('Raw Pressure Data'!$A:$ZZ,$K$5+ROW()-26+$H$20,MATCH($F$20,'Raw Pressure Data'!$1:$1,0))=-999,"",INDEX('Raw Pressure Data'!$A:$ZZ,$K$5+ROW()-26+$H$20,MATCH($F$20,'Raw Pressure Data'!$1:$1,0))+$G$20))),"")</f>
        <v/>
      </c>
      <c r="AD130" s="24">
        <f>IFERROR(IF($F$21="","",IF($K$5+ROW()-26&gt;$K$6,"",IF(INDEX('Raw Pressure Data'!$A:$ZZ,$K$5+ROW()-26+$H$21,MATCH($F$21,'Raw Pressure Data'!$1:$1,0))=-999,"",INDEX('Raw Pressure Data'!$A:$ZZ,$K$5+ROW()-26+$H$21,MATCH($F$21,'Raw Pressure Data'!$1:$1,0))+$G$21))),"")</f>
        <v/>
      </c>
      <c r="AE130" s="24">
        <f>IFERROR(IF($F$22="","",IF($K$5+ROW()-26&gt;$K$6,"",IF(INDEX('Raw Pressure Data'!$A:$ZZ,$K$5+ROW()-26+$H$22,MATCH($F$22,'Raw Pressure Data'!$1:$1,0))=-999,"",INDEX('Raw Pressure Data'!$A:$ZZ,$K$5+ROW()-26+$H$22,MATCH($F$22,'Raw Pressure Data'!$1:$1,0))+$G$22))),"")</f>
        <v/>
      </c>
    </row>
    <row r="131" ht="15" customHeight="1">
      <c r="A131" s="25">
        <f>IFERROR(IF($K$5+ROW()-26&gt;$K$6,"",IF(INDEX('Raw Flow Data'!$A:$A,$K$5+ROW()-26)="","",INDEX('Raw Flow Data'!$A:$A,$K$5+ROW()-26))),"")</f>
        <v/>
      </c>
      <c r="B131" s="26">
        <f>IFERROR(IF($B$3="","",IF($K$5+ROW()-26&gt;$K$6,"",IF(INDEX('Raw Flow Data'!$A:$ZZ,$K$5+ROW()-26+$D$3,MATCH($B$3,'Raw Flow Data'!$1:$1,0))=-999,"",INDEX('Raw Flow Data'!$A:$ZZ,$K$5+ROW()-26+$D$3,MATCH($B$3,'Raw Flow Data'!$1:$1,0))*$C$3))),"")</f>
        <v/>
      </c>
      <c r="C131" s="26">
        <f>IFERROR(IF($B$4="","",IF($K$5+ROW()-26&gt;$K$6,"",IF(INDEX('Raw Flow Data'!$A:$ZZ,$K$5+ROW()-26+$D$4,MATCH($B$4,'Raw Flow Data'!$1:$1,0))=-999,"",INDEX('Raw Flow Data'!$A:$ZZ,$K$5+ROW()-26+$D$4,MATCH($B$4,'Raw Flow Data'!$1:$1,0))*$C$4))),"")</f>
        <v/>
      </c>
      <c r="D131" s="26">
        <f>IFERROR(IF($B$5="","",IF($K$5+ROW()-26&gt;$K$6,"",IF(INDEX('Raw Flow Data'!$A:$ZZ,$K$5+ROW()-26+$D$5,MATCH($B$5,'Raw Flow Data'!$1:$1,0))=-999,"",INDEX('Raw Flow Data'!$A:$ZZ,$K$5+ROW()-26+$D$5,MATCH($B$5,'Raw Flow Data'!$1:$1,0))*$C$5))),"")</f>
        <v/>
      </c>
      <c r="E131" s="26">
        <f>IFERROR(IF($B$6="","",IF($K$5+ROW()-26&gt;$K$6,"",IF(INDEX('Raw Flow Data'!$A:$ZZ,$K$5+ROW()-26+$D$6,MATCH($B$6,'Raw Flow Data'!$1:$1,0))=-999,"",INDEX('Raw Flow Data'!$A:$ZZ,$K$5+ROW()-26+$D$6,MATCH($B$6,'Raw Flow Data'!$1:$1,0))*$C$6))),"")</f>
        <v/>
      </c>
      <c r="F131" s="26">
        <f>IFERROR(IF($B$7="","",IF($K$5+ROW()-26&gt;$K$6,"",IF(INDEX('Raw Flow Data'!$A:$ZZ,$K$5+ROW()-26+$D$7,MATCH($B$7,'Raw Flow Data'!$1:$1,0))=-999,"",INDEX('Raw Flow Data'!$A:$ZZ,$K$5+ROW()-26+$D$7,MATCH($B$7,'Raw Flow Data'!$1:$1,0))*$C$7))),"")</f>
        <v/>
      </c>
      <c r="G131" s="26">
        <f>IFERROR(IF($B$8="","",IF($K$5+ROW()-26&gt;$K$6,"",IF(INDEX('Raw Flow Data'!$A:$ZZ,$K$5+ROW()-26+$D$8,MATCH($B$8,'Raw Flow Data'!$1:$1,0))=-999,"",INDEX('Raw Flow Data'!$A:$ZZ,$K$5+ROW()-26+$D$8,MATCH($B$8,'Raw Flow Data'!$1:$1,0))*$C$8))),"")</f>
        <v/>
      </c>
      <c r="H131" s="26">
        <f>IFERROR(IF($B$9="","",IF($K$5+ROW()-26&gt;$K$6,"",IF(INDEX('Raw Flow Data'!$A:$ZZ,$K$5+ROW()-26+$D$9,MATCH($B$9,'Raw Flow Data'!$1:$1,0))=-999,"",INDEX('Raw Flow Data'!$A:$ZZ,$K$5+ROW()-26+$D$9,MATCH($B$9,'Raw Flow Data'!$1:$1,0))*$C$9))),"")</f>
        <v/>
      </c>
      <c r="I131" s="26">
        <f>IFERROR(IF($B$10="","",IF($K$5+ROW()-26&gt;$K$6,"",IF(INDEX('Raw Flow Data'!$A:$ZZ,$K$5+ROW()-26+$D$10,MATCH($B$10,'Raw Flow Data'!$1:$1,0))=-999,"",INDEX('Raw Flow Data'!$A:$ZZ,$K$5+ROW()-26+$D$10,MATCH($B$10,'Raw Flow Data'!$1:$1,0))*$C$10))),"")</f>
        <v/>
      </c>
      <c r="J131" s="26">
        <f>IFERROR(IF($B$11="","",IF($K$5+ROW()-26&gt;$K$6,"",IF(INDEX('Raw Flow Data'!$A:$ZZ,$K$5+ROW()-26+$D$11,MATCH($B$11,'Raw Flow Data'!$1:$1,0))=-999,"",INDEX('Raw Flow Data'!$A:$ZZ,$K$5+ROW()-26+$D$11,MATCH($B$11,'Raw Flow Data'!$1:$1,0))*$C$11))),"")</f>
        <v/>
      </c>
      <c r="K131" s="26">
        <f>IFERROR(IF($B$12="","",IF($K$5+ROW()-26&gt;$K$6,"",IF(INDEX('Raw Flow Data'!$A:$ZZ,$K$5+ROW()-26+$D$12,MATCH($B$12,'Raw Flow Data'!$1:$1,0))=-999,"",INDEX('Raw Flow Data'!$A:$ZZ,$K$5+ROW()-26+$D$12,MATCH($B$12,'Raw Flow Data'!$1:$1,0))*$C$12))),"")</f>
        <v/>
      </c>
      <c r="L131" s="26">
        <f>IFERROR(IF($F$3="","",IF($K$5+ROW()-26&gt;$K$6,"",IF(INDEX('Raw Pressure Data'!$A:$ZZ,$K$5+ROW()-26+$H$3,MATCH($F$3,'Raw Pressure Data'!$1:$1,0))=-999,"",INDEX('Raw Pressure Data'!$A:$ZZ,$K$5+ROW()-26+$H$3,MATCH($F$3,'Raw Pressure Data'!$1:$1,0))+$G$3))),"")</f>
        <v/>
      </c>
      <c r="M131" s="26">
        <f>IFERROR(IF($F$4="","",IF($K$5+ROW()-26&gt;$K$6,"",IF(INDEX('Raw Pressure Data'!$A:$ZZ,$K$5+ROW()-26+$H$4,MATCH($F$4,'Raw Pressure Data'!$1:$1,0))=-999,"",INDEX('Raw Pressure Data'!$A:$ZZ,$K$5+ROW()-26+$H$4,MATCH($F$4,'Raw Pressure Data'!$1:$1,0))+$G$4))),"")</f>
        <v/>
      </c>
      <c r="N131" s="26">
        <f>IFERROR(IF($F$5="","",IF($K$5+ROW()-26&gt;$K$6,"",IF(INDEX('Raw Pressure Data'!$A:$ZZ,$K$5+ROW()-26+$H$5,MATCH($F$5,'Raw Pressure Data'!$1:$1,0))=-999,"",INDEX('Raw Pressure Data'!$A:$ZZ,$K$5+ROW()-26+$H$5,MATCH($F$5,'Raw Pressure Data'!$1:$1,0))+$G$5))),"")</f>
        <v/>
      </c>
      <c r="O131" s="26">
        <f>IFERROR(IF($F$6="","",IF($K$5+ROW()-26&gt;$K$6,"",IF(INDEX('Raw Pressure Data'!$A:$ZZ,$K$5+ROW()-26+$H$6,MATCH($F$6,'Raw Pressure Data'!$1:$1,0))=-999,"",INDEX('Raw Pressure Data'!$A:$ZZ,$K$5+ROW()-26+$H$6,MATCH($F$6,'Raw Pressure Data'!$1:$1,0))+$G$6))),"")</f>
        <v/>
      </c>
      <c r="P131" s="26">
        <f>IFERROR(IF($F$7="","",IF($K$5+ROW()-26&gt;$K$6,"",IF(INDEX('Raw Pressure Data'!$A:$ZZ,$K$5+ROW()-26+$H$7,MATCH($F$7,'Raw Pressure Data'!$1:$1,0))=-999,"",INDEX('Raw Pressure Data'!$A:$ZZ,$K$5+ROW()-26+$H$7,MATCH($F$7,'Raw Pressure Data'!$1:$1,0))+$G$7))),"")</f>
        <v/>
      </c>
      <c r="Q131" s="26">
        <f>IFERROR(IF($F$8="","",IF($K$5+ROW()-26&gt;$K$6,"",IF(INDEX('Raw Pressure Data'!$A:$ZZ,$K$5+ROW()-26+$H$8,MATCH($F$8,'Raw Pressure Data'!$1:$1,0))=-999,"",INDEX('Raw Pressure Data'!$A:$ZZ,$K$5+ROW()-26+$H$8,MATCH($F$8,'Raw Pressure Data'!$1:$1,0))+$G$8))),"")</f>
        <v/>
      </c>
      <c r="R131" s="26">
        <f>IFERROR(IF($F$9="","",IF($K$5+ROW()-26&gt;$K$6,"",IF(INDEX('Raw Pressure Data'!$A:$ZZ,$K$5+ROW()-26+$H$9,MATCH($F$9,'Raw Pressure Data'!$1:$1,0))=-999,"",INDEX('Raw Pressure Data'!$A:$ZZ,$K$5+ROW()-26+$H$9,MATCH($F$9,'Raw Pressure Data'!$1:$1,0))+$G$9))),"")</f>
        <v/>
      </c>
      <c r="S131" s="26">
        <f>IFERROR(IF($F$10="","",IF($K$5+ROW()-26&gt;$K$6,"",IF(INDEX('Raw Pressure Data'!$A:$ZZ,$K$5+ROW()-26+$H$10,MATCH($F$10,'Raw Pressure Data'!$1:$1,0))=-999,"",INDEX('Raw Pressure Data'!$A:$ZZ,$K$5+ROW()-26+$H$10,MATCH($F$10,'Raw Pressure Data'!$1:$1,0))+$G$10))),"")</f>
        <v/>
      </c>
      <c r="T131" s="26">
        <f>IFERROR(IF($F$11="","",IF($K$5+ROW()-26&gt;$K$6,"",IF(INDEX('Raw Pressure Data'!$A:$ZZ,$K$5+ROW()-26+$H$11,MATCH($F$11,'Raw Pressure Data'!$1:$1,0))=-999,"",INDEX('Raw Pressure Data'!$A:$ZZ,$K$5+ROW()-26+$H$11,MATCH($F$11,'Raw Pressure Data'!$1:$1,0))+$G$11))),"")</f>
        <v/>
      </c>
      <c r="U131" s="26">
        <f>IFERROR(IF($F$12="","",IF($K$5+ROW()-26&gt;$K$6,"",IF(INDEX('Raw Pressure Data'!$A:$ZZ,$K$5+ROW()-26+$H$12,MATCH($F$12,'Raw Pressure Data'!$1:$1,0))=-999,"",INDEX('Raw Pressure Data'!$A:$ZZ,$K$5+ROW()-26+$H$12,MATCH($F$12,'Raw Pressure Data'!$1:$1,0))+$G$12))),"")</f>
        <v/>
      </c>
      <c r="V131" s="26">
        <f>IFERROR(IF($F$13="","",IF($K$5+ROW()-26&gt;$K$6,"",IF(INDEX('Raw Pressure Data'!$A:$ZZ,$K$5+ROW()-26+$H$13,MATCH($F$13,'Raw Pressure Data'!$1:$1,0))=-999,"",INDEX('Raw Pressure Data'!$A:$ZZ,$K$5+ROW()-26+$H$13,MATCH($F$13,'Raw Pressure Data'!$1:$1,0))+$G$13))),"")</f>
        <v/>
      </c>
      <c r="W131" s="26">
        <f>IFERROR(IF($F$14="","",IF($K$5+ROW()-26&gt;$K$6,"",IF(INDEX('Raw Pressure Data'!$A:$ZZ,$K$5+ROW()-26+$H$14,MATCH($F$14,'Raw Pressure Data'!$1:$1,0))=-999,"",INDEX('Raw Pressure Data'!$A:$ZZ,$K$5+ROW()-26+$H$14,MATCH($F$14,'Raw Pressure Data'!$1:$1,0))+$G$14))),"")</f>
        <v/>
      </c>
      <c r="X131" s="26">
        <f>IFERROR(IF($F$15="","",IF($K$5+ROW()-26&gt;$K$6,"",IF(INDEX('Raw Pressure Data'!$A:$ZZ,$K$5+ROW()-26+$H$15,MATCH($F$15,'Raw Pressure Data'!$1:$1,0))=-999,"",INDEX('Raw Pressure Data'!$A:$ZZ,$K$5+ROW()-26+$H$15,MATCH($F$15,'Raw Pressure Data'!$1:$1,0))+$G$15))),"")</f>
        <v/>
      </c>
      <c r="Y131" s="26">
        <f>IFERROR(IF($F$16="","",IF($K$5+ROW()-26&gt;$K$6,"",IF(INDEX('Raw Pressure Data'!$A:$ZZ,$K$5+ROW()-26+$H$16,MATCH($F$16,'Raw Pressure Data'!$1:$1,0))=-999,"",INDEX('Raw Pressure Data'!$A:$ZZ,$K$5+ROW()-26+$H$16,MATCH($F$16,'Raw Pressure Data'!$1:$1,0))+$G$16))),"")</f>
        <v/>
      </c>
      <c r="Z131" s="26">
        <f>IFERROR(IF($F$17="","",IF($K$5+ROW()-26&gt;$K$6,"",IF(INDEX('Raw Pressure Data'!$A:$ZZ,$K$5+ROW()-26+$H$17,MATCH($F$17,'Raw Pressure Data'!$1:$1,0))=-999,"",INDEX('Raw Pressure Data'!$A:$ZZ,$K$5+ROW()-26+$H$17,MATCH($F$17,'Raw Pressure Data'!$1:$1,0))+$G$17))),"")</f>
        <v/>
      </c>
      <c r="AA131" s="26">
        <f>IFERROR(IF($F$18="","",IF($K$5+ROW()-26&gt;$K$6,"",IF(INDEX('Raw Pressure Data'!$A:$ZZ,$K$5+ROW()-26+$H$18,MATCH($F$18,'Raw Pressure Data'!$1:$1,0))=-999,"",INDEX('Raw Pressure Data'!$A:$ZZ,$K$5+ROW()-26+$H$18,MATCH($F$18,'Raw Pressure Data'!$1:$1,0))+$G$18))),"")</f>
        <v/>
      </c>
      <c r="AB131" s="26">
        <f>IFERROR(IF($F$19="","",IF($K$5+ROW()-26&gt;$K$6,"",IF(INDEX('Raw Pressure Data'!$A:$ZZ,$K$5+ROW()-26+$H$19,MATCH($F$19,'Raw Pressure Data'!$1:$1,0))=-999,"",INDEX('Raw Pressure Data'!$A:$ZZ,$K$5+ROW()-26+$H$19,MATCH($F$19,'Raw Pressure Data'!$1:$1,0))+$G$19))),"")</f>
        <v/>
      </c>
      <c r="AC131" s="26">
        <f>IFERROR(IF($F$20="","",IF($K$5+ROW()-26&gt;$K$6,"",IF(INDEX('Raw Pressure Data'!$A:$ZZ,$K$5+ROW()-26+$H$20,MATCH($F$20,'Raw Pressure Data'!$1:$1,0))=-999,"",INDEX('Raw Pressure Data'!$A:$ZZ,$K$5+ROW()-26+$H$20,MATCH($F$20,'Raw Pressure Data'!$1:$1,0))+$G$20))),"")</f>
        <v/>
      </c>
      <c r="AD131" s="26">
        <f>IFERROR(IF($F$21="","",IF($K$5+ROW()-26&gt;$K$6,"",IF(INDEX('Raw Pressure Data'!$A:$ZZ,$K$5+ROW()-26+$H$21,MATCH($F$21,'Raw Pressure Data'!$1:$1,0))=-999,"",INDEX('Raw Pressure Data'!$A:$ZZ,$K$5+ROW()-26+$H$21,MATCH($F$21,'Raw Pressure Data'!$1:$1,0))+$G$21))),"")</f>
        <v/>
      </c>
      <c r="AE131" s="26">
        <f>IFERROR(IF($F$22="","",IF($K$5+ROW()-26&gt;$K$6,"",IF(INDEX('Raw Pressure Data'!$A:$ZZ,$K$5+ROW()-26+$H$22,MATCH($F$22,'Raw Pressure Data'!$1:$1,0))=-999,"",INDEX('Raw Pressure Data'!$A:$ZZ,$K$5+ROW()-26+$H$22,MATCH($F$22,'Raw Pressure Data'!$1:$1,0))+$G$22))),"")</f>
        <v/>
      </c>
    </row>
    <row r="132" ht="15" customHeight="1">
      <c r="A132" s="23">
        <f>IFERROR(IF($K$5+ROW()-26&gt;$K$6,"",IF(INDEX('Raw Flow Data'!$A:$A,$K$5+ROW()-26)="","",INDEX('Raw Flow Data'!$A:$A,$K$5+ROW()-26))),"")</f>
        <v/>
      </c>
      <c r="B132" s="24">
        <f>IFERROR(IF($B$3="","",IF($K$5+ROW()-26&gt;$K$6,"",IF(INDEX('Raw Flow Data'!$A:$ZZ,$K$5+ROW()-26+$D$3,MATCH($B$3,'Raw Flow Data'!$1:$1,0))=-999,"",INDEX('Raw Flow Data'!$A:$ZZ,$K$5+ROW()-26+$D$3,MATCH($B$3,'Raw Flow Data'!$1:$1,0))*$C$3))),"")</f>
        <v/>
      </c>
      <c r="C132" s="24">
        <f>IFERROR(IF($B$4="","",IF($K$5+ROW()-26&gt;$K$6,"",IF(INDEX('Raw Flow Data'!$A:$ZZ,$K$5+ROW()-26+$D$4,MATCH($B$4,'Raw Flow Data'!$1:$1,0))=-999,"",INDEX('Raw Flow Data'!$A:$ZZ,$K$5+ROW()-26+$D$4,MATCH($B$4,'Raw Flow Data'!$1:$1,0))*$C$4))),"")</f>
        <v/>
      </c>
      <c r="D132" s="24">
        <f>IFERROR(IF($B$5="","",IF($K$5+ROW()-26&gt;$K$6,"",IF(INDEX('Raw Flow Data'!$A:$ZZ,$K$5+ROW()-26+$D$5,MATCH($B$5,'Raw Flow Data'!$1:$1,0))=-999,"",INDEX('Raw Flow Data'!$A:$ZZ,$K$5+ROW()-26+$D$5,MATCH($B$5,'Raw Flow Data'!$1:$1,0))*$C$5))),"")</f>
        <v/>
      </c>
      <c r="E132" s="24">
        <f>IFERROR(IF($B$6="","",IF($K$5+ROW()-26&gt;$K$6,"",IF(INDEX('Raw Flow Data'!$A:$ZZ,$K$5+ROW()-26+$D$6,MATCH($B$6,'Raw Flow Data'!$1:$1,0))=-999,"",INDEX('Raw Flow Data'!$A:$ZZ,$K$5+ROW()-26+$D$6,MATCH($B$6,'Raw Flow Data'!$1:$1,0))*$C$6))),"")</f>
        <v/>
      </c>
      <c r="F132" s="24">
        <f>IFERROR(IF($B$7="","",IF($K$5+ROW()-26&gt;$K$6,"",IF(INDEX('Raw Flow Data'!$A:$ZZ,$K$5+ROW()-26+$D$7,MATCH($B$7,'Raw Flow Data'!$1:$1,0))=-999,"",INDEX('Raw Flow Data'!$A:$ZZ,$K$5+ROW()-26+$D$7,MATCH($B$7,'Raw Flow Data'!$1:$1,0))*$C$7))),"")</f>
        <v/>
      </c>
      <c r="G132" s="24">
        <f>IFERROR(IF($B$8="","",IF($K$5+ROW()-26&gt;$K$6,"",IF(INDEX('Raw Flow Data'!$A:$ZZ,$K$5+ROW()-26+$D$8,MATCH($B$8,'Raw Flow Data'!$1:$1,0))=-999,"",INDEX('Raw Flow Data'!$A:$ZZ,$K$5+ROW()-26+$D$8,MATCH($B$8,'Raw Flow Data'!$1:$1,0))*$C$8))),"")</f>
        <v/>
      </c>
      <c r="H132" s="24">
        <f>IFERROR(IF($B$9="","",IF($K$5+ROW()-26&gt;$K$6,"",IF(INDEX('Raw Flow Data'!$A:$ZZ,$K$5+ROW()-26+$D$9,MATCH($B$9,'Raw Flow Data'!$1:$1,0))=-999,"",INDEX('Raw Flow Data'!$A:$ZZ,$K$5+ROW()-26+$D$9,MATCH($B$9,'Raw Flow Data'!$1:$1,0))*$C$9))),"")</f>
        <v/>
      </c>
      <c r="I132" s="24">
        <f>IFERROR(IF($B$10="","",IF($K$5+ROW()-26&gt;$K$6,"",IF(INDEX('Raw Flow Data'!$A:$ZZ,$K$5+ROW()-26+$D$10,MATCH($B$10,'Raw Flow Data'!$1:$1,0))=-999,"",INDEX('Raw Flow Data'!$A:$ZZ,$K$5+ROW()-26+$D$10,MATCH($B$10,'Raw Flow Data'!$1:$1,0))*$C$10))),"")</f>
        <v/>
      </c>
      <c r="J132" s="24">
        <f>IFERROR(IF($B$11="","",IF($K$5+ROW()-26&gt;$K$6,"",IF(INDEX('Raw Flow Data'!$A:$ZZ,$K$5+ROW()-26+$D$11,MATCH($B$11,'Raw Flow Data'!$1:$1,0))=-999,"",INDEX('Raw Flow Data'!$A:$ZZ,$K$5+ROW()-26+$D$11,MATCH($B$11,'Raw Flow Data'!$1:$1,0))*$C$11))),"")</f>
        <v/>
      </c>
      <c r="K132" s="24">
        <f>IFERROR(IF($B$12="","",IF($K$5+ROW()-26&gt;$K$6,"",IF(INDEX('Raw Flow Data'!$A:$ZZ,$K$5+ROW()-26+$D$12,MATCH($B$12,'Raw Flow Data'!$1:$1,0))=-999,"",INDEX('Raw Flow Data'!$A:$ZZ,$K$5+ROW()-26+$D$12,MATCH($B$12,'Raw Flow Data'!$1:$1,0))*$C$12))),"")</f>
        <v/>
      </c>
      <c r="L132" s="24">
        <f>IFERROR(IF($F$3="","",IF($K$5+ROW()-26&gt;$K$6,"",IF(INDEX('Raw Pressure Data'!$A:$ZZ,$K$5+ROW()-26+$H$3,MATCH($F$3,'Raw Pressure Data'!$1:$1,0))=-999,"",INDEX('Raw Pressure Data'!$A:$ZZ,$K$5+ROW()-26+$H$3,MATCH($F$3,'Raw Pressure Data'!$1:$1,0))+$G$3))),"")</f>
        <v/>
      </c>
      <c r="M132" s="24">
        <f>IFERROR(IF($F$4="","",IF($K$5+ROW()-26&gt;$K$6,"",IF(INDEX('Raw Pressure Data'!$A:$ZZ,$K$5+ROW()-26+$H$4,MATCH($F$4,'Raw Pressure Data'!$1:$1,0))=-999,"",INDEX('Raw Pressure Data'!$A:$ZZ,$K$5+ROW()-26+$H$4,MATCH($F$4,'Raw Pressure Data'!$1:$1,0))+$G$4))),"")</f>
        <v/>
      </c>
      <c r="N132" s="24">
        <f>IFERROR(IF($F$5="","",IF($K$5+ROW()-26&gt;$K$6,"",IF(INDEX('Raw Pressure Data'!$A:$ZZ,$K$5+ROW()-26+$H$5,MATCH($F$5,'Raw Pressure Data'!$1:$1,0))=-999,"",INDEX('Raw Pressure Data'!$A:$ZZ,$K$5+ROW()-26+$H$5,MATCH($F$5,'Raw Pressure Data'!$1:$1,0))+$G$5))),"")</f>
        <v/>
      </c>
      <c r="O132" s="24">
        <f>IFERROR(IF($F$6="","",IF($K$5+ROW()-26&gt;$K$6,"",IF(INDEX('Raw Pressure Data'!$A:$ZZ,$K$5+ROW()-26+$H$6,MATCH($F$6,'Raw Pressure Data'!$1:$1,0))=-999,"",INDEX('Raw Pressure Data'!$A:$ZZ,$K$5+ROW()-26+$H$6,MATCH($F$6,'Raw Pressure Data'!$1:$1,0))+$G$6))),"")</f>
        <v/>
      </c>
      <c r="P132" s="24">
        <f>IFERROR(IF($F$7="","",IF($K$5+ROW()-26&gt;$K$6,"",IF(INDEX('Raw Pressure Data'!$A:$ZZ,$K$5+ROW()-26+$H$7,MATCH($F$7,'Raw Pressure Data'!$1:$1,0))=-999,"",INDEX('Raw Pressure Data'!$A:$ZZ,$K$5+ROW()-26+$H$7,MATCH($F$7,'Raw Pressure Data'!$1:$1,0))+$G$7))),"")</f>
        <v/>
      </c>
      <c r="Q132" s="24">
        <f>IFERROR(IF($F$8="","",IF($K$5+ROW()-26&gt;$K$6,"",IF(INDEX('Raw Pressure Data'!$A:$ZZ,$K$5+ROW()-26+$H$8,MATCH($F$8,'Raw Pressure Data'!$1:$1,0))=-999,"",INDEX('Raw Pressure Data'!$A:$ZZ,$K$5+ROW()-26+$H$8,MATCH($F$8,'Raw Pressure Data'!$1:$1,0))+$G$8))),"")</f>
        <v/>
      </c>
      <c r="R132" s="24">
        <f>IFERROR(IF($F$9="","",IF($K$5+ROW()-26&gt;$K$6,"",IF(INDEX('Raw Pressure Data'!$A:$ZZ,$K$5+ROW()-26+$H$9,MATCH($F$9,'Raw Pressure Data'!$1:$1,0))=-999,"",INDEX('Raw Pressure Data'!$A:$ZZ,$K$5+ROW()-26+$H$9,MATCH($F$9,'Raw Pressure Data'!$1:$1,0))+$G$9))),"")</f>
        <v/>
      </c>
      <c r="S132" s="24">
        <f>IFERROR(IF($F$10="","",IF($K$5+ROW()-26&gt;$K$6,"",IF(INDEX('Raw Pressure Data'!$A:$ZZ,$K$5+ROW()-26+$H$10,MATCH($F$10,'Raw Pressure Data'!$1:$1,0))=-999,"",INDEX('Raw Pressure Data'!$A:$ZZ,$K$5+ROW()-26+$H$10,MATCH($F$10,'Raw Pressure Data'!$1:$1,0))+$G$10))),"")</f>
        <v/>
      </c>
      <c r="T132" s="24">
        <f>IFERROR(IF($F$11="","",IF($K$5+ROW()-26&gt;$K$6,"",IF(INDEX('Raw Pressure Data'!$A:$ZZ,$K$5+ROW()-26+$H$11,MATCH($F$11,'Raw Pressure Data'!$1:$1,0))=-999,"",INDEX('Raw Pressure Data'!$A:$ZZ,$K$5+ROW()-26+$H$11,MATCH($F$11,'Raw Pressure Data'!$1:$1,0))+$G$11))),"")</f>
        <v/>
      </c>
      <c r="U132" s="24">
        <f>IFERROR(IF($F$12="","",IF($K$5+ROW()-26&gt;$K$6,"",IF(INDEX('Raw Pressure Data'!$A:$ZZ,$K$5+ROW()-26+$H$12,MATCH($F$12,'Raw Pressure Data'!$1:$1,0))=-999,"",INDEX('Raw Pressure Data'!$A:$ZZ,$K$5+ROW()-26+$H$12,MATCH($F$12,'Raw Pressure Data'!$1:$1,0))+$G$12))),"")</f>
        <v/>
      </c>
      <c r="V132" s="24">
        <f>IFERROR(IF($F$13="","",IF($K$5+ROW()-26&gt;$K$6,"",IF(INDEX('Raw Pressure Data'!$A:$ZZ,$K$5+ROW()-26+$H$13,MATCH($F$13,'Raw Pressure Data'!$1:$1,0))=-999,"",INDEX('Raw Pressure Data'!$A:$ZZ,$K$5+ROW()-26+$H$13,MATCH($F$13,'Raw Pressure Data'!$1:$1,0))+$G$13))),"")</f>
        <v/>
      </c>
      <c r="W132" s="24">
        <f>IFERROR(IF($F$14="","",IF($K$5+ROW()-26&gt;$K$6,"",IF(INDEX('Raw Pressure Data'!$A:$ZZ,$K$5+ROW()-26+$H$14,MATCH($F$14,'Raw Pressure Data'!$1:$1,0))=-999,"",INDEX('Raw Pressure Data'!$A:$ZZ,$K$5+ROW()-26+$H$14,MATCH($F$14,'Raw Pressure Data'!$1:$1,0))+$G$14))),"")</f>
        <v/>
      </c>
      <c r="X132" s="24">
        <f>IFERROR(IF($F$15="","",IF($K$5+ROW()-26&gt;$K$6,"",IF(INDEX('Raw Pressure Data'!$A:$ZZ,$K$5+ROW()-26+$H$15,MATCH($F$15,'Raw Pressure Data'!$1:$1,0))=-999,"",INDEX('Raw Pressure Data'!$A:$ZZ,$K$5+ROW()-26+$H$15,MATCH($F$15,'Raw Pressure Data'!$1:$1,0))+$G$15))),"")</f>
        <v/>
      </c>
      <c r="Y132" s="24">
        <f>IFERROR(IF($F$16="","",IF($K$5+ROW()-26&gt;$K$6,"",IF(INDEX('Raw Pressure Data'!$A:$ZZ,$K$5+ROW()-26+$H$16,MATCH($F$16,'Raw Pressure Data'!$1:$1,0))=-999,"",INDEX('Raw Pressure Data'!$A:$ZZ,$K$5+ROW()-26+$H$16,MATCH($F$16,'Raw Pressure Data'!$1:$1,0))+$G$16))),"")</f>
        <v/>
      </c>
      <c r="Z132" s="24">
        <f>IFERROR(IF($F$17="","",IF($K$5+ROW()-26&gt;$K$6,"",IF(INDEX('Raw Pressure Data'!$A:$ZZ,$K$5+ROW()-26+$H$17,MATCH($F$17,'Raw Pressure Data'!$1:$1,0))=-999,"",INDEX('Raw Pressure Data'!$A:$ZZ,$K$5+ROW()-26+$H$17,MATCH($F$17,'Raw Pressure Data'!$1:$1,0))+$G$17))),"")</f>
        <v/>
      </c>
      <c r="AA132" s="24">
        <f>IFERROR(IF($F$18="","",IF($K$5+ROW()-26&gt;$K$6,"",IF(INDEX('Raw Pressure Data'!$A:$ZZ,$K$5+ROW()-26+$H$18,MATCH($F$18,'Raw Pressure Data'!$1:$1,0))=-999,"",INDEX('Raw Pressure Data'!$A:$ZZ,$K$5+ROW()-26+$H$18,MATCH($F$18,'Raw Pressure Data'!$1:$1,0))+$G$18))),"")</f>
        <v/>
      </c>
      <c r="AB132" s="24">
        <f>IFERROR(IF($F$19="","",IF($K$5+ROW()-26&gt;$K$6,"",IF(INDEX('Raw Pressure Data'!$A:$ZZ,$K$5+ROW()-26+$H$19,MATCH($F$19,'Raw Pressure Data'!$1:$1,0))=-999,"",INDEX('Raw Pressure Data'!$A:$ZZ,$K$5+ROW()-26+$H$19,MATCH($F$19,'Raw Pressure Data'!$1:$1,0))+$G$19))),"")</f>
        <v/>
      </c>
      <c r="AC132" s="24">
        <f>IFERROR(IF($F$20="","",IF($K$5+ROW()-26&gt;$K$6,"",IF(INDEX('Raw Pressure Data'!$A:$ZZ,$K$5+ROW()-26+$H$20,MATCH($F$20,'Raw Pressure Data'!$1:$1,0))=-999,"",INDEX('Raw Pressure Data'!$A:$ZZ,$K$5+ROW()-26+$H$20,MATCH($F$20,'Raw Pressure Data'!$1:$1,0))+$G$20))),"")</f>
        <v/>
      </c>
      <c r="AD132" s="24">
        <f>IFERROR(IF($F$21="","",IF($K$5+ROW()-26&gt;$K$6,"",IF(INDEX('Raw Pressure Data'!$A:$ZZ,$K$5+ROW()-26+$H$21,MATCH($F$21,'Raw Pressure Data'!$1:$1,0))=-999,"",INDEX('Raw Pressure Data'!$A:$ZZ,$K$5+ROW()-26+$H$21,MATCH($F$21,'Raw Pressure Data'!$1:$1,0))+$G$21))),"")</f>
        <v/>
      </c>
      <c r="AE132" s="24">
        <f>IFERROR(IF($F$22="","",IF($K$5+ROW()-26&gt;$K$6,"",IF(INDEX('Raw Pressure Data'!$A:$ZZ,$K$5+ROW()-26+$H$22,MATCH($F$22,'Raw Pressure Data'!$1:$1,0))=-999,"",INDEX('Raw Pressure Data'!$A:$ZZ,$K$5+ROW()-26+$H$22,MATCH($F$22,'Raw Pressure Data'!$1:$1,0))+$G$22))),"")</f>
        <v/>
      </c>
    </row>
    <row r="133" ht="15" customHeight="1">
      <c r="A133" s="25">
        <f>IFERROR(IF($K$5+ROW()-26&gt;$K$6,"",IF(INDEX('Raw Flow Data'!$A:$A,$K$5+ROW()-26)="","",INDEX('Raw Flow Data'!$A:$A,$K$5+ROW()-26))),"")</f>
        <v/>
      </c>
      <c r="B133" s="26">
        <f>IFERROR(IF($B$3="","",IF($K$5+ROW()-26&gt;$K$6,"",IF(INDEX('Raw Flow Data'!$A:$ZZ,$K$5+ROW()-26+$D$3,MATCH($B$3,'Raw Flow Data'!$1:$1,0))=-999,"",INDEX('Raw Flow Data'!$A:$ZZ,$K$5+ROW()-26+$D$3,MATCH($B$3,'Raw Flow Data'!$1:$1,0))*$C$3))),"")</f>
        <v/>
      </c>
      <c r="C133" s="26">
        <f>IFERROR(IF($B$4="","",IF($K$5+ROW()-26&gt;$K$6,"",IF(INDEX('Raw Flow Data'!$A:$ZZ,$K$5+ROW()-26+$D$4,MATCH($B$4,'Raw Flow Data'!$1:$1,0))=-999,"",INDEX('Raw Flow Data'!$A:$ZZ,$K$5+ROW()-26+$D$4,MATCH($B$4,'Raw Flow Data'!$1:$1,0))*$C$4))),"")</f>
        <v/>
      </c>
      <c r="D133" s="26">
        <f>IFERROR(IF($B$5="","",IF($K$5+ROW()-26&gt;$K$6,"",IF(INDEX('Raw Flow Data'!$A:$ZZ,$K$5+ROW()-26+$D$5,MATCH($B$5,'Raw Flow Data'!$1:$1,0))=-999,"",INDEX('Raw Flow Data'!$A:$ZZ,$K$5+ROW()-26+$D$5,MATCH($B$5,'Raw Flow Data'!$1:$1,0))*$C$5))),"")</f>
        <v/>
      </c>
      <c r="E133" s="26">
        <f>IFERROR(IF($B$6="","",IF($K$5+ROW()-26&gt;$K$6,"",IF(INDEX('Raw Flow Data'!$A:$ZZ,$K$5+ROW()-26+$D$6,MATCH($B$6,'Raw Flow Data'!$1:$1,0))=-999,"",INDEX('Raw Flow Data'!$A:$ZZ,$K$5+ROW()-26+$D$6,MATCH($B$6,'Raw Flow Data'!$1:$1,0))*$C$6))),"")</f>
        <v/>
      </c>
      <c r="F133" s="26">
        <f>IFERROR(IF($B$7="","",IF($K$5+ROW()-26&gt;$K$6,"",IF(INDEX('Raw Flow Data'!$A:$ZZ,$K$5+ROW()-26+$D$7,MATCH($B$7,'Raw Flow Data'!$1:$1,0))=-999,"",INDEX('Raw Flow Data'!$A:$ZZ,$K$5+ROW()-26+$D$7,MATCH($B$7,'Raw Flow Data'!$1:$1,0))*$C$7))),"")</f>
        <v/>
      </c>
      <c r="G133" s="26">
        <f>IFERROR(IF($B$8="","",IF($K$5+ROW()-26&gt;$K$6,"",IF(INDEX('Raw Flow Data'!$A:$ZZ,$K$5+ROW()-26+$D$8,MATCH($B$8,'Raw Flow Data'!$1:$1,0))=-999,"",INDEX('Raw Flow Data'!$A:$ZZ,$K$5+ROW()-26+$D$8,MATCH($B$8,'Raw Flow Data'!$1:$1,0))*$C$8))),"")</f>
        <v/>
      </c>
      <c r="H133" s="26">
        <f>IFERROR(IF($B$9="","",IF($K$5+ROW()-26&gt;$K$6,"",IF(INDEX('Raw Flow Data'!$A:$ZZ,$K$5+ROW()-26+$D$9,MATCH($B$9,'Raw Flow Data'!$1:$1,0))=-999,"",INDEX('Raw Flow Data'!$A:$ZZ,$K$5+ROW()-26+$D$9,MATCH($B$9,'Raw Flow Data'!$1:$1,0))*$C$9))),"")</f>
        <v/>
      </c>
      <c r="I133" s="26">
        <f>IFERROR(IF($B$10="","",IF($K$5+ROW()-26&gt;$K$6,"",IF(INDEX('Raw Flow Data'!$A:$ZZ,$K$5+ROW()-26+$D$10,MATCH($B$10,'Raw Flow Data'!$1:$1,0))=-999,"",INDEX('Raw Flow Data'!$A:$ZZ,$K$5+ROW()-26+$D$10,MATCH($B$10,'Raw Flow Data'!$1:$1,0))*$C$10))),"")</f>
        <v/>
      </c>
      <c r="J133" s="26">
        <f>IFERROR(IF($B$11="","",IF($K$5+ROW()-26&gt;$K$6,"",IF(INDEX('Raw Flow Data'!$A:$ZZ,$K$5+ROW()-26+$D$11,MATCH($B$11,'Raw Flow Data'!$1:$1,0))=-999,"",INDEX('Raw Flow Data'!$A:$ZZ,$K$5+ROW()-26+$D$11,MATCH($B$11,'Raw Flow Data'!$1:$1,0))*$C$11))),"")</f>
        <v/>
      </c>
      <c r="K133" s="26">
        <f>IFERROR(IF($B$12="","",IF($K$5+ROW()-26&gt;$K$6,"",IF(INDEX('Raw Flow Data'!$A:$ZZ,$K$5+ROW()-26+$D$12,MATCH($B$12,'Raw Flow Data'!$1:$1,0))=-999,"",INDEX('Raw Flow Data'!$A:$ZZ,$K$5+ROW()-26+$D$12,MATCH($B$12,'Raw Flow Data'!$1:$1,0))*$C$12))),"")</f>
        <v/>
      </c>
      <c r="L133" s="26">
        <f>IFERROR(IF($F$3="","",IF($K$5+ROW()-26&gt;$K$6,"",IF(INDEX('Raw Pressure Data'!$A:$ZZ,$K$5+ROW()-26+$H$3,MATCH($F$3,'Raw Pressure Data'!$1:$1,0))=-999,"",INDEX('Raw Pressure Data'!$A:$ZZ,$K$5+ROW()-26+$H$3,MATCH($F$3,'Raw Pressure Data'!$1:$1,0))+$G$3))),"")</f>
        <v/>
      </c>
      <c r="M133" s="26">
        <f>IFERROR(IF($F$4="","",IF($K$5+ROW()-26&gt;$K$6,"",IF(INDEX('Raw Pressure Data'!$A:$ZZ,$K$5+ROW()-26+$H$4,MATCH($F$4,'Raw Pressure Data'!$1:$1,0))=-999,"",INDEX('Raw Pressure Data'!$A:$ZZ,$K$5+ROW()-26+$H$4,MATCH($F$4,'Raw Pressure Data'!$1:$1,0))+$G$4))),"")</f>
        <v/>
      </c>
      <c r="N133" s="26">
        <f>IFERROR(IF($F$5="","",IF($K$5+ROW()-26&gt;$K$6,"",IF(INDEX('Raw Pressure Data'!$A:$ZZ,$K$5+ROW()-26+$H$5,MATCH($F$5,'Raw Pressure Data'!$1:$1,0))=-999,"",INDEX('Raw Pressure Data'!$A:$ZZ,$K$5+ROW()-26+$H$5,MATCH($F$5,'Raw Pressure Data'!$1:$1,0))+$G$5))),"")</f>
        <v/>
      </c>
      <c r="O133" s="26">
        <f>IFERROR(IF($F$6="","",IF($K$5+ROW()-26&gt;$K$6,"",IF(INDEX('Raw Pressure Data'!$A:$ZZ,$K$5+ROW()-26+$H$6,MATCH($F$6,'Raw Pressure Data'!$1:$1,0))=-999,"",INDEX('Raw Pressure Data'!$A:$ZZ,$K$5+ROW()-26+$H$6,MATCH($F$6,'Raw Pressure Data'!$1:$1,0))+$G$6))),"")</f>
        <v/>
      </c>
      <c r="P133" s="26">
        <f>IFERROR(IF($F$7="","",IF($K$5+ROW()-26&gt;$K$6,"",IF(INDEX('Raw Pressure Data'!$A:$ZZ,$K$5+ROW()-26+$H$7,MATCH($F$7,'Raw Pressure Data'!$1:$1,0))=-999,"",INDEX('Raw Pressure Data'!$A:$ZZ,$K$5+ROW()-26+$H$7,MATCH($F$7,'Raw Pressure Data'!$1:$1,0))+$G$7))),"")</f>
        <v/>
      </c>
      <c r="Q133" s="26">
        <f>IFERROR(IF($F$8="","",IF($K$5+ROW()-26&gt;$K$6,"",IF(INDEX('Raw Pressure Data'!$A:$ZZ,$K$5+ROW()-26+$H$8,MATCH($F$8,'Raw Pressure Data'!$1:$1,0))=-999,"",INDEX('Raw Pressure Data'!$A:$ZZ,$K$5+ROW()-26+$H$8,MATCH($F$8,'Raw Pressure Data'!$1:$1,0))+$G$8))),"")</f>
        <v/>
      </c>
      <c r="R133" s="26">
        <f>IFERROR(IF($F$9="","",IF($K$5+ROW()-26&gt;$K$6,"",IF(INDEX('Raw Pressure Data'!$A:$ZZ,$K$5+ROW()-26+$H$9,MATCH($F$9,'Raw Pressure Data'!$1:$1,0))=-999,"",INDEX('Raw Pressure Data'!$A:$ZZ,$K$5+ROW()-26+$H$9,MATCH($F$9,'Raw Pressure Data'!$1:$1,0))+$G$9))),"")</f>
        <v/>
      </c>
      <c r="S133" s="26">
        <f>IFERROR(IF($F$10="","",IF($K$5+ROW()-26&gt;$K$6,"",IF(INDEX('Raw Pressure Data'!$A:$ZZ,$K$5+ROW()-26+$H$10,MATCH($F$10,'Raw Pressure Data'!$1:$1,0))=-999,"",INDEX('Raw Pressure Data'!$A:$ZZ,$K$5+ROW()-26+$H$10,MATCH($F$10,'Raw Pressure Data'!$1:$1,0))+$G$10))),"")</f>
        <v/>
      </c>
      <c r="T133" s="26">
        <f>IFERROR(IF($F$11="","",IF($K$5+ROW()-26&gt;$K$6,"",IF(INDEX('Raw Pressure Data'!$A:$ZZ,$K$5+ROW()-26+$H$11,MATCH($F$11,'Raw Pressure Data'!$1:$1,0))=-999,"",INDEX('Raw Pressure Data'!$A:$ZZ,$K$5+ROW()-26+$H$11,MATCH($F$11,'Raw Pressure Data'!$1:$1,0))+$G$11))),"")</f>
        <v/>
      </c>
      <c r="U133" s="26">
        <f>IFERROR(IF($F$12="","",IF($K$5+ROW()-26&gt;$K$6,"",IF(INDEX('Raw Pressure Data'!$A:$ZZ,$K$5+ROW()-26+$H$12,MATCH($F$12,'Raw Pressure Data'!$1:$1,0))=-999,"",INDEX('Raw Pressure Data'!$A:$ZZ,$K$5+ROW()-26+$H$12,MATCH($F$12,'Raw Pressure Data'!$1:$1,0))+$G$12))),"")</f>
        <v/>
      </c>
      <c r="V133" s="26">
        <f>IFERROR(IF($F$13="","",IF($K$5+ROW()-26&gt;$K$6,"",IF(INDEX('Raw Pressure Data'!$A:$ZZ,$K$5+ROW()-26+$H$13,MATCH($F$13,'Raw Pressure Data'!$1:$1,0))=-999,"",INDEX('Raw Pressure Data'!$A:$ZZ,$K$5+ROW()-26+$H$13,MATCH($F$13,'Raw Pressure Data'!$1:$1,0))+$G$13))),"")</f>
        <v/>
      </c>
      <c r="W133" s="26">
        <f>IFERROR(IF($F$14="","",IF($K$5+ROW()-26&gt;$K$6,"",IF(INDEX('Raw Pressure Data'!$A:$ZZ,$K$5+ROW()-26+$H$14,MATCH($F$14,'Raw Pressure Data'!$1:$1,0))=-999,"",INDEX('Raw Pressure Data'!$A:$ZZ,$K$5+ROW()-26+$H$14,MATCH($F$14,'Raw Pressure Data'!$1:$1,0))+$G$14))),"")</f>
        <v/>
      </c>
      <c r="X133" s="26">
        <f>IFERROR(IF($F$15="","",IF($K$5+ROW()-26&gt;$K$6,"",IF(INDEX('Raw Pressure Data'!$A:$ZZ,$K$5+ROW()-26+$H$15,MATCH($F$15,'Raw Pressure Data'!$1:$1,0))=-999,"",INDEX('Raw Pressure Data'!$A:$ZZ,$K$5+ROW()-26+$H$15,MATCH($F$15,'Raw Pressure Data'!$1:$1,0))+$G$15))),"")</f>
        <v/>
      </c>
      <c r="Y133" s="26">
        <f>IFERROR(IF($F$16="","",IF($K$5+ROW()-26&gt;$K$6,"",IF(INDEX('Raw Pressure Data'!$A:$ZZ,$K$5+ROW()-26+$H$16,MATCH($F$16,'Raw Pressure Data'!$1:$1,0))=-999,"",INDEX('Raw Pressure Data'!$A:$ZZ,$K$5+ROW()-26+$H$16,MATCH($F$16,'Raw Pressure Data'!$1:$1,0))+$G$16))),"")</f>
        <v/>
      </c>
      <c r="Z133" s="26">
        <f>IFERROR(IF($F$17="","",IF($K$5+ROW()-26&gt;$K$6,"",IF(INDEX('Raw Pressure Data'!$A:$ZZ,$K$5+ROW()-26+$H$17,MATCH($F$17,'Raw Pressure Data'!$1:$1,0))=-999,"",INDEX('Raw Pressure Data'!$A:$ZZ,$K$5+ROW()-26+$H$17,MATCH($F$17,'Raw Pressure Data'!$1:$1,0))+$G$17))),"")</f>
        <v/>
      </c>
      <c r="AA133" s="26">
        <f>IFERROR(IF($F$18="","",IF($K$5+ROW()-26&gt;$K$6,"",IF(INDEX('Raw Pressure Data'!$A:$ZZ,$K$5+ROW()-26+$H$18,MATCH($F$18,'Raw Pressure Data'!$1:$1,0))=-999,"",INDEX('Raw Pressure Data'!$A:$ZZ,$K$5+ROW()-26+$H$18,MATCH($F$18,'Raw Pressure Data'!$1:$1,0))+$G$18))),"")</f>
        <v/>
      </c>
      <c r="AB133" s="26">
        <f>IFERROR(IF($F$19="","",IF($K$5+ROW()-26&gt;$K$6,"",IF(INDEX('Raw Pressure Data'!$A:$ZZ,$K$5+ROW()-26+$H$19,MATCH($F$19,'Raw Pressure Data'!$1:$1,0))=-999,"",INDEX('Raw Pressure Data'!$A:$ZZ,$K$5+ROW()-26+$H$19,MATCH($F$19,'Raw Pressure Data'!$1:$1,0))+$G$19))),"")</f>
        <v/>
      </c>
      <c r="AC133" s="26">
        <f>IFERROR(IF($F$20="","",IF($K$5+ROW()-26&gt;$K$6,"",IF(INDEX('Raw Pressure Data'!$A:$ZZ,$K$5+ROW()-26+$H$20,MATCH($F$20,'Raw Pressure Data'!$1:$1,0))=-999,"",INDEX('Raw Pressure Data'!$A:$ZZ,$K$5+ROW()-26+$H$20,MATCH($F$20,'Raw Pressure Data'!$1:$1,0))+$G$20))),"")</f>
        <v/>
      </c>
      <c r="AD133" s="26">
        <f>IFERROR(IF($F$21="","",IF($K$5+ROW()-26&gt;$K$6,"",IF(INDEX('Raw Pressure Data'!$A:$ZZ,$K$5+ROW()-26+$H$21,MATCH($F$21,'Raw Pressure Data'!$1:$1,0))=-999,"",INDEX('Raw Pressure Data'!$A:$ZZ,$K$5+ROW()-26+$H$21,MATCH($F$21,'Raw Pressure Data'!$1:$1,0))+$G$21))),"")</f>
        <v/>
      </c>
      <c r="AE133" s="26">
        <f>IFERROR(IF($F$22="","",IF($K$5+ROW()-26&gt;$K$6,"",IF(INDEX('Raw Pressure Data'!$A:$ZZ,$K$5+ROW()-26+$H$22,MATCH($F$22,'Raw Pressure Data'!$1:$1,0))=-999,"",INDEX('Raw Pressure Data'!$A:$ZZ,$K$5+ROW()-26+$H$22,MATCH($F$22,'Raw Pressure Data'!$1:$1,0))+$G$22))),"")</f>
        <v/>
      </c>
    </row>
    <row r="134" ht="15" customHeight="1">
      <c r="A134" s="23">
        <f>IFERROR(IF($K$5+ROW()-26&gt;$K$6,"",IF(INDEX('Raw Flow Data'!$A:$A,$K$5+ROW()-26)="","",INDEX('Raw Flow Data'!$A:$A,$K$5+ROW()-26))),"")</f>
        <v/>
      </c>
      <c r="B134" s="24">
        <f>IFERROR(IF($B$3="","",IF($K$5+ROW()-26&gt;$K$6,"",IF(INDEX('Raw Flow Data'!$A:$ZZ,$K$5+ROW()-26+$D$3,MATCH($B$3,'Raw Flow Data'!$1:$1,0))=-999,"",INDEX('Raw Flow Data'!$A:$ZZ,$K$5+ROW()-26+$D$3,MATCH($B$3,'Raw Flow Data'!$1:$1,0))*$C$3))),"")</f>
        <v/>
      </c>
      <c r="C134" s="24">
        <f>IFERROR(IF($B$4="","",IF($K$5+ROW()-26&gt;$K$6,"",IF(INDEX('Raw Flow Data'!$A:$ZZ,$K$5+ROW()-26+$D$4,MATCH($B$4,'Raw Flow Data'!$1:$1,0))=-999,"",INDEX('Raw Flow Data'!$A:$ZZ,$K$5+ROW()-26+$D$4,MATCH($B$4,'Raw Flow Data'!$1:$1,0))*$C$4))),"")</f>
        <v/>
      </c>
      <c r="D134" s="24">
        <f>IFERROR(IF($B$5="","",IF($K$5+ROW()-26&gt;$K$6,"",IF(INDEX('Raw Flow Data'!$A:$ZZ,$K$5+ROW()-26+$D$5,MATCH($B$5,'Raw Flow Data'!$1:$1,0))=-999,"",INDEX('Raw Flow Data'!$A:$ZZ,$K$5+ROW()-26+$D$5,MATCH($B$5,'Raw Flow Data'!$1:$1,0))*$C$5))),"")</f>
        <v/>
      </c>
      <c r="E134" s="24">
        <f>IFERROR(IF($B$6="","",IF($K$5+ROW()-26&gt;$K$6,"",IF(INDEX('Raw Flow Data'!$A:$ZZ,$K$5+ROW()-26+$D$6,MATCH($B$6,'Raw Flow Data'!$1:$1,0))=-999,"",INDEX('Raw Flow Data'!$A:$ZZ,$K$5+ROW()-26+$D$6,MATCH($B$6,'Raw Flow Data'!$1:$1,0))*$C$6))),"")</f>
        <v/>
      </c>
      <c r="F134" s="24">
        <f>IFERROR(IF($B$7="","",IF($K$5+ROW()-26&gt;$K$6,"",IF(INDEX('Raw Flow Data'!$A:$ZZ,$K$5+ROW()-26+$D$7,MATCH($B$7,'Raw Flow Data'!$1:$1,0))=-999,"",INDEX('Raw Flow Data'!$A:$ZZ,$K$5+ROW()-26+$D$7,MATCH($B$7,'Raw Flow Data'!$1:$1,0))*$C$7))),"")</f>
        <v/>
      </c>
      <c r="G134" s="24">
        <f>IFERROR(IF($B$8="","",IF($K$5+ROW()-26&gt;$K$6,"",IF(INDEX('Raw Flow Data'!$A:$ZZ,$K$5+ROW()-26+$D$8,MATCH($B$8,'Raw Flow Data'!$1:$1,0))=-999,"",INDEX('Raw Flow Data'!$A:$ZZ,$K$5+ROW()-26+$D$8,MATCH($B$8,'Raw Flow Data'!$1:$1,0))*$C$8))),"")</f>
        <v/>
      </c>
      <c r="H134" s="24">
        <f>IFERROR(IF($B$9="","",IF($K$5+ROW()-26&gt;$K$6,"",IF(INDEX('Raw Flow Data'!$A:$ZZ,$K$5+ROW()-26+$D$9,MATCH($B$9,'Raw Flow Data'!$1:$1,0))=-999,"",INDEX('Raw Flow Data'!$A:$ZZ,$K$5+ROW()-26+$D$9,MATCH($B$9,'Raw Flow Data'!$1:$1,0))*$C$9))),"")</f>
        <v/>
      </c>
      <c r="I134" s="24">
        <f>IFERROR(IF($B$10="","",IF($K$5+ROW()-26&gt;$K$6,"",IF(INDEX('Raw Flow Data'!$A:$ZZ,$K$5+ROW()-26+$D$10,MATCH($B$10,'Raw Flow Data'!$1:$1,0))=-999,"",INDEX('Raw Flow Data'!$A:$ZZ,$K$5+ROW()-26+$D$10,MATCH($B$10,'Raw Flow Data'!$1:$1,0))*$C$10))),"")</f>
        <v/>
      </c>
      <c r="J134" s="24">
        <f>IFERROR(IF($B$11="","",IF($K$5+ROW()-26&gt;$K$6,"",IF(INDEX('Raw Flow Data'!$A:$ZZ,$K$5+ROW()-26+$D$11,MATCH($B$11,'Raw Flow Data'!$1:$1,0))=-999,"",INDEX('Raw Flow Data'!$A:$ZZ,$K$5+ROW()-26+$D$11,MATCH($B$11,'Raw Flow Data'!$1:$1,0))*$C$11))),"")</f>
        <v/>
      </c>
      <c r="K134" s="24">
        <f>IFERROR(IF($B$12="","",IF($K$5+ROW()-26&gt;$K$6,"",IF(INDEX('Raw Flow Data'!$A:$ZZ,$K$5+ROW()-26+$D$12,MATCH($B$12,'Raw Flow Data'!$1:$1,0))=-999,"",INDEX('Raw Flow Data'!$A:$ZZ,$K$5+ROW()-26+$D$12,MATCH($B$12,'Raw Flow Data'!$1:$1,0))*$C$12))),"")</f>
        <v/>
      </c>
      <c r="L134" s="24">
        <f>IFERROR(IF($F$3="","",IF($K$5+ROW()-26&gt;$K$6,"",IF(INDEX('Raw Pressure Data'!$A:$ZZ,$K$5+ROW()-26+$H$3,MATCH($F$3,'Raw Pressure Data'!$1:$1,0))=-999,"",INDEX('Raw Pressure Data'!$A:$ZZ,$K$5+ROW()-26+$H$3,MATCH($F$3,'Raw Pressure Data'!$1:$1,0))+$G$3))),"")</f>
        <v/>
      </c>
      <c r="M134" s="24">
        <f>IFERROR(IF($F$4="","",IF($K$5+ROW()-26&gt;$K$6,"",IF(INDEX('Raw Pressure Data'!$A:$ZZ,$K$5+ROW()-26+$H$4,MATCH($F$4,'Raw Pressure Data'!$1:$1,0))=-999,"",INDEX('Raw Pressure Data'!$A:$ZZ,$K$5+ROW()-26+$H$4,MATCH($F$4,'Raw Pressure Data'!$1:$1,0))+$G$4))),"")</f>
        <v/>
      </c>
      <c r="N134" s="24">
        <f>IFERROR(IF($F$5="","",IF($K$5+ROW()-26&gt;$K$6,"",IF(INDEX('Raw Pressure Data'!$A:$ZZ,$K$5+ROW()-26+$H$5,MATCH($F$5,'Raw Pressure Data'!$1:$1,0))=-999,"",INDEX('Raw Pressure Data'!$A:$ZZ,$K$5+ROW()-26+$H$5,MATCH($F$5,'Raw Pressure Data'!$1:$1,0))+$G$5))),"")</f>
        <v/>
      </c>
      <c r="O134" s="24">
        <f>IFERROR(IF($F$6="","",IF($K$5+ROW()-26&gt;$K$6,"",IF(INDEX('Raw Pressure Data'!$A:$ZZ,$K$5+ROW()-26+$H$6,MATCH($F$6,'Raw Pressure Data'!$1:$1,0))=-999,"",INDEX('Raw Pressure Data'!$A:$ZZ,$K$5+ROW()-26+$H$6,MATCH($F$6,'Raw Pressure Data'!$1:$1,0))+$G$6))),"")</f>
        <v/>
      </c>
      <c r="P134" s="24">
        <f>IFERROR(IF($F$7="","",IF($K$5+ROW()-26&gt;$K$6,"",IF(INDEX('Raw Pressure Data'!$A:$ZZ,$K$5+ROW()-26+$H$7,MATCH($F$7,'Raw Pressure Data'!$1:$1,0))=-999,"",INDEX('Raw Pressure Data'!$A:$ZZ,$K$5+ROW()-26+$H$7,MATCH($F$7,'Raw Pressure Data'!$1:$1,0))+$G$7))),"")</f>
        <v/>
      </c>
      <c r="Q134" s="24">
        <f>IFERROR(IF($F$8="","",IF($K$5+ROW()-26&gt;$K$6,"",IF(INDEX('Raw Pressure Data'!$A:$ZZ,$K$5+ROW()-26+$H$8,MATCH($F$8,'Raw Pressure Data'!$1:$1,0))=-999,"",INDEX('Raw Pressure Data'!$A:$ZZ,$K$5+ROW()-26+$H$8,MATCH($F$8,'Raw Pressure Data'!$1:$1,0))+$G$8))),"")</f>
        <v/>
      </c>
      <c r="R134" s="24">
        <f>IFERROR(IF($F$9="","",IF($K$5+ROW()-26&gt;$K$6,"",IF(INDEX('Raw Pressure Data'!$A:$ZZ,$K$5+ROW()-26+$H$9,MATCH($F$9,'Raw Pressure Data'!$1:$1,0))=-999,"",INDEX('Raw Pressure Data'!$A:$ZZ,$K$5+ROW()-26+$H$9,MATCH($F$9,'Raw Pressure Data'!$1:$1,0))+$G$9))),"")</f>
        <v/>
      </c>
      <c r="S134" s="24">
        <f>IFERROR(IF($F$10="","",IF($K$5+ROW()-26&gt;$K$6,"",IF(INDEX('Raw Pressure Data'!$A:$ZZ,$K$5+ROW()-26+$H$10,MATCH($F$10,'Raw Pressure Data'!$1:$1,0))=-999,"",INDEX('Raw Pressure Data'!$A:$ZZ,$K$5+ROW()-26+$H$10,MATCH($F$10,'Raw Pressure Data'!$1:$1,0))+$G$10))),"")</f>
        <v/>
      </c>
      <c r="T134" s="24">
        <f>IFERROR(IF($F$11="","",IF($K$5+ROW()-26&gt;$K$6,"",IF(INDEX('Raw Pressure Data'!$A:$ZZ,$K$5+ROW()-26+$H$11,MATCH($F$11,'Raw Pressure Data'!$1:$1,0))=-999,"",INDEX('Raw Pressure Data'!$A:$ZZ,$K$5+ROW()-26+$H$11,MATCH($F$11,'Raw Pressure Data'!$1:$1,0))+$G$11))),"")</f>
        <v/>
      </c>
      <c r="U134" s="24">
        <f>IFERROR(IF($F$12="","",IF($K$5+ROW()-26&gt;$K$6,"",IF(INDEX('Raw Pressure Data'!$A:$ZZ,$K$5+ROW()-26+$H$12,MATCH($F$12,'Raw Pressure Data'!$1:$1,0))=-999,"",INDEX('Raw Pressure Data'!$A:$ZZ,$K$5+ROW()-26+$H$12,MATCH($F$12,'Raw Pressure Data'!$1:$1,0))+$G$12))),"")</f>
        <v/>
      </c>
      <c r="V134" s="24">
        <f>IFERROR(IF($F$13="","",IF($K$5+ROW()-26&gt;$K$6,"",IF(INDEX('Raw Pressure Data'!$A:$ZZ,$K$5+ROW()-26+$H$13,MATCH($F$13,'Raw Pressure Data'!$1:$1,0))=-999,"",INDEX('Raw Pressure Data'!$A:$ZZ,$K$5+ROW()-26+$H$13,MATCH($F$13,'Raw Pressure Data'!$1:$1,0))+$G$13))),"")</f>
        <v/>
      </c>
      <c r="W134" s="24">
        <f>IFERROR(IF($F$14="","",IF($K$5+ROW()-26&gt;$K$6,"",IF(INDEX('Raw Pressure Data'!$A:$ZZ,$K$5+ROW()-26+$H$14,MATCH($F$14,'Raw Pressure Data'!$1:$1,0))=-999,"",INDEX('Raw Pressure Data'!$A:$ZZ,$K$5+ROW()-26+$H$14,MATCH($F$14,'Raw Pressure Data'!$1:$1,0))+$G$14))),"")</f>
        <v/>
      </c>
      <c r="X134" s="24">
        <f>IFERROR(IF($F$15="","",IF($K$5+ROW()-26&gt;$K$6,"",IF(INDEX('Raw Pressure Data'!$A:$ZZ,$K$5+ROW()-26+$H$15,MATCH($F$15,'Raw Pressure Data'!$1:$1,0))=-999,"",INDEX('Raw Pressure Data'!$A:$ZZ,$K$5+ROW()-26+$H$15,MATCH($F$15,'Raw Pressure Data'!$1:$1,0))+$G$15))),"")</f>
        <v/>
      </c>
      <c r="Y134" s="24">
        <f>IFERROR(IF($F$16="","",IF($K$5+ROW()-26&gt;$K$6,"",IF(INDEX('Raw Pressure Data'!$A:$ZZ,$K$5+ROW()-26+$H$16,MATCH($F$16,'Raw Pressure Data'!$1:$1,0))=-999,"",INDEX('Raw Pressure Data'!$A:$ZZ,$K$5+ROW()-26+$H$16,MATCH($F$16,'Raw Pressure Data'!$1:$1,0))+$G$16))),"")</f>
        <v/>
      </c>
      <c r="Z134" s="24">
        <f>IFERROR(IF($F$17="","",IF($K$5+ROW()-26&gt;$K$6,"",IF(INDEX('Raw Pressure Data'!$A:$ZZ,$K$5+ROW()-26+$H$17,MATCH($F$17,'Raw Pressure Data'!$1:$1,0))=-999,"",INDEX('Raw Pressure Data'!$A:$ZZ,$K$5+ROW()-26+$H$17,MATCH($F$17,'Raw Pressure Data'!$1:$1,0))+$G$17))),"")</f>
        <v/>
      </c>
      <c r="AA134" s="24">
        <f>IFERROR(IF($F$18="","",IF($K$5+ROW()-26&gt;$K$6,"",IF(INDEX('Raw Pressure Data'!$A:$ZZ,$K$5+ROW()-26+$H$18,MATCH($F$18,'Raw Pressure Data'!$1:$1,0))=-999,"",INDEX('Raw Pressure Data'!$A:$ZZ,$K$5+ROW()-26+$H$18,MATCH($F$18,'Raw Pressure Data'!$1:$1,0))+$G$18))),"")</f>
        <v/>
      </c>
      <c r="AB134" s="24">
        <f>IFERROR(IF($F$19="","",IF($K$5+ROW()-26&gt;$K$6,"",IF(INDEX('Raw Pressure Data'!$A:$ZZ,$K$5+ROW()-26+$H$19,MATCH($F$19,'Raw Pressure Data'!$1:$1,0))=-999,"",INDEX('Raw Pressure Data'!$A:$ZZ,$K$5+ROW()-26+$H$19,MATCH($F$19,'Raw Pressure Data'!$1:$1,0))+$G$19))),"")</f>
        <v/>
      </c>
      <c r="AC134" s="24">
        <f>IFERROR(IF($F$20="","",IF($K$5+ROW()-26&gt;$K$6,"",IF(INDEX('Raw Pressure Data'!$A:$ZZ,$K$5+ROW()-26+$H$20,MATCH($F$20,'Raw Pressure Data'!$1:$1,0))=-999,"",INDEX('Raw Pressure Data'!$A:$ZZ,$K$5+ROW()-26+$H$20,MATCH($F$20,'Raw Pressure Data'!$1:$1,0))+$G$20))),"")</f>
        <v/>
      </c>
      <c r="AD134" s="24">
        <f>IFERROR(IF($F$21="","",IF($K$5+ROW()-26&gt;$K$6,"",IF(INDEX('Raw Pressure Data'!$A:$ZZ,$K$5+ROW()-26+$H$21,MATCH($F$21,'Raw Pressure Data'!$1:$1,0))=-999,"",INDEX('Raw Pressure Data'!$A:$ZZ,$K$5+ROW()-26+$H$21,MATCH($F$21,'Raw Pressure Data'!$1:$1,0))+$G$21))),"")</f>
        <v/>
      </c>
      <c r="AE134" s="24">
        <f>IFERROR(IF($F$22="","",IF($K$5+ROW()-26&gt;$K$6,"",IF(INDEX('Raw Pressure Data'!$A:$ZZ,$K$5+ROW()-26+$H$22,MATCH($F$22,'Raw Pressure Data'!$1:$1,0))=-999,"",INDEX('Raw Pressure Data'!$A:$ZZ,$K$5+ROW()-26+$H$22,MATCH($F$22,'Raw Pressure Data'!$1:$1,0))+$G$22))),"")</f>
        <v/>
      </c>
    </row>
    <row r="135" ht="15" customHeight="1">
      <c r="A135" s="25">
        <f>IFERROR(IF($K$5+ROW()-26&gt;$K$6,"",IF(INDEX('Raw Flow Data'!$A:$A,$K$5+ROW()-26)="","",INDEX('Raw Flow Data'!$A:$A,$K$5+ROW()-26))),"")</f>
        <v/>
      </c>
      <c r="B135" s="26">
        <f>IFERROR(IF($B$3="","",IF($K$5+ROW()-26&gt;$K$6,"",IF(INDEX('Raw Flow Data'!$A:$ZZ,$K$5+ROW()-26+$D$3,MATCH($B$3,'Raw Flow Data'!$1:$1,0))=-999,"",INDEX('Raw Flow Data'!$A:$ZZ,$K$5+ROW()-26+$D$3,MATCH($B$3,'Raw Flow Data'!$1:$1,0))*$C$3))),"")</f>
        <v/>
      </c>
      <c r="C135" s="26">
        <f>IFERROR(IF($B$4="","",IF($K$5+ROW()-26&gt;$K$6,"",IF(INDEX('Raw Flow Data'!$A:$ZZ,$K$5+ROW()-26+$D$4,MATCH($B$4,'Raw Flow Data'!$1:$1,0))=-999,"",INDEX('Raw Flow Data'!$A:$ZZ,$K$5+ROW()-26+$D$4,MATCH($B$4,'Raw Flow Data'!$1:$1,0))*$C$4))),"")</f>
        <v/>
      </c>
      <c r="D135" s="26">
        <f>IFERROR(IF($B$5="","",IF($K$5+ROW()-26&gt;$K$6,"",IF(INDEX('Raw Flow Data'!$A:$ZZ,$K$5+ROW()-26+$D$5,MATCH($B$5,'Raw Flow Data'!$1:$1,0))=-999,"",INDEX('Raw Flow Data'!$A:$ZZ,$K$5+ROW()-26+$D$5,MATCH($B$5,'Raw Flow Data'!$1:$1,0))*$C$5))),"")</f>
        <v/>
      </c>
      <c r="E135" s="26">
        <f>IFERROR(IF($B$6="","",IF($K$5+ROW()-26&gt;$K$6,"",IF(INDEX('Raw Flow Data'!$A:$ZZ,$K$5+ROW()-26+$D$6,MATCH($B$6,'Raw Flow Data'!$1:$1,0))=-999,"",INDEX('Raw Flow Data'!$A:$ZZ,$K$5+ROW()-26+$D$6,MATCH($B$6,'Raw Flow Data'!$1:$1,0))*$C$6))),"")</f>
        <v/>
      </c>
      <c r="F135" s="26">
        <f>IFERROR(IF($B$7="","",IF($K$5+ROW()-26&gt;$K$6,"",IF(INDEX('Raw Flow Data'!$A:$ZZ,$K$5+ROW()-26+$D$7,MATCH($B$7,'Raw Flow Data'!$1:$1,0))=-999,"",INDEX('Raw Flow Data'!$A:$ZZ,$K$5+ROW()-26+$D$7,MATCH($B$7,'Raw Flow Data'!$1:$1,0))*$C$7))),"")</f>
        <v/>
      </c>
      <c r="G135" s="26">
        <f>IFERROR(IF($B$8="","",IF($K$5+ROW()-26&gt;$K$6,"",IF(INDEX('Raw Flow Data'!$A:$ZZ,$K$5+ROW()-26+$D$8,MATCH($B$8,'Raw Flow Data'!$1:$1,0))=-999,"",INDEX('Raw Flow Data'!$A:$ZZ,$K$5+ROW()-26+$D$8,MATCH($B$8,'Raw Flow Data'!$1:$1,0))*$C$8))),"")</f>
        <v/>
      </c>
      <c r="H135" s="26">
        <f>IFERROR(IF($B$9="","",IF($K$5+ROW()-26&gt;$K$6,"",IF(INDEX('Raw Flow Data'!$A:$ZZ,$K$5+ROW()-26+$D$9,MATCH($B$9,'Raw Flow Data'!$1:$1,0))=-999,"",INDEX('Raw Flow Data'!$A:$ZZ,$K$5+ROW()-26+$D$9,MATCH($B$9,'Raw Flow Data'!$1:$1,0))*$C$9))),"")</f>
        <v/>
      </c>
      <c r="I135" s="26">
        <f>IFERROR(IF($B$10="","",IF($K$5+ROW()-26&gt;$K$6,"",IF(INDEX('Raw Flow Data'!$A:$ZZ,$K$5+ROW()-26+$D$10,MATCH($B$10,'Raw Flow Data'!$1:$1,0))=-999,"",INDEX('Raw Flow Data'!$A:$ZZ,$K$5+ROW()-26+$D$10,MATCH($B$10,'Raw Flow Data'!$1:$1,0))*$C$10))),"")</f>
        <v/>
      </c>
      <c r="J135" s="26">
        <f>IFERROR(IF($B$11="","",IF($K$5+ROW()-26&gt;$K$6,"",IF(INDEX('Raw Flow Data'!$A:$ZZ,$K$5+ROW()-26+$D$11,MATCH($B$11,'Raw Flow Data'!$1:$1,0))=-999,"",INDEX('Raw Flow Data'!$A:$ZZ,$K$5+ROW()-26+$D$11,MATCH($B$11,'Raw Flow Data'!$1:$1,0))*$C$11))),"")</f>
        <v/>
      </c>
      <c r="K135" s="26">
        <f>IFERROR(IF($B$12="","",IF($K$5+ROW()-26&gt;$K$6,"",IF(INDEX('Raw Flow Data'!$A:$ZZ,$K$5+ROW()-26+$D$12,MATCH($B$12,'Raw Flow Data'!$1:$1,0))=-999,"",INDEX('Raw Flow Data'!$A:$ZZ,$K$5+ROW()-26+$D$12,MATCH($B$12,'Raw Flow Data'!$1:$1,0))*$C$12))),"")</f>
        <v/>
      </c>
      <c r="L135" s="26">
        <f>IFERROR(IF($F$3="","",IF($K$5+ROW()-26&gt;$K$6,"",IF(INDEX('Raw Pressure Data'!$A:$ZZ,$K$5+ROW()-26+$H$3,MATCH($F$3,'Raw Pressure Data'!$1:$1,0))=-999,"",INDEX('Raw Pressure Data'!$A:$ZZ,$K$5+ROW()-26+$H$3,MATCH($F$3,'Raw Pressure Data'!$1:$1,0))+$G$3))),"")</f>
        <v/>
      </c>
      <c r="M135" s="26">
        <f>IFERROR(IF($F$4="","",IF($K$5+ROW()-26&gt;$K$6,"",IF(INDEX('Raw Pressure Data'!$A:$ZZ,$K$5+ROW()-26+$H$4,MATCH($F$4,'Raw Pressure Data'!$1:$1,0))=-999,"",INDEX('Raw Pressure Data'!$A:$ZZ,$K$5+ROW()-26+$H$4,MATCH($F$4,'Raw Pressure Data'!$1:$1,0))+$G$4))),"")</f>
        <v/>
      </c>
      <c r="N135" s="26">
        <f>IFERROR(IF($F$5="","",IF($K$5+ROW()-26&gt;$K$6,"",IF(INDEX('Raw Pressure Data'!$A:$ZZ,$K$5+ROW()-26+$H$5,MATCH($F$5,'Raw Pressure Data'!$1:$1,0))=-999,"",INDEX('Raw Pressure Data'!$A:$ZZ,$K$5+ROW()-26+$H$5,MATCH($F$5,'Raw Pressure Data'!$1:$1,0))+$G$5))),"")</f>
        <v/>
      </c>
      <c r="O135" s="26">
        <f>IFERROR(IF($F$6="","",IF($K$5+ROW()-26&gt;$K$6,"",IF(INDEX('Raw Pressure Data'!$A:$ZZ,$K$5+ROW()-26+$H$6,MATCH($F$6,'Raw Pressure Data'!$1:$1,0))=-999,"",INDEX('Raw Pressure Data'!$A:$ZZ,$K$5+ROW()-26+$H$6,MATCH($F$6,'Raw Pressure Data'!$1:$1,0))+$G$6))),"")</f>
        <v/>
      </c>
      <c r="P135" s="26">
        <f>IFERROR(IF($F$7="","",IF($K$5+ROW()-26&gt;$K$6,"",IF(INDEX('Raw Pressure Data'!$A:$ZZ,$K$5+ROW()-26+$H$7,MATCH($F$7,'Raw Pressure Data'!$1:$1,0))=-999,"",INDEX('Raw Pressure Data'!$A:$ZZ,$K$5+ROW()-26+$H$7,MATCH($F$7,'Raw Pressure Data'!$1:$1,0))+$G$7))),"")</f>
        <v/>
      </c>
      <c r="Q135" s="26">
        <f>IFERROR(IF($F$8="","",IF($K$5+ROW()-26&gt;$K$6,"",IF(INDEX('Raw Pressure Data'!$A:$ZZ,$K$5+ROW()-26+$H$8,MATCH($F$8,'Raw Pressure Data'!$1:$1,0))=-999,"",INDEX('Raw Pressure Data'!$A:$ZZ,$K$5+ROW()-26+$H$8,MATCH($F$8,'Raw Pressure Data'!$1:$1,0))+$G$8))),"")</f>
        <v/>
      </c>
      <c r="R135" s="26">
        <f>IFERROR(IF($F$9="","",IF($K$5+ROW()-26&gt;$K$6,"",IF(INDEX('Raw Pressure Data'!$A:$ZZ,$K$5+ROW()-26+$H$9,MATCH($F$9,'Raw Pressure Data'!$1:$1,0))=-999,"",INDEX('Raw Pressure Data'!$A:$ZZ,$K$5+ROW()-26+$H$9,MATCH($F$9,'Raw Pressure Data'!$1:$1,0))+$G$9))),"")</f>
        <v/>
      </c>
      <c r="S135" s="26">
        <f>IFERROR(IF($F$10="","",IF($K$5+ROW()-26&gt;$K$6,"",IF(INDEX('Raw Pressure Data'!$A:$ZZ,$K$5+ROW()-26+$H$10,MATCH($F$10,'Raw Pressure Data'!$1:$1,0))=-999,"",INDEX('Raw Pressure Data'!$A:$ZZ,$K$5+ROW()-26+$H$10,MATCH($F$10,'Raw Pressure Data'!$1:$1,0))+$G$10))),"")</f>
        <v/>
      </c>
      <c r="T135" s="26">
        <f>IFERROR(IF($F$11="","",IF($K$5+ROW()-26&gt;$K$6,"",IF(INDEX('Raw Pressure Data'!$A:$ZZ,$K$5+ROW()-26+$H$11,MATCH($F$11,'Raw Pressure Data'!$1:$1,0))=-999,"",INDEX('Raw Pressure Data'!$A:$ZZ,$K$5+ROW()-26+$H$11,MATCH($F$11,'Raw Pressure Data'!$1:$1,0))+$G$11))),"")</f>
        <v/>
      </c>
      <c r="U135" s="26">
        <f>IFERROR(IF($F$12="","",IF($K$5+ROW()-26&gt;$K$6,"",IF(INDEX('Raw Pressure Data'!$A:$ZZ,$K$5+ROW()-26+$H$12,MATCH($F$12,'Raw Pressure Data'!$1:$1,0))=-999,"",INDEX('Raw Pressure Data'!$A:$ZZ,$K$5+ROW()-26+$H$12,MATCH($F$12,'Raw Pressure Data'!$1:$1,0))+$G$12))),"")</f>
        <v/>
      </c>
      <c r="V135" s="26">
        <f>IFERROR(IF($F$13="","",IF($K$5+ROW()-26&gt;$K$6,"",IF(INDEX('Raw Pressure Data'!$A:$ZZ,$K$5+ROW()-26+$H$13,MATCH($F$13,'Raw Pressure Data'!$1:$1,0))=-999,"",INDEX('Raw Pressure Data'!$A:$ZZ,$K$5+ROW()-26+$H$13,MATCH($F$13,'Raw Pressure Data'!$1:$1,0))+$G$13))),"")</f>
        <v/>
      </c>
      <c r="W135" s="26">
        <f>IFERROR(IF($F$14="","",IF($K$5+ROW()-26&gt;$K$6,"",IF(INDEX('Raw Pressure Data'!$A:$ZZ,$K$5+ROW()-26+$H$14,MATCH($F$14,'Raw Pressure Data'!$1:$1,0))=-999,"",INDEX('Raw Pressure Data'!$A:$ZZ,$K$5+ROW()-26+$H$14,MATCH($F$14,'Raw Pressure Data'!$1:$1,0))+$G$14))),"")</f>
        <v/>
      </c>
      <c r="X135" s="26">
        <f>IFERROR(IF($F$15="","",IF($K$5+ROW()-26&gt;$K$6,"",IF(INDEX('Raw Pressure Data'!$A:$ZZ,$K$5+ROW()-26+$H$15,MATCH($F$15,'Raw Pressure Data'!$1:$1,0))=-999,"",INDEX('Raw Pressure Data'!$A:$ZZ,$K$5+ROW()-26+$H$15,MATCH($F$15,'Raw Pressure Data'!$1:$1,0))+$G$15))),"")</f>
        <v/>
      </c>
      <c r="Y135" s="26">
        <f>IFERROR(IF($F$16="","",IF($K$5+ROW()-26&gt;$K$6,"",IF(INDEX('Raw Pressure Data'!$A:$ZZ,$K$5+ROW()-26+$H$16,MATCH($F$16,'Raw Pressure Data'!$1:$1,0))=-999,"",INDEX('Raw Pressure Data'!$A:$ZZ,$K$5+ROW()-26+$H$16,MATCH($F$16,'Raw Pressure Data'!$1:$1,0))+$G$16))),"")</f>
        <v/>
      </c>
      <c r="Z135" s="26">
        <f>IFERROR(IF($F$17="","",IF($K$5+ROW()-26&gt;$K$6,"",IF(INDEX('Raw Pressure Data'!$A:$ZZ,$K$5+ROW()-26+$H$17,MATCH($F$17,'Raw Pressure Data'!$1:$1,0))=-999,"",INDEX('Raw Pressure Data'!$A:$ZZ,$K$5+ROW()-26+$H$17,MATCH($F$17,'Raw Pressure Data'!$1:$1,0))+$G$17))),"")</f>
        <v/>
      </c>
      <c r="AA135" s="26">
        <f>IFERROR(IF($F$18="","",IF($K$5+ROW()-26&gt;$K$6,"",IF(INDEX('Raw Pressure Data'!$A:$ZZ,$K$5+ROW()-26+$H$18,MATCH($F$18,'Raw Pressure Data'!$1:$1,0))=-999,"",INDEX('Raw Pressure Data'!$A:$ZZ,$K$5+ROW()-26+$H$18,MATCH($F$18,'Raw Pressure Data'!$1:$1,0))+$G$18))),"")</f>
        <v/>
      </c>
      <c r="AB135" s="26">
        <f>IFERROR(IF($F$19="","",IF($K$5+ROW()-26&gt;$K$6,"",IF(INDEX('Raw Pressure Data'!$A:$ZZ,$K$5+ROW()-26+$H$19,MATCH($F$19,'Raw Pressure Data'!$1:$1,0))=-999,"",INDEX('Raw Pressure Data'!$A:$ZZ,$K$5+ROW()-26+$H$19,MATCH($F$19,'Raw Pressure Data'!$1:$1,0))+$G$19))),"")</f>
        <v/>
      </c>
      <c r="AC135" s="26">
        <f>IFERROR(IF($F$20="","",IF($K$5+ROW()-26&gt;$K$6,"",IF(INDEX('Raw Pressure Data'!$A:$ZZ,$K$5+ROW()-26+$H$20,MATCH($F$20,'Raw Pressure Data'!$1:$1,0))=-999,"",INDEX('Raw Pressure Data'!$A:$ZZ,$K$5+ROW()-26+$H$20,MATCH($F$20,'Raw Pressure Data'!$1:$1,0))+$G$20))),"")</f>
        <v/>
      </c>
      <c r="AD135" s="26">
        <f>IFERROR(IF($F$21="","",IF($K$5+ROW()-26&gt;$K$6,"",IF(INDEX('Raw Pressure Data'!$A:$ZZ,$K$5+ROW()-26+$H$21,MATCH($F$21,'Raw Pressure Data'!$1:$1,0))=-999,"",INDEX('Raw Pressure Data'!$A:$ZZ,$K$5+ROW()-26+$H$21,MATCH($F$21,'Raw Pressure Data'!$1:$1,0))+$G$21))),"")</f>
        <v/>
      </c>
      <c r="AE135" s="26">
        <f>IFERROR(IF($F$22="","",IF($K$5+ROW()-26&gt;$K$6,"",IF(INDEX('Raw Pressure Data'!$A:$ZZ,$K$5+ROW()-26+$H$22,MATCH($F$22,'Raw Pressure Data'!$1:$1,0))=-999,"",INDEX('Raw Pressure Data'!$A:$ZZ,$K$5+ROW()-26+$H$22,MATCH($F$22,'Raw Pressure Data'!$1:$1,0))+$G$22))),"")</f>
        <v/>
      </c>
    </row>
    <row r="136" ht="15" customHeight="1">
      <c r="A136" s="23">
        <f>IFERROR(IF($K$5+ROW()-26&gt;$K$6,"",IF(INDEX('Raw Flow Data'!$A:$A,$K$5+ROW()-26)="","",INDEX('Raw Flow Data'!$A:$A,$K$5+ROW()-26))),"")</f>
        <v/>
      </c>
      <c r="B136" s="24">
        <f>IFERROR(IF($B$3="","",IF($K$5+ROW()-26&gt;$K$6,"",IF(INDEX('Raw Flow Data'!$A:$ZZ,$K$5+ROW()-26+$D$3,MATCH($B$3,'Raw Flow Data'!$1:$1,0))=-999,"",INDEX('Raw Flow Data'!$A:$ZZ,$K$5+ROW()-26+$D$3,MATCH($B$3,'Raw Flow Data'!$1:$1,0))*$C$3))),"")</f>
        <v/>
      </c>
      <c r="C136" s="24">
        <f>IFERROR(IF($B$4="","",IF($K$5+ROW()-26&gt;$K$6,"",IF(INDEX('Raw Flow Data'!$A:$ZZ,$K$5+ROW()-26+$D$4,MATCH($B$4,'Raw Flow Data'!$1:$1,0))=-999,"",INDEX('Raw Flow Data'!$A:$ZZ,$K$5+ROW()-26+$D$4,MATCH($B$4,'Raw Flow Data'!$1:$1,0))*$C$4))),"")</f>
        <v/>
      </c>
      <c r="D136" s="24">
        <f>IFERROR(IF($B$5="","",IF($K$5+ROW()-26&gt;$K$6,"",IF(INDEX('Raw Flow Data'!$A:$ZZ,$K$5+ROW()-26+$D$5,MATCH($B$5,'Raw Flow Data'!$1:$1,0))=-999,"",INDEX('Raw Flow Data'!$A:$ZZ,$K$5+ROW()-26+$D$5,MATCH($B$5,'Raw Flow Data'!$1:$1,0))*$C$5))),"")</f>
        <v/>
      </c>
      <c r="E136" s="24">
        <f>IFERROR(IF($B$6="","",IF($K$5+ROW()-26&gt;$K$6,"",IF(INDEX('Raw Flow Data'!$A:$ZZ,$K$5+ROW()-26+$D$6,MATCH($B$6,'Raw Flow Data'!$1:$1,0))=-999,"",INDEX('Raw Flow Data'!$A:$ZZ,$K$5+ROW()-26+$D$6,MATCH($B$6,'Raw Flow Data'!$1:$1,0))*$C$6))),"")</f>
        <v/>
      </c>
      <c r="F136" s="24">
        <f>IFERROR(IF($B$7="","",IF($K$5+ROW()-26&gt;$K$6,"",IF(INDEX('Raw Flow Data'!$A:$ZZ,$K$5+ROW()-26+$D$7,MATCH($B$7,'Raw Flow Data'!$1:$1,0))=-999,"",INDEX('Raw Flow Data'!$A:$ZZ,$K$5+ROW()-26+$D$7,MATCH($B$7,'Raw Flow Data'!$1:$1,0))*$C$7))),"")</f>
        <v/>
      </c>
      <c r="G136" s="24">
        <f>IFERROR(IF($B$8="","",IF($K$5+ROW()-26&gt;$K$6,"",IF(INDEX('Raw Flow Data'!$A:$ZZ,$K$5+ROW()-26+$D$8,MATCH($B$8,'Raw Flow Data'!$1:$1,0))=-999,"",INDEX('Raw Flow Data'!$A:$ZZ,$K$5+ROW()-26+$D$8,MATCH($B$8,'Raw Flow Data'!$1:$1,0))*$C$8))),"")</f>
        <v/>
      </c>
      <c r="H136" s="24">
        <f>IFERROR(IF($B$9="","",IF($K$5+ROW()-26&gt;$K$6,"",IF(INDEX('Raw Flow Data'!$A:$ZZ,$K$5+ROW()-26+$D$9,MATCH($B$9,'Raw Flow Data'!$1:$1,0))=-999,"",INDEX('Raw Flow Data'!$A:$ZZ,$K$5+ROW()-26+$D$9,MATCH($B$9,'Raw Flow Data'!$1:$1,0))*$C$9))),"")</f>
        <v/>
      </c>
      <c r="I136" s="24">
        <f>IFERROR(IF($B$10="","",IF($K$5+ROW()-26&gt;$K$6,"",IF(INDEX('Raw Flow Data'!$A:$ZZ,$K$5+ROW()-26+$D$10,MATCH($B$10,'Raw Flow Data'!$1:$1,0))=-999,"",INDEX('Raw Flow Data'!$A:$ZZ,$K$5+ROW()-26+$D$10,MATCH($B$10,'Raw Flow Data'!$1:$1,0))*$C$10))),"")</f>
        <v/>
      </c>
      <c r="J136" s="24">
        <f>IFERROR(IF($B$11="","",IF($K$5+ROW()-26&gt;$K$6,"",IF(INDEX('Raw Flow Data'!$A:$ZZ,$K$5+ROW()-26+$D$11,MATCH($B$11,'Raw Flow Data'!$1:$1,0))=-999,"",INDEX('Raw Flow Data'!$A:$ZZ,$K$5+ROW()-26+$D$11,MATCH($B$11,'Raw Flow Data'!$1:$1,0))*$C$11))),"")</f>
        <v/>
      </c>
      <c r="K136" s="24">
        <f>IFERROR(IF($B$12="","",IF($K$5+ROW()-26&gt;$K$6,"",IF(INDEX('Raw Flow Data'!$A:$ZZ,$K$5+ROW()-26+$D$12,MATCH($B$12,'Raw Flow Data'!$1:$1,0))=-999,"",INDEX('Raw Flow Data'!$A:$ZZ,$K$5+ROW()-26+$D$12,MATCH($B$12,'Raw Flow Data'!$1:$1,0))*$C$12))),"")</f>
        <v/>
      </c>
      <c r="L136" s="24">
        <f>IFERROR(IF($F$3="","",IF($K$5+ROW()-26&gt;$K$6,"",IF(INDEX('Raw Pressure Data'!$A:$ZZ,$K$5+ROW()-26+$H$3,MATCH($F$3,'Raw Pressure Data'!$1:$1,0))=-999,"",INDEX('Raw Pressure Data'!$A:$ZZ,$K$5+ROW()-26+$H$3,MATCH($F$3,'Raw Pressure Data'!$1:$1,0))+$G$3))),"")</f>
        <v/>
      </c>
      <c r="M136" s="24">
        <f>IFERROR(IF($F$4="","",IF($K$5+ROW()-26&gt;$K$6,"",IF(INDEX('Raw Pressure Data'!$A:$ZZ,$K$5+ROW()-26+$H$4,MATCH($F$4,'Raw Pressure Data'!$1:$1,0))=-999,"",INDEX('Raw Pressure Data'!$A:$ZZ,$K$5+ROW()-26+$H$4,MATCH($F$4,'Raw Pressure Data'!$1:$1,0))+$G$4))),"")</f>
        <v/>
      </c>
      <c r="N136" s="24">
        <f>IFERROR(IF($F$5="","",IF($K$5+ROW()-26&gt;$K$6,"",IF(INDEX('Raw Pressure Data'!$A:$ZZ,$K$5+ROW()-26+$H$5,MATCH($F$5,'Raw Pressure Data'!$1:$1,0))=-999,"",INDEX('Raw Pressure Data'!$A:$ZZ,$K$5+ROW()-26+$H$5,MATCH($F$5,'Raw Pressure Data'!$1:$1,0))+$G$5))),"")</f>
        <v/>
      </c>
      <c r="O136" s="24">
        <f>IFERROR(IF($F$6="","",IF($K$5+ROW()-26&gt;$K$6,"",IF(INDEX('Raw Pressure Data'!$A:$ZZ,$K$5+ROW()-26+$H$6,MATCH($F$6,'Raw Pressure Data'!$1:$1,0))=-999,"",INDEX('Raw Pressure Data'!$A:$ZZ,$K$5+ROW()-26+$H$6,MATCH($F$6,'Raw Pressure Data'!$1:$1,0))+$G$6))),"")</f>
        <v/>
      </c>
      <c r="P136" s="24">
        <f>IFERROR(IF($F$7="","",IF($K$5+ROW()-26&gt;$K$6,"",IF(INDEX('Raw Pressure Data'!$A:$ZZ,$K$5+ROW()-26+$H$7,MATCH($F$7,'Raw Pressure Data'!$1:$1,0))=-999,"",INDEX('Raw Pressure Data'!$A:$ZZ,$K$5+ROW()-26+$H$7,MATCH($F$7,'Raw Pressure Data'!$1:$1,0))+$G$7))),"")</f>
        <v/>
      </c>
      <c r="Q136" s="24">
        <f>IFERROR(IF($F$8="","",IF($K$5+ROW()-26&gt;$K$6,"",IF(INDEX('Raw Pressure Data'!$A:$ZZ,$K$5+ROW()-26+$H$8,MATCH($F$8,'Raw Pressure Data'!$1:$1,0))=-999,"",INDEX('Raw Pressure Data'!$A:$ZZ,$K$5+ROW()-26+$H$8,MATCH($F$8,'Raw Pressure Data'!$1:$1,0))+$G$8))),"")</f>
        <v/>
      </c>
      <c r="R136" s="24">
        <f>IFERROR(IF($F$9="","",IF($K$5+ROW()-26&gt;$K$6,"",IF(INDEX('Raw Pressure Data'!$A:$ZZ,$K$5+ROW()-26+$H$9,MATCH($F$9,'Raw Pressure Data'!$1:$1,0))=-999,"",INDEX('Raw Pressure Data'!$A:$ZZ,$K$5+ROW()-26+$H$9,MATCH($F$9,'Raw Pressure Data'!$1:$1,0))+$G$9))),"")</f>
        <v/>
      </c>
      <c r="S136" s="24">
        <f>IFERROR(IF($F$10="","",IF($K$5+ROW()-26&gt;$K$6,"",IF(INDEX('Raw Pressure Data'!$A:$ZZ,$K$5+ROW()-26+$H$10,MATCH($F$10,'Raw Pressure Data'!$1:$1,0))=-999,"",INDEX('Raw Pressure Data'!$A:$ZZ,$K$5+ROW()-26+$H$10,MATCH($F$10,'Raw Pressure Data'!$1:$1,0))+$G$10))),"")</f>
        <v/>
      </c>
      <c r="T136" s="24">
        <f>IFERROR(IF($F$11="","",IF($K$5+ROW()-26&gt;$K$6,"",IF(INDEX('Raw Pressure Data'!$A:$ZZ,$K$5+ROW()-26+$H$11,MATCH($F$11,'Raw Pressure Data'!$1:$1,0))=-999,"",INDEX('Raw Pressure Data'!$A:$ZZ,$K$5+ROW()-26+$H$11,MATCH($F$11,'Raw Pressure Data'!$1:$1,0))+$G$11))),"")</f>
        <v/>
      </c>
      <c r="U136" s="24">
        <f>IFERROR(IF($F$12="","",IF($K$5+ROW()-26&gt;$K$6,"",IF(INDEX('Raw Pressure Data'!$A:$ZZ,$K$5+ROW()-26+$H$12,MATCH($F$12,'Raw Pressure Data'!$1:$1,0))=-999,"",INDEX('Raw Pressure Data'!$A:$ZZ,$K$5+ROW()-26+$H$12,MATCH($F$12,'Raw Pressure Data'!$1:$1,0))+$G$12))),"")</f>
        <v/>
      </c>
      <c r="V136" s="24">
        <f>IFERROR(IF($F$13="","",IF($K$5+ROW()-26&gt;$K$6,"",IF(INDEX('Raw Pressure Data'!$A:$ZZ,$K$5+ROW()-26+$H$13,MATCH($F$13,'Raw Pressure Data'!$1:$1,0))=-999,"",INDEX('Raw Pressure Data'!$A:$ZZ,$K$5+ROW()-26+$H$13,MATCH($F$13,'Raw Pressure Data'!$1:$1,0))+$G$13))),"")</f>
        <v/>
      </c>
      <c r="W136" s="24">
        <f>IFERROR(IF($F$14="","",IF($K$5+ROW()-26&gt;$K$6,"",IF(INDEX('Raw Pressure Data'!$A:$ZZ,$K$5+ROW()-26+$H$14,MATCH($F$14,'Raw Pressure Data'!$1:$1,0))=-999,"",INDEX('Raw Pressure Data'!$A:$ZZ,$K$5+ROW()-26+$H$14,MATCH($F$14,'Raw Pressure Data'!$1:$1,0))+$G$14))),"")</f>
        <v/>
      </c>
      <c r="X136" s="24">
        <f>IFERROR(IF($F$15="","",IF($K$5+ROW()-26&gt;$K$6,"",IF(INDEX('Raw Pressure Data'!$A:$ZZ,$K$5+ROW()-26+$H$15,MATCH($F$15,'Raw Pressure Data'!$1:$1,0))=-999,"",INDEX('Raw Pressure Data'!$A:$ZZ,$K$5+ROW()-26+$H$15,MATCH($F$15,'Raw Pressure Data'!$1:$1,0))+$G$15))),"")</f>
        <v/>
      </c>
      <c r="Y136" s="24">
        <f>IFERROR(IF($F$16="","",IF($K$5+ROW()-26&gt;$K$6,"",IF(INDEX('Raw Pressure Data'!$A:$ZZ,$K$5+ROW()-26+$H$16,MATCH($F$16,'Raw Pressure Data'!$1:$1,0))=-999,"",INDEX('Raw Pressure Data'!$A:$ZZ,$K$5+ROW()-26+$H$16,MATCH($F$16,'Raw Pressure Data'!$1:$1,0))+$G$16))),"")</f>
        <v/>
      </c>
      <c r="Z136" s="24">
        <f>IFERROR(IF($F$17="","",IF($K$5+ROW()-26&gt;$K$6,"",IF(INDEX('Raw Pressure Data'!$A:$ZZ,$K$5+ROW()-26+$H$17,MATCH($F$17,'Raw Pressure Data'!$1:$1,0))=-999,"",INDEX('Raw Pressure Data'!$A:$ZZ,$K$5+ROW()-26+$H$17,MATCH($F$17,'Raw Pressure Data'!$1:$1,0))+$G$17))),"")</f>
        <v/>
      </c>
      <c r="AA136" s="24">
        <f>IFERROR(IF($F$18="","",IF($K$5+ROW()-26&gt;$K$6,"",IF(INDEX('Raw Pressure Data'!$A:$ZZ,$K$5+ROW()-26+$H$18,MATCH($F$18,'Raw Pressure Data'!$1:$1,0))=-999,"",INDEX('Raw Pressure Data'!$A:$ZZ,$K$5+ROW()-26+$H$18,MATCH($F$18,'Raw Pressure Data'!$1:$1,0))+$G$18))),"")</f>
        <v/>
      </c>
      <c r="AB136" s="24">
        <f>IFERROR(IF($F$19="","",IF($K$5+ROW()-26&gt;$K$6,"",IF(INDEX('Raw Pressure Data'!$A:$ZZ,$K$5+ROW()-26+$H$19,MATCH($F$19,'Raw Pressure Data'!$1:$1,0))=-999,"",INDEX('Raw Pressure Data'!$A:$ZZ,$K$5+ROW()-26+$H$19,MATCH($F$19,'Raw Pressure Data'!$1:$1,0))+$G$19))),"")</f>
        <v/>
      </c>
      <c r="AC136" s="24">
        <f>IFERROR(IF($F$20="","",IF($K$5+ROW()-26&gt;$K$6,"",IF(INDEX('Raw Pressure Data'!$A:$ZZ,$K$5+ROW()-26+$H$20,MATCH($F$20,'Raw Pressure Data'!$1:$1,0))=-999,"",INDEX('Raw Pressure Data'!$A:$ZZ,$K$5+ROW()-26+$H$20,MATCH($F$20,'Raw Pressure Data'!$1:$1,0))+$G$20))),"")</f>
        <v/>
      </c>
      <c r="AD136" s="24">
        <f>IFERROR(IF($F$21="","",IF($K$5+ROW()-26&gt;$K$6,"",IF(INDEX('Raw Pressure Data'!$A:$ZZ,$K$5+ROW()-26+$H$21,MATCH($F$21,'Raw Pressure Data'!$1:$1,0))=-999,"",INDEX('Raw Pressure Data'!$A:$ZZ,$K$5+ROW()-26+$H$21,MATCH($F$21,'Raw Pressure Data'!$1:$1,0))+$G$21))),"")</f>
        <v/>
      </c>
      <c r="AE136" s="24">
        <f>IFERROR(IF($F$22="","",IF($K$5+ROW()-26&gt;$K$6,"",IF(INDEX('Raw Pressure Data'!$A:$ZZ,$K$5+ROW()-26+$H$22,MATCH($F$22,'Raw Pressure Data'!$1:$1,0))=-999,"",INDEX('Raw Pressure Data'!$A:$ZZ,$K$5+ROW()-26+$H$22,MATCH($F$22,'Raw Pressure Data'!$1:$1,0))+$G$22))),"")</f>
        <v/>
      </c>
    </row>
    <row r="137" ht="15" customHeight="1">
      <c r="A137" s="25">
        <f>IFERROR(IF($K$5+ROW()-26&gt;$K$6,"",IF(INDEX('Raw Flow Data'!$A:$A,$K$5+ROW()-26)="","",INDEX('Raw Flow Data'!$A:$A,$K$5+ROW()-26))),"")</f>
        <v/>
      </c>
      <c r="B137" s="26">
        <f>IFERROR(IF($B$3="","",IF($K$5+ROW()-26&gt;$K$6,"",IF(INDEX('Raw Flow Data'!$A:$ZZ,$K$5+ROW()-26+$D$3,MATCH($B$3,'Raw Flow Data'!$1:$1,0))=-999,"",INDEX('Raw Flow Data'!$A:$ZZ,$K$5+ROW()-26+$D$3,MATCH($B$3,'Raw Flow Data'!$1:$1,0))*$C$3))),"")</f>
        <v/>
      </c>
      <c r="C137" s="26">
        <f>IFERROR(IF($B$4="","",IF($K$5+ROW()-26&gt;$K$6,"",IF(INDEX('Raw Flow Data'!$A:$ZZ,$K$5+ROW()-26+$D$4,MATCH($B$4,'Raw Flow Data'!$1:$1,0))=-999,"",INDEX('Raw Flow Data'!$A:$ZZ,$K$5+ROW()-26+$D$4,MATCH($B$4,'Raw Flow Data'!$1:$1,0))*$C$4))),"")</f>
        <v/>
      </c>
      <c r="D137" s="26">
        <f>IFERROR(IF($B$5="","",IF($K$5+ROW()-26&gt;$K$6,"",IF(INDEX('Raw Flow Data'!$A:$ZZ,$K$5+ROW()-26+$D$5,MATCH($B$5,'Raw Flow Data'!$1:$1,0))=-999,"",INDEX('Raw Flow Data'!$A:$ZZ,$K$5+ROW()-26+$D$5,MATCH($B$5,'Raw Flow Data'!$1:$1,0))*$C$5))),"")</f>
        <v/>
      </c>
      <c r="E137" s="26">
        <f>IFERROR(IF($B$6="","",IF($K$5+ROW()-26&gt;$K$6,"",IF(INDEX('Raw Flow Data'!$A:$ZZ,$K$5+ROW()-26+$D$6,MATCH($B$6,'Raw Flow Data'!$1:$1,0))=-999,"",INDEX('Raw Flow Data'!$A:$ZZ,$K$5+ROW()-26+$D$6,MATCH($B$6,'Raw Flow Data'!$1:$1,0))*$C$6))),"")</f>
        <v/>
      </c>
      <c r="F137" s="26">
        <f>IFERROR(IF($B$7="","",IF($K$5+ROW()-26&gt;$K$6,"",IF(INDEX('Raw Flow Data'!$A:$ZZ,$K$5+ROW()-26+$D$7,MATCH($B$7,'Raw Flow Data'!$1:$1,0))=-999,"",INDEX('Raw Flow Data'!$A:$ZZ,$K$5+ROW()-26+$D$7,MATCH($B$7,'Raw Flow Data'!$1:$1,0))*$C$7))),"")</f>
        <v/>
      </c>
      <c r="G137" s="26">
        <f>IFERROR(IF($B$8="","",IF($K$5+ROW()-26&gt;$K$6,"",IF(INDEX('Raw Flow Data'!$A:$ZZ,$K$5+ROW()-26+$D$8,MATCH($B$8,'Raw Flow Data'!$1:$1,0))=-999,"",INDEX('Raw Flow Data'!$A:$ZZ,$K$5+ROW()-26+$D$8,MATCH($B$8,'Raw Flow Data'!$1:$1,0))*$C$8))),"")</f>
        <v/>
      </c>
      <c r="H137" s="26">
        <f>IFERROR(IF($B$9="","",IF($K$5+ROW()-26&gt;$K$6,"",IF(INDEX('Raw Flow Data'!$A:$ZZ,$K$5+ROW()-26+$D$9,MATCH($B$9,'Raw Flow Data'!$1:$1,0))=-999,"",INDEX('Raw Flow Data'!$A:$ZZ,$K$5+ROW()-26+$D$9,MATCH($B$9,'Raw Flow Data'!$1:$1,0))*$C$9))),"")</f>
        <v/>
      </c>
      <c r="I137" s="26">
        <f>IFERROR(IF($B$10="","",IF($K$5+ROW()-26&gt;$K$6,"",IF(INDEX('Raw Flow Data'!$A:$ZZ,$K$5+ROW()-26+$D$10,MATCH($B$10,'Raw Flow Data'!$1:$1,0))=-999,"",INDEX('Raw Flow Data'!$A:$ZZ,$K$5+ROW()-26+$D$10,MATCH($B$10,'Raw Flow Data'!$1:$1,0))*$C$10))),"")</f>
        <v/>
      </c>
      <c r="J137" s="26">
        <f>IFERROR(IF($B$11="","",IF($K$5+ROW()-26&gt;$K$6,"",IF(INDEX('Raw Flow Data'!$A:$ZZ,$K$5+ROW()-26+$D$11,MATCH($B$11,'Raw Flow Data'!$1:$1,0))=-999,"",INDEX('Raw Flow Data'!$A:$ZZ,$K$5+ROW()-26+$D$11,MATCH($B$11,'Raw Flow Data'!$1:$1,0))*$C$11))),"")</f>
        <v/>
      </c>
      <c r="K137" s="26">
        <f>IFERROR(IF($B$12="","",IF($K$5+ROW()-26&gt;$K$6,"",IF(INDEX('Raw Flow Data'!$A:$ZZ,$K$5+ROW()-26+$D$12,MATCH($B$12,'Raw Flow Data'!$1:$1,0))=-999,"",INDEX('Raw Flow Data'!$A:$ZZ,$K$5+ROW()-26+$D$12,MATCH($B$12,'Raw Flow Data'!$1:$1,0))*$C$12))),"")</f>
        <v/>
      </c>
      <c r="L137" s="26">
        <f>IFERROR(IF($F$3="","",IF($K$5+ROW()-26&gt;$K$6,"",IF(INDEX('Raw Pressure Data'!$A:$ZZ,$K$5+ROW()-26+$H$3,MATCH($F$3,'Raw Pressure Data'!$1:$1,0))=-999,"",INDEX('Raw Pressure Data'!$A:$ZZ,$K$5+ROW()-26+$H$3,MATCH($F$3,'Raw Pressure Data'!$1:$1,0))+$G$3))),"")</f>
        <v/>
      </c>
      <c r="M137" s="26">
        <f>IFERROR(IF($F$4="","",IF($K$5+ROW()-26&gt;$K$6,"",IF(INDEX('Raw Pressure Data'!$A:$ZZ,$K$5+ROW()-26+$H$4,MATCH($F$4,'Raw Pressure Data'!$1:$1,0))=-999,"",INDEX('Raw Pressure Data'!$A:$ZZ,$K$5+ROW()-26+$H$4,MATCH($F$4,'Raw Pressure Data'!$1:$1,0))+$G$4))),"")</f>
        <v/>
      </c>
      <c r="N137" s="26">
        <f>IFERROR(IF($F$5="","",IF($K$5+ROW()-26&gt;$K$6,"",IF(INDEX('Raw Pressure Data'!$A:$ZZ,$K$5+ROW()-26+$H$5,MATCH($F$5,'Raw Pressure Data'!$1:$1,0))=-999,"",INDEX('Raw Pressure Data'!$A:$ZZ,$K$5+ROW()-26+$H$5,MATCH($F$5,'Raw Pressure Data'!$1:$1,0))+$G$5))),"")</f>
        <v/>
      </c>
      <c r="O137" s="26">
        <f>IFERROR(IF($F$6="","",IF($K$5+ROW()-26&gt;$K$6,"",IF(INDEX('Raw Pressure Data'!$A:$ZZ,$K$5+ROW()-26+$H$6,MATCH($F$6,'Raw Pressure Data'!$1:$1,0))=-999,"",INDEX('Raw Pressure Data'!$A:$ZZ,$K$5+ROW()-26+$H$6,MATCH($F$6,'Raw Pressure Data'!$1:$1,0))+$G$6))),"")</f>
        <v/>
      </c>
      <c r="P137" s="26">
        <f>IFERROR(IF($F$7="","",IF($K$5+ROW()-26&gt;$K$6,"",IF(INDEX('Raw Pressure Data'!$A:$ZZ,$K$5+ROW()-26+$H$7,MATCH($F$7,'Raw Pressure Data'!$1:$1,0))=-999,"",INDEX('Raw Pressure Data'!$A:$ZZ,$K$5+ROW()-26+$H$7,MATCH($F$7,'Raw Pressure Data'!$1:$1,0))+$G$7))),"")</f>
        <v/>
      </c>
      <c r="Q137" s="26">
        <f>IFERROR(IF($F$8="","",IF($K$5+ROW()-26&gt;$K$6,"",IF(INDEX('Raw Pressure Data'!$A:$ZZ,$K$5+ROW()-26+$H$8,MATCH($F$8,'Raw Pressure Data'!$1:$1,0))=-999,"",INDEX('Raw Pressure Data'!$A:$ZZ,$K$5+ROW()-26+$H$8,MATCH($F$8,'Raw Pressure Data'!$1:$1,0))+$G$8))),"")</f>
        <v/>
      </c>
      <c r="R137" s="26">
        <f>IFERROR(IF($F$9="","",IF($K$5+ROW()-26&gt;$K$6,"",IF(INDEX('Raw Pressure Data'!$A:$ZZ,$K$5+ROW()-26+$H$9,MATCH($F$9,'Raw Pressure Data'!$1:$1,0))=-999,"",INDEX('Raw Pressure Data'!$A:$ZZ,$K$5+ROW()-26+$H$9,MATCH($F$9,'Raw Pressure Data'!$1:$1,0))+$G$9))),"")</f>
        <v/>
      </c>
      <c r="S137" s="26">
        <f>IFERROR(IF($F$10="","",IF($K$5+ROW()-26&gt;$K$6,"",IF(INDEX('Raw Pressure Data'!$A:$ZZ,$K$5+ROW()-26+$H$10,MATCH($F$10,'Raw Pressure Data'!$1:$1,0))=-999,"",INDEX('Raw Pressure Data'!$A:$ZZ,$K$5+ROW()-26+$H$10,MATCH($F$10,'Raw Pressure Data'!$1:$1,0))+$G$10))),"")</f>
        <v/>
      </c>
      <c r="T137" s="26">
        <f>IFERROR(IF($F$11="","",IF($K$5+ROW()-26&gt;$K$6,"",IF(INDEX('Raw Pressure Data'!$A:$ZZ,$K$5+ROW()-26+$H$11,MATCH($F$11,'Raw Pressure Data'!$1:$1,0))=-999,"",INDEX('Raw Pressure Data'!$A:$ZZ,$K$5+ROW()-26+$H$11,MATCH($F$11,'Raw Pressure Data'!$1:$1,0))+$G$11))),"")</f>
        <v/>
      </c>
      <c r="U137" s="26">
        <f>IFERROR(IF($F$12="","",IF($K$5+ROW()-26&gt;$K$6,"",IF(INDEX('Raw Pressure Data'!$A:$ZZ,$K$5+ROW()-26+$H$12,MATCH($F$12,'Raw Pressure Data'!$1:$1,0))=-999,"",INDEX('Raw Pressure Data'!$A:$ZZ,$K$5+ROW()-26+$H$12,MATCH($F$12,'Raw Pressure Data'!$1:$1,0))+$G$12))),"")</f>
        <v/>
      </c>
      <c r="V137" s="26">
        <f>IFERROR(IF($F$13="","",IF($K$5+ROW()-26&gt;$K$6,"",IF(INDEX('Raw Pressure Data'!$A:$ZZ,$K$5+ROW()-26+$H$13,MATCH($F$13,'Raw Pressure Data'!$1:$1,0))=-999,"",INDEX('Raw Pressure Data'!$A:$ZZ,$K$5+ROW()-26+$H$13,MATCH($F$13,'Raw Pressure Data'!$1:$1,0))+$G$13))),"")</f>
        <v/>
      </c>
      <c r="W137" s="26">
        <f>IFERROR(IF($F$14="","",IF($K$5+ROW()-26&gt;$K$6,"",IF(INDEX('Raw Pressure Data'!$A:$ZZ,$K$5+ROW()-26+$H$14,MATCH($F$14,'Raw Pressure Data'!$1:$1,0))=-999,"",INDEX('Raw Pressure Data'!$A:$ZZ,$K$5+ROW()-26+$H$14,MATCH($F$14,'Raw Pressure Data'!$1:$1,0))+$G$14))),"")</f>
        <v/>
      </c>
      <c r="X137" s="26">
        <f>IFERROR(IF($F$15="","",IF($K$5+ROW()-26&gt;$K$6,"",IF(INDEX('Raw Pressure Data'!$A:$ZZ,$K$5+ROW()-26+$H$15,MATCH($F$15,'Raw Pressure Data'!$1:$1,0))=-999,"",INDEX('Raw Pressure Data'!$A:$ZZ,$K$5+ROW()-26+$H$15,MATCH($F$15,'Raw Pressure Data'!$1:$1,0))+$G$15))),"")</f>
        <v/>
      </c>
      <c r="Y137" s="26">
        <f>IFERROR(IF($F$16="","",IF($K$5+ROW()-26&gt;$K$6,"",IF(INDEX('Raw Pressure Data'!$A:$ZZ,$K$5+ROW()-26+$H$16,MATCH($F$16,'Raw Pressure Data'!$1:$1,0))=-999,"",INDEX('Raw Pressure Data'!$A:$ZZ,$K$5+ROW()-26+$H$16,MATCH($F$16,'Raw Pressure Data'!$1:$1,0))+$G$16))),"")</f>
        <v/>
      </c>
      <c r="Z137" s="26">
        <f>IFERROR(IF($F$17="","",IF($K$5+ROW()-26&gt;$K$6,"",IF(INDEX('Raw Pressure Data'!$A:$ZZ,$K$5+ROW()-26+$H$17,MATCH($F$17,'Raw Pressure Data'!$1:$1,0))=-999,"",INDEX('Raw Pressure Data'!$A:$ZZ,$K$5+ROW()-26+$H$17,MATCH($F$17,'Raw Pressure Data'!$1:$1,0))+$G$17))),"")</f>
        <v/>
      </c>
      <c r="AA137" s="26">
        <f>IFERROR(IF($F$18="","",IF($K$5+ROW()-26&gt;$K$6,"",IF(INDEX('Raw Pressure Data'!$A:$ZZ,$K$5+ROW()-26+$H$18,MATCH($F$18,'Raw Pressure Data'!$1:$1,0))=-999,"",INDEX('Raw Pressure Data'!$A:$ZZ,$K$5+ROW()-26+$H$18,MATCH($F$18,'Raw Pressure Data'!$1:$1,0))+$G$18))),"")</f>
        <v/>
      </c>
      <c r="AB137" s="26">
        <f>IFERROR(IF($F$19="","",IF($K$5+ROW()-26&gt;$K$6,"",IF(INDEX('Raw Pressure Data'!$A:$ZZ,$K$5+ROW()-26+$H$19,MATCH($F$19,'Raw Pressure Data'!$1:$1,0))=-999,"",INDEX('Raw Pressure Data'!$A:$ZZ,$K$5+ROW()-26+$H$19,MATCH($F$19,'Raw Pressure Data'!$1:$1,0))+$G$19))),"")</f>
        <v/>
      </c>
      <c r="AC137" s="26">
        <f>IFERROR(IF($F$20="","",IF($K$5+ROW()-26&gt;$K$6,"",IF(INDEX('Raw Pressure Data'!$A:$ZZ,$K$5+ROW()-26+$H$20,MATCH($F$20,'Raw Pressure Data'!$1:$1,0))=-999,"",INDEX('Raw Pressure Data'!$A:$ZZ,$K$5+ROW()-26+$H$20,MATCH($F$20,'Raw Pressure Data'!$1:$1,0))+$G$20))),"")</f>
        <v/>
      </c>
      <c r="AD137" s="26">
        <f>IFERROR(IF($F$21="","",IF($K$5+ROW()-26&gt;$K$6,"",IF(INDEX('Raw Pressure Data'!$A:$ZZ,$K$5+ROW()-26+$H$21,MATCH($F$21,'Raw Pressure Data'!$1:$1,0))=-999,"",INDEX('Raw Pressure Data'!$A:$ZZ,$K$5+ROW()-26+$H$21,MATCH($F$21,'Raw Pressure Data'!$1:$1,0))+$G$21))),"")</f>
        <v/>
      </c>
      <c r="AE137" s="26">
        <f>IFERROR(IF($F$22="","",IF($K$5+ROW()-26&gt;$K$6,"",IF(INDEX('Raw Pressure Data'!$A:$ZZ,$K$5+ROW()-26+$H$22,MATCH($F$22,'Raw Pressure Data'!$1:$1,0))=-999,"",INDEX('Raw Pressure Data'!$A:$ZZ,$K$5+ROW()-26+$H$22,MATCH($F$22,'Raw Pressure Data'!$1:$1,0))+$G$22))),"")</f>
        <v/>
      </c>
    </row>
    <row r="138" ht="15" customHeight="1">
      <c r="A138" s="23">
        <f>IFERROR(IF($K$5+ROW()-26&gt;$K$6,"",IF(INDEX('Raw Flow Data'!$A:$A,$K$5+ROW()-26)="","",INDEX('Raw Flow Data'!$A:$A,$K$5+ROW()-26))),"")</f>
        <v/>
      </c>
      <c r="B138" s="24">
        <f>IFERROR(IF($B$3="","",IF($K$5+ROW()-26&gt;$K$6,"",IF(INDEX('Raw Flow Data'!$A:$ZZ,$K$5+ROW()-26+$D$3,MATCH($B$3,'Raw Flow Data'!$1:$1,0))=-999,"",INDEX('Raw Flow Data'!$A:$ZZ,$K$5+ROW()-26+$D$3,MATCH($B$3,'Raw Flow Data'!$1:$1,0))*$C$3))),"")</f>
        <v/>
      </c>
      <c r="C138" s="24">
        <f>IFERROR(IF($B$4="","",IF($K$5+ROW()-26&gt;$K$6,"",IF(INDEX('Raw Flow Data'!$A:$ZZ,$K$5+ROW()-26+$D$4,MATCH($B$4,'Raw Flow Data'!$1:$1,0))=-999,"",INDEX('Raw Flow Data'!$A:$ZZ,$K$5+ROW()-26+$D$4,MATCH($B$4,'Raw Flow Data'!$1:$1,0))*$C$4))),"")</f>
        <v/>
      </c>
      <c r="D138" s="24">
        <f>IFERROR(IF($B$5="","",IF($K$5+ROW()-26&gt;$K$6,"",IF(INDEX('Raw Flow Data'!$A:$ZZ,$K$5+ROW()-26+$D$5,MATCH($B$5,'Raw Flow Data'!$1:$1,0))=-999,"",INDEX('Raw Flow Data'!$A:$ZZ,$K$5+ROW()-26+$D$5,MATCH($B$5,'Raw Flow Data'!$1:$1,0))*$C$5))),"")</f>
        <v/>
      </c>
      <c r="E138" s="24">
        <f>IFERROR(IF($B$6="","",IF($K$5+ROW()-26&gt;$K$6,"",IF(INDEX('Raw Flow Data'!$A:$ZZ,$K$5+ROW()-26+$D$6,MATCH($B$6,'Raw Flow Data'!$1:$1,0))=-999,"",INDEX('Raw Flow Data'!$A:$ZZ,$K$5+ROW()-26+$D$6,MATCH($B$6,'Raw Flow Data'!$1:$1,0))*$C$6))),"")</f>
        <v/>
      </c>
      <c r="F138" s="24">
        <f>IFERROR(IF($B$7="","",IF($K$5+ROW()-26&gt;$K$6,"",IF(INDEX('Raw Flow Data'!$A:$ZZ,$K$5+ROW()-26+$D$7,MATCH($B$7,'Raw Flow Data'!$1:$1,0))=-999,"",INDEX('Raw Flow Data'!$A:$ZZ,$K$5+ROW()-26+$D$7,MATCH($B$7,'Raw Flow Data'!$1:$1,0))*$C$7))),"")</f>
        <v/>
      </c>
      <c r="G138" s="24">
        <f>IFERROR(IF($B$8="","",IF($K$5+ROW()-26&gt;$K$6,"",IF(INDEX('Raw Flow Data'!$A:$ZZ,$K$5+ROW()-26+$D$8,MATCH($B$8,'Raw Flow Data'!$1:$1,0))=-999,"",INDEX('Raw Flow Data'!$A:$ZZ,$K$5+ROW()-26+$D$8,MATCH($B$8,'Raw Flow Data'!$1:$1,0))*$C$8))),"")</f>
        <v/>
      </c>
      <c r="H138" s="24">
        <f>IFERROR(IF($B$9="","",IF($K$5+ROW()-26&gt;$K$6,"",IF(INDEX('Raw Flow Data'!$A:$ZZ,$K$5+ROW()-26+$D$9,MATCH($B$9,'Raw Flow Data'!$1:$1,0))=-999,"",INDEX('Raw Flow Data'!$A:$ZZ,$K$5+ROW()-26+$D$9,MATCH($B$9,'Raw Flow Data'!$1:$1,0))*$C$9))),"")</f>
        <v/>
      </c>
      <c r="I138" s="24">
        <f>IFERROR(IF($B$10="","",IF($K$5+ROW()-26&gt;$K$6,"",IF(INDEX('Raw Flow Data'!$A:$ZZ,$K$5+ROW()-26+$D$10,MATCH($B$10,'Raw Flow Data'!$1:$1,0))=-999,"",INDEX('Raw Flow Data'!$A:$ZZ,$K$5+ROW()-26+$D$10,MATCH($B$10,'Raw Flow Data'!$1:$1,0))*$C$10))),"")</f>
        <v/>
      </c>
      <c r="J138" s="24">
        <f>IFERROR(IF($B$11="","",IF($K$5+ROW()-26&gt;$K$6,"",IF(INDEX('Raw Flow Data'!$A:$ZZ,$K$5+ROW()-26+$D$11,MATCH($B$11,'Raw Flow Data'!$1:$1,0))=-999,"",INDEX('Raw Flow Data'!$A:$ZZ,$K$5+ROW()-26+$D$11,MATCH($B$11,'Raw Flow Data'!$1:$1,0))*$C$11))),"")</f>
        <v/>
      </c>
      <c r="K138" s="24">
        <f>IFERROR(IF($B$12="","",IF($K$5+ROW()-26&gt;$K$6,"",IF(INDEX('Raw Flow Data'!$A:$ZZ,$K$5+ROW()-26+$D$12,MATCH($B$12,'Raw Flow Data'!$1:$1,0))=-999,"",INDEX('Raw Flow Data'!$A:$ZZ,$K$5+ROW()-26+$D$12,MATCH($B$12,'Raw Flow Data'!$1:$1,0))*$C$12))),"")</f>
        <v/>
      </c>
      <c r="L138" s="24">
        <f>IFERROR(IF($F$3="","",IF($K$5+ROW()-26&gt;$K$6,"",IF(INDEX('Raw Pressure Data'!$A:$ZZ,$K$5+ROW()-26+$H$3,MATCH($F$3,'Raw Pressure Data'!$1:$1,0))=-999,"",INDEX('Raw Pressure Data'!$A:$ZZ,$K$5+ROW()-26+$H$3,MATCH($F$3,'Raw Pressure Data'!$1:$1,0))+$G$3))),"")</f>
        <v/>
      </c>
      <c r="M138" s="24">
        <f>IFERROR(IF($F$4="","",IF($K$5+ROW()-26&gt;$K$6,"",IF(INDEX('Raw Pressure Data'!$A:$ZZ,$K$5+ROW()-26+$H$4,MATCH($F$4,'Raw Pressure Data'!$1:$1,0))=-999,"",INDEX('Raw Pressure Data'!$A:$ZZ,$K$5+ROW()-26+$H$4,MATCH($F$4,'Raw Pressure Data'!$1:$1,0))+$G$4))),"")</f>
        <v/>
      </c>
      <c r="N138" s="24">
        <f>IFERROR(IF($F$5="","",IF($K$5+ROW()-26&gt;$K$6,"",IF(INDEX('Raw Pressure Data'!$A:$ZZ,$K$5+ROW()-26+$H$5,MATCH($F$5,'Raw Pressure Data'!$1:$1,0))=-999,"",INDEX('Raw Pressure Data'!$A:$ZZ,$K$5+ROW()-26+$H$5,MATCH($F$5,'Raw Pressure Data'!$1:$1,0))+$G$5))),"")</f>
        <v/>
      </c>
      <c r="O138" s="24">
        <f>IFERROR(IF($F$6="","",IF($K$5+ROW()-26&gt;$K$6,"",IF(INDEX('Raw Pressure Data'!$A:$ZZ,$K$5+ROW()-26+$H$6,MATCH($F$6,'Raw Pressure Data'!$1:$1,0))=-999,"",INDEX('Raw Pressure Data'!$A:$ZZ,$K$5+ROW()-26+$H$6,MATCH($F$6,'Raw Pressure Data'!$1:$1,0))+$G$6))),"")</f>
        <v/>
      </c>
      <c r="P138" s="24">
        <f>IFERROR(IF($F$7="","",IF($K$5+ROW()-26&gt;$K$6,"",IF(INDEX('Raw Pressure Data'!$A:$ZZ,$K$5+ROW()-26+$H$7,MATCH($F$7,'Raw Pressure Data'!$1:$1,0))=-999,"",INDEX('Raw Pressure Data'!$A:$ZZ,$K$5+ROW()-26+$H$7,MATCH($F$7,'Raw Pressure Data'!$1:$1,0))+$G$7))),"")</f>
        <v/>
      </c>
      <c r="Q138" s="24">
        <f>IFERROR(IF($F$8="","",IF($K$5+ROW()-26&gt;$K$6,"",IF(INDEX('Raw Pressure Data'!$A:$ZZ,$K$5+ROW()-26+$H$8,MATCH($F$8,'Raw Pressure Data'!$1:$1,0))=-999,"",INDEX('Raw Pressure Data'!$A:$ZZ,$K$5+ROW()-26+$H$8,MATCH($F$8,'Raw Pressure Data'!$1:$1,0))+$G$8))),"")</f>
        <v/>
      </c>
      <c r="R138" s="24">
        <f>IFERROR(IF($F$9="","",IF($K$5+ROW()-26&gt;$K$6,"",IF(INDEX('Raw Pressure Data'!$A:$ZZ,$K$5+ROW()-26+$H$9,MATCH($F$9,'Raw Pressure Data'!$1:$1,0))=-999,"",INDEX('Raw Pressure Data'!$A:$ZZ,$K$5+ROW()-26+$H$9,MATCH($F$9,'Raw Pressure Data'!$1:$1,0))+$G$9))),"")</f>
        <v/>
      </c>
      <c r="S138" s="24">
        <f>IFERROR(IF($F$10="","",IF($K$5+ROW()-26&gt;$K$6,"",IF(INDEX('Raw Pressure Data'!$A:$ZZ,$K$5+ROW()-26+$H$10,MATCH($F$10,'Raw Pressure Data'!$1:$1,0))=-999,"",INDEX('Raw Pressure Data'!$A:$ZZ,$K$5+ROW()-26+$H$10,MATCH($F$10,'Raw Pressure Data'!$1:$1,0))+$G$10))),"")</f>
        <v/>
      </c>
      <c r="T138" s="24">
        <f>IFERROR(IF($F$11="","",IF($K$5+ROW()-26&gt;$K$6,"",IF(INDEX('Raw Pressure Data'!$A:$ZZ,$K$5+ROW()-26+$H$11,MATCH($F$11,'Raw Pressure Data'!$1:$1,0))=-999,"",INDEX('Raw Pressure Data'!$A:$ZZ,$K$5+ROW()-26+$H$11,MATCH($F$11,'Raw Pressure Data'!$1:$1,0))+$G$11))),"")</f>
        <v/>
      </c>
      <c r="U138" s="24">
        <f>IFERROR(IF($F$12="","",IF($K$5+ROW()-26&gt;$K$6,"",IF(INDEX('Raw Pressure Data'!$A:$ZZ,$K$5+ROW()-26+$H$12,MATCH($F$12,'Raw Pressure Data'!$1:$1,0))=-999,"",INDEX('Raw Pressure Data'!$A:$ZZ,$K$5+ROW()-26+$H$12,MATCH($F$12,'Raw Pressure Data'!$1:$1,0))+$G$12))),"")</f>
        <v/>
      </c>
      <c r="V138" s="24">
        <f>IFERROR(IF($F$13="","",IF($K$5+ROW()-26&gt;$K$6,"",IF(INDEX('Raw Pressure Data'!$A:$ZZ,$K$5+ROW()-26+$H$13,MATCH($F$13,'Raw Pressure Data'!$1:$1,0))=-999,"",INDEX('Raw Pressure Data'!$A:$ZZ,$K$5+ROW()-26+$H$13,MATCH($F$13,'Raw Pressure Data'!$1:$1,0))+$G$13))),"")</f>
        <v/>
      </c>
      <c r="W138" s="24">
        <f>IFERROR(IF($F$14="","",IF($K$5+ROW()-26&gt;$K$6,"",IF(INDEX('Raw Pressure Data'!$A:$ZZ,$K$5+ROW()-26+$H$14,MATCH($F$14,'Raw Pressure Data'!$1:$1,0))=-999,"",INDEX('Raw Pressure Data'!$A:$ZZ,$K$5+ROW()-26+$H$14,MATCH($F$14,'Raw Pressure Data'!$1:$1,0))+$G$14))),"")</f>
        <v/>
      </c>
      <c r="X138" s="24">
        <f>IFERROR(IF($F$15="","",IF($K$5+ROW()-26&gt;$K$6,"",IF(INDEX('Raw Pressure Data'!$A:$ZZ,$K$5+ROW()-26+$H$15,MATCH($F$15,'Raw Pressure Data'!$1:$1,0))=-999,"",INDEX('Raw Pressure Data'!$A:$ZZ,$K$5+ROW()-26+$H$15,MATCH($F$15,'Raw Pressure Data'!$1:$1,0))+$G$15))),"")</f>
        <v/>
      </c>
      <c r="Y138" s="24">
        <f>IFERROR(IF($F$16="","",IF($K$5+ROW()-26&gt;$K$6,"",IF(INDEX('Raw Pressure Data'!$A:$ZZ,$K$5+ROW()-26+$H$16,MATCH($F$16,'Raw Pressure Data'!$1:$1,0))=-999,"",INDEX('Raw Pressure Data'!$A:$ZZ,$K$5+ROW()-26+$H$16,MATCH($F$16,'Raw Pressure Data'!$1:$1,0))+$G$16))),"")</f>
        <v/>
      </c>
      <c r="Z138" s="24">
        <f>IFERROR(IF($F$17="","",IF($K$5+ROW()-26&gt;$K$6,"",IF(INDEX('Raw Pressure Data'!$A:$ZZ,$K$5+ROW()-26+$H$17,MATCH($F$17,'Raw Pressure Data'!$1:$1,0))=-999,"",INDEX('Raw Pressure Data'!$A:$ZZ,$K$5+ROW()-26+$H$17,MATCH($F$17,'Raw Pressure Data'!$1:$1,0))+$G$17))),"")</f>
        <v/>
      </c>
      <c r="AA138" s="24">
        <f>IFERROR(IF($F$18="","",IF($K$5+ROW()-26&gt;$K$6,"",IF(INDEX('Raw Pressure Data'!$A:$ZZ,$K$5+ROW()-26+$H$18,MATCH($F$18,'Raw Pressure Data'!$1:$1,0))=-999,"",INDEX('Raw Pressure Data'!$A:$ZZ,$K$5+ROW()-26+$H$18,MATCH($F$18,'Raw Pressure Data'!$1:$1,0))+$G$18))),"")</f>
        <v/>
      </c>
      <c r="AB138" s="24">
        <f>IFERROR(IF($F$19="","",IF($K$5+ROW()-26&gt;$K$6,"",IF(INDEX('Raw Pressure Data'!$A:$ZZ,$K$5+ROW()-26+$H$19,MATCH($F$19,'Raw Pressure Data'!$1:$1,0))=-999,"",INDEX('Raw Pressure Data'!$A:$ZZ,$K$5+ROW()-26+$H$19,MATCH($F$19,'Raw Pressure Data'!$1:$1,0))+$G$19))),"")</f>
        <v/>
      </c>
      <c r="AC138" s="24">
        <f>IFERROR(IF($F$20="","",IF($K$5+ROW()-26&gt;$K$6,"",IF(INDEX('Raw Pressure Data'!$A:$ZZ,$K$5+ROW()-26+$H$20,MATCH($F$20,'Raw Pressure Data'!$1:$1,0))=-999,"",INDEX('Raw Pressure Data'!$A:$ZZ,$K$5+ROW()-26+$H$20,MATCH($F$20,'Raw Pressure Data'!$1:$1,0))+$G$20))),"")</f>
        <v/>
      </c>
      <c r="AD138" s="24">
        <f>IFERROR(IF($F$21="","",IF($K$5+ROW()-26&gt;$K$6,"",IF(INDEX('Raw Pressure Data'!$A:$ZZ,$K$5+ROW()-26+$H$21,MATCH($F$21,'Raw Pressure Data'!$1:$1,0))=-999,"",INDEX('Raw Pressure Data'!$A:$ZZ,$K$5+ROW()-26+$H$21,MATCH($F$21,'Raw Pressure Data'!$1:$1,0))+$G$21))),"")</f>
        <v/>
      </c>
      <c r="AE138" s="24">
        <f>IFERROR(IF($F$22="","",IF($K$5+ROW()-26&gt;$K$6,"",IF(INDEX('Raw Pressure Data'!$A:$ZZ,$K$5+ROW()-26+$H$22,MATCH($F$22,'Raw Pressure Data'!$1:$1,0))=-999,"",INDEX('Raw Pressure Data'!$A:$ZZ,$K$5+ROW()-26+$H$22,MATCH($F$22,'Raw Pressure Data'!$1:$1,0))+$G$22))),"")</f>
        <v/>
      </c>
    </row>
    <row r="139" ht="15" customHeight="1">
      <c r="A139" s="25">
        <f>IFERROR(IF($K$5+ROW()-26&gt;$K$6,"",IF(INDEX('Raw Flow Data'!$A:$A,$K$5+ROW()-26)="","",INDEX('Raw Flow Data'!$A:$A,$K$5+ROW()-26))),"")</f>
        <v/>
      </c>
      <c r="B139" s="26">
        <f>IFERROR(IF($B$3="","",IF($K$5+ROW()-26&gt;$K$6,"",IF(INDEX('Raw Flow Data'!$A:$ZZ,$K$5+ROW()-26+$D$3,MATCH($B$3,'Raw Flow Data'!$1:$1,0))=-999,"",INDEX('Raw Flow Data'!$A:$ZZ,$K$5+ROW()-26+$D$3,MATCH($B$3,'Raw Flow Data'!$1:$1,0))*$C$3))),"")</f>
        <v/>
      </c>
      <c r="C139" s="26">
        <f>IFERROR(IF($B$4="","",IF($K$5+ROW()-26&gt;$K$6,"",IF(INDEX('Raw Flow Data'!$A:$ZZ,$K$5+ROW()-26+$D$4,MATCH($B$4,'Raw Flow Data'!$1:$1,0))=-999,"",INDEX('Raw Flow Data'!$A:$ZZ,$K$5+ROW()-26+$D$4,MATCH($B$4,'Raw Flow Data'!$1:$1,0))*$C$4))),"")</f>
        <v/>
      </c>
      <c r="D139" s="26">
        <f>IFERROR(IF($B$5="","",IF($K$5+ROW()-26&gt;$K$6,"",IF(INDEX('Raw Flow Data'!$A:$ZZ,$K$5+ROW()-26+$D$5,MATCH($B$5,'Raw Flow Data'!$1:$1,0))=-999,"",INDEX('Raw Flow Data'!$A:$ZZ,$K$5+ROW()-26+$D$5,MATCH($B$5,'Raw Flow Data'!$1:$1,0))*$C$5))),"")</f>
        <v/>
      </c>
      <c r="E139" s="26">
        <f>IFERROR(IF($B$6="","",IF($K$5+ROW()-26&gt;$K$6,"",IF(INDEX('Raw Flow Data'!$A:$ZZ,$K$5+ROW()-26+$D$6,MATCH($B$6,'Raw Flow Data'!$1:$1,0))=-999,"",INDEX('Raw Flow Data'!$A:$ZZ,$K$5+ROW()-26+$D$6,MATCH($B$6,'Raw Flow Data'!$1:$1,0))*$C$6))),"")</f>
        <v/>
      </c>
      <c r="F139" s="26">
        <f>IFERROR(IF($B$7="","",IF($K$5+ROW()-26&gt;$K$6,"",IF(INDEX('Raw Flow Data'!$A:$ZZ,$K$5+ROW()-26+$D$7,MATCH($B$7,'Raw Flow Data'!$1:$1,0))=-999,"",INDEX('Raw Flow Data'!$A:$ZZ,$K$5+ROW()-26+$D$7,MATCH($B$7,'Raw Flow Data'!$1:$1,0))*$C$7))),"")</f>
        <v/>
      </c>
      <c r="G139" s="26">
        <f>IFERROR(IF($B$8="","",IF($K$5+ROW()-26&gt;$K$6,"",IF(INDEX('Raw Flow Data'!$A:$ZZ,$K$5+ROW()-26+$D$8,MATCH($B$8,'Raw Flow Data'!$1:$1,0))=-999,"",INDEX('Raw Flow Data'!$A:$ZZ,$K$5+ROW()-26+$D$8,MATCH($B$8,'Raw Flow Data'!$1:$1,0))*$C$8))),"")</f>
        <v/>
      </c>
      <c r="H139" s="26">
        <f>IFERROR(IF($B$9="","",IF($K$5+ROW()-26&gt;$K$6,"",IF(INDEX('Raw Flow Data'!$A:$ZZ,$K$5+ROW()-26+$D$9,MATCH($B$9,'Raw Flow Data'!$1:$1,0))=-999,"",INDEX('Raw Flow Data'!$A:$ZZ,$K$5+ROW()-26+$D$9,MATCH($B$9,'Raw Flow Data'!$1:$1,0))*$C$9))),"")</f>
        <v/>
      </c>
      <c r="I139" s="26">
        <f>IFERROR(IF($B$10="","",IF($K$5+ROW()-26&gt;$K$6,"",IF(INDEX('Raw Flow Data'!$A:$ZZ,$K$5+ROW()-26+$D$10,MATCH($B$10,'Raw Flow Data'!$1:$1,0))=-999,"",INDEX('Raw Flow Data'!$A:$ZZ,$K$5+ROW()-26+$D$10,MATCH($B$10,'Raw Flow Data'!$1:$1,0))*$C$10))),"")</f>
        <v/>
      </c>
      <c r="J139" s="26">
        <f>IFERROR(IF($B$11="","",IF($K$5+ROW()-26&gt;$K$6,"",IF(INDEX('Raw Flow Data'!$A:$ZZ,$K$5+ROW()-26+$D$11,MATCH($B$11,'Raw Flow Data'!$1:$1,0))=-999,"",INDEX('Raw Flow Data'!$A:$ZZ,$K$5+ROW()-26+$D$11,MATCH($B$11,'Raw Flow Data'!$1:$1,0))*$C$11))),"")</f>
        <v/>
      </c>
      <c r="K139" s="26">
        <f>IFERROR(IF($B$12="","",IF($K$5+ROW()-26&gt;$K$6,"",IF(INDEX('Raw Flow Data'!$A:$ZZ,$K$5+ROW()-26+$D$12,MATCH($B$12,'Raw Flow Data'!$1:$1,0))=-999,"",INDEX('Raw Flow Data'!$A:$ZZ,$K$5+ROW()-26+$D$12,MATCH($B$12,'Raw Flow Data'!$1:$1,0))*$C$12))),"")</f>
        <v/>
      </c>
      <c r="L139" s="26">
        <f>IFERROR(IF($F$3="","",IF($K$5+ROW()-26&gt;$K$6,"",IF(INDEX('Raw Pressure Data'!$A:$ZZ,$K$5+ROW()-26+$H$3,MATCH($F$3,'Raw Pressure Data'!$1:$1,0))=-999,"",INDEX('Raw Pressure Data'!$A:$ZZ,$K$5+ROW()-26+$H$3,MATCH($F$3,'Raw Pressure Data'!$1:$1,0))+$G$3))),"")</f>
        <v/>
      </c>
      <c r="M139" s="26">
        <f>IFERROR(IF($F$4="","",IF($K$5+ROW()-26&gt;$K$6,"",IF(INDEX('Raw Pressure Data'!$A:$ZZ,$K$5+ROW()-26+$H$4,MATCH($F$4,'Raw Pressure Data'!$1:$1,0))=-999,"",INDEX('Raw Pressure Data'!$A:$ZZ,$K$5+ROW()-26+$H$4,MATCH($F$4,'Raw Pressure Data'!$1:$1,0))+$G$4))),"")</f>
        <v/>
      </c>
      <c r="N139" s="26">
        <f>IFERROR(IF($F$5="","",IF($K$5+ROW()-26&gt;$K$6,"",IF(INDEX('Raw Pressure Data'!$A:$ZZ,$K$5+ROW()-26+$H$5,MATCH($F$5,'Raw Pressure Data'!$1:$1,0))=-999,"",INDEX('Raw Pressure Data'!$A:$ZZ,$K$5+ROW()-26+$H$5,MATCH($F$5,'Raw Pressure Data'!$1:$1,0))+$G$5))),"")</f>
        <v/>
      </c>
      <c r="O139" s="26">
        <f>IFERROR(IF($F$6="","",IF($K$5+ROW()-26&gt;$K$6,"",IF(INDEX('Raw Pressure Data'!$A:$ZZ,$K$5+ROW()-26+$H$6,MATCH($F$6,'Raw Pressure Data'!$1:$1,0))=-999,"",INDEX('Raw Pressure Data'!$A:$ZZ,$K$5+ROW()-26+$H$6,MATCH($F$6,'Raw Pressure Data'!$1:$1,0))+$G$6))),"")</f>
        <v/>
      </c>
      <c r="P139" s="26">
        <f>IFERROR(IF($F$7="","",IF($K$5+ROW()-26&gt;$K$6,"",IF(INDEX('Raw Pressure Data'!$A:$ZZ,$K$5+ROW()-26+$H$7,MATCH($F$7,'Raw Pressure Data'!$1:$1,0))=-999,"",INDEX('Raw Pressure Data'!$A:$ZZ,$K$5+ROW()-26+$H$7,MATCH($F$7,'Raw Pressure Data'!$1:$1,0))+$G$7))),"")</f>
        <v/>
      </c>
      <c r="Q139" s="26">
        <f>IFERROR(IF($F$8="","",IF($K$5+ROW()-26&gt;$K$6,"",IF(INDEX('Raw Pressure Data'!$A:$ZZ,$K$5+ROW()-26+$H$8,MATCH($F$8,'Raw Pressure Data'!$1:$1,0))=-999,"",INDEX('Raw Pressure Data'!$A:$ZZ,$K$5+ROW()-26+$H$8,MATCH($F$8,'Raw Pressure Data'!$1:$1,0))+$G$8))),"")</f>
        <v/>
      </c>
      <c r="R139" s="26">
        <f>IFERROR(IF($F$9="","",IF($K$5+ROW()-26&gt;$K$6,"",IF(INDEX('Raw Pressure Data'!$A:$ZZ,$K$5+ROW()-26+$H$9,MATCH($F$9,'Raw Pressure Data'!$1:$1,0))=-999,"",INDEX('Raw Pressure Data'!$A:$ZZ,$K$5+ROW()-26+$H$9,MATCH($F$9,'Raw Pressure Data'!$1:$1,0))+$G$9))),"")</f>
        <v/>
      </c>
      <c r="S139" s="26">
        <f>IFERROR(IF($F$10="","",IF($K$5+ROW()-26&gt;$K$6,"",IF(INDEX('Raw Pressure Data'!$A:$ZZ,$K$5+ROW()-26+$H$10,MATCH($F$10,'Raw Pressure Data'!$1:$1,0))=-999,"",INDEX('Raw Pressure Data'!$A:$ZZ,$K$5+ROW()-26+$H$10,MATCH($F$10,'Raw Pressure Data'!$1:$1,0))+$G$10))),"")</f>
        <v/>
      </c>
      <c r="T139" s="26">
        <f>IFERROR(IF($F$11="","",IF($K$5+ROW()-26&gt;$K$6,"",IF(INDEX('Raw Pressure Data'!$A:$ZZ,$K$5+ROW()-26+$H$11,MATCH($F$11,'Raw Pressure Data'!$1:$1,0))=-999,"",INDEX('Raw Pressure Data'!$A:$ZZ,$K$5+ROW()-26+$H$11,MATCH($F$11,'Raw Pressure Data'!$1:$1,0))+$G$11))),"")</f>
        <v/>
      </c>
      <c r="U139" s="26">
        <f>IFERROR(IF($F$12="","",IF($K$5+ROW()-26&gt;$K$6,"",IF(INDEX('Raw Pressure Data'!$A:$ZZ,$K$5+ROW()-26+$H$12,MATCH($F$12,'Raw Pressure Data'!$1:$1,0))=-999,"",INDEX('Raw Pressure Data'!$A:$ZZ,$K$5+ROW()-26+$H$12,MATCH($F$12,'Raw Pressure Data'!$1:$1,0))+$G$12))),"")</f>
        <v/>
      </c>
      <c r="V139" s="26">
        <f>IFERROR(IF($F$13="","",IF($K$5+ROW()-26&gt;$K$6,"",IF(INDEX('Raw Pressure Data'!$A:$ZZ,$K$5+ROW()-26+$H$13,MATCH($F$13,'Raw Pressure Data'!$1:$1,0))=-999,"",INDEX('Raw Pressure Data'!$A:$ZZ,$K$5+ROW()-26+$H$13,MATCH($F$13,'Raw Pressure Data'!$1:$1,0))+$G$13))),"")</f>
        <v/>
      </c>
      <c r="W139" s="26">
        <f>IFERROR(IF($F$14="","",IF($K$5+ROW()-26&gt;$K$6,"",IF(INDEX('Raw Pressure Data'!$A:$ZZ,$K$5+ROW()-26+$H$14,MATCH($F$14,'Raw Pressure Data'!$1:$1,0))=-999,"",INDEX('Raw Pressure Data'!$A:$ZZ,$K$5+ROW()-26+$H$14,MATCH($F$14,'Raw Pressure Data'!$1:$1,0))+$G$14))),"")</f>
        <v/>
      </c>
      <c r="X139" s="26">
        <f>IFERROR(IF($F$15="","",IF($K$5+ROW()-26&gt;$K$6,"",IF(INDEX('Raw Pressure Data'!$A:$ZZ,$K$5+ROW()-26+$H$15,MATCH($F$15,'Raw Pressure Data'!$1:$1,0))=-999,"",INDEX('Raw Pressure Data'!$A:$ZZ,$K$5+ROW()-26+$H$15,MATCH($F$15,'Raw Pressure Data'!$1:$1,0))+$G$15))),"")</f>
        <v/>
      </c>
      <c r="Y139" s="26">
        <f>IFERROR(IF($F$16="","",IF($K$5+ROW()-26&gt;$K$6,"",IF(INDEX('Raw Pressure Data'!$A:$ZZ,$K$5+ROW()-26+$H$16,MATCH($F$16,'Raw Pressure Data'!$1:$1,0))=-999,"",INDEX('Raw Pressure Data'!$A:$ZZ,$K$5+ROW()-26+$H$16,MATCH($F$16,'Raw Pressure Data'!$1:$1,0))+$G$16))),"")</f>
        <v/>
      </c>
      <c r="Z139" s="26">
        <f>IFERROR(IF($F$17="","",IF($K$5+ROW()-26&gt;$K$6,"",IF(INDEX('Raw Pressure Data'!$A:$ZZ,$K$5+ROW()-26+$H$17,MATCH($F$17,'Raw Pressure Data'!$1:$1,0))=-999,"",INDEX('Raw Pressure Data'!$A:$ZZ,$K$5+ROW()-26+$H$17,MATCH($F$17,'Raw Pressure Data'!$1:$1,0))+$G$17))),"")</f>
        <v/>
      </c>
      <c r="AA139" s="26">
        <f>IFERROR(IF($F$18="","",IF($K$5+ROW()-26&gt;$K$6,"",IF(INDEX('Raw Pressure Data'!$A:$ZZ,$K$5+ROW()-26+$H$18,MATCH($F$18,'Raw Pressure Data'!$1:$1,0))=-999,"",INDEX('Raw Pressure Data'!$A:$ZZ,$K$5+ROW()-26+$H$18,MATCH($F$18,'Raw Pressure Data'!$1:$1,0))+$G$18))),"")</f>
        <v/>
      </c>
      <c r="AB139" s="26">
        <f>IFERROR(IF($F$19="","",IF($K$5+ROW()-26&gt;$K$6,"",IF(INDEX('Raw Pressure Data'!$A:$ZZ,$K$5+ROW()-26+$H$19,MATCH($F$19,'Raw Pressure Data'!$1:$1,0))=-999,"",INDEX('Raw Pressure Data'!$A:$ZZ,$K$5+ROW()-26+$H$19,MATCH($F$19,'Raw Pressure Data'!$1:$1,0))+$G$19))),"")</f>
        <v/>
      </c>
      <c r="AC139" s="26">
        <f>IFERROR(IF($F$20="","",IF($K$5+ROW()-26&gt;$K$6,"",IF(INDEX('Raw Pressure Data'!$A:$ZZ,$K$5+ROW()-26+$H$20,MATCH($F$20,'Raw Pressure Data'!$1:$1,0))=-999,"",INDEX('Raw Pressure Data'!$A:$ZZ,$K$5+ROW()-26+$H$20,MATCH($F$20,'Raw Pressure Data'!$1:$1,0))+$G$20))),"")</f>
        <v/>
      </c>
      <c r="AD139" s="26">
        <f>IFERROR(IF($F$21="","",IF($K$5+ROW()-26&gt;$K$6,"",IF(INDEX('Raw Pressure Data'!$A:$ZZ,$K$5+ROW()-26+$H$21,MATCH($F$21,'Raw Pressure Data'!$1:$1,0))=-999,"",INDEX('Raw Pressure Data'!$A:$ZZ,$K$5+ROW()-26+$H$21,MATCH($F$21,'Raw Pressure Data'!$1:$1,0))+$G$21))),"")</f>
        <v/>
      </c>
      <c r="AE139" s="26">
        <f>IFERROR(IF($F$22="","",IF($K$5+ROW()-26&gt;$K$6,"",IF(INDEX('Raw Pressure Data'!$A:$ZZ,$K$5+ROW()-26+$H$22,MATCH($F$22,'Raw Pressure Data'!$1:$1,0))=-999,"",INDEX('Raw Pressure Data'!$A:$ZZ,$K$5+ROW()-26+$H$22,MATCH($F$22,'Raw Pressure Data'!$1:$1,0))+$G$22))),"")</f>
        <v/>
      </c>
    </row>
    <row r="140" ht="15" customHeight="1">
      <c r="A140" s="23">
        <f>IFERROR(IF($K$5+ROW()-26&gt;$K$6,"",IF(INDEX('Raw Flow Data'!$A:$A,$K$5+ROW()-26)="","",INDEX('Raw Flow Data'!$A:$A,$K$5+ROW()-26))),"")</f>
        <v/>
      </c>
      <c r="B140" s="24">
        <f>IFERROR(IF($B$3="","",IF($K$5+ROW()-26&gt;$K$6,"",IF(INDEX('Raw Flow Data'!$A:$ZZ,$K$5+ROW()-26+$D$3,MATCH($B$3,'Raw Flow Data'!$1:$1,0))=-999,"",INDEX('Raw Flow Data'!$A:$ZZ,$K$5+ROW()-26+$D$3,MATCH($B$3,'Raw Flow Data'!$1:$1,0))*$C$3))),"")</f>
        <v/>
      </c>
      <c r="C140" s="24">
        <f>IFERROR(IF($B$4="","",IF($K$5+ROW()-26&gt;$K$6,"",IF(INDEX('Raw Flow Data'!$A:$ZZ,$K$5+ROW()-26+$D$4,MATCH($B$4,'Raw Flow Data'!$1:$1,0))=-999,"",INDEX('Raw Flow Data'!$A:$ZZ,$K$5+ROW()-26+$D$4,MATCH($B$4,'Raw Flow Data'!$1:$1,0))*$C$4))),"")</f>
        <v/>
      </c>
      <c r="D140" s="24">
        <f>IFERROR(IF($B$5="","",IF($K$5+ROW()-26&gt;$K$6,"",IF(INDEX('Raw Flow Data'!$A:$ZZ,$K$5+ROW()-26+$D$5,MATCH($B$5,'Raw Flow Data'!$1:$1,0))=-999,"",INDEX('Raw Flow Data'!$A:$ZZ,$K$5+ROW()-26+$D$5,MATCH($B$5,'Raw Flow Data'!$1:$1,0))*$C$5))),"")</f>
        <v/>
      </c>
      <c r="E140" s="24">
        <f>IFERROR(IF($B$6="","",IF($K$5+ROW()-26&gt;$K$6,"",IF(INDEX('Raw Flow Data'!$A:$ZZ,$K$5+ROW()-26+$D$6,MATCH($B$6,'Raw Flow Data'!$1:$1,0))=-999,"",INDEX('Raw Flow Data'!$A:$ZZ,$K$5+ROW()-26+$D$6,MATCH($B$6,'Raw Flow Data'!$1:$1,0))*$C$6))),"")</f>
        <v/>
      </c>
      <c r="F140" s="24">
        <f>IFERROR(IF($B$7="","",IF($K$5+ROW()-26&gt;$K$6,"",IF(INDEX('Raw Flow Data'!$A:$ZZ,$K$5+ROW()-26+$D$7,MATCH($B$7,'Raw Flow Data'!$1:$1,0))=-999,"",INDEX('Raw Flow Data'!$A:$ZZ,$K$5+ROW()-26+$D$7,MATCH($B$7,'Raw Flow Data'!$1:$1,0))*$C$7))),"")</f>
        <v/>
      </c>
      <c r="G140" s="24">
        <f>IFERROR(IF($B$8="","",IF($K$5+ROW()-26&gt;$K$6,"",IF(INDEX('Raw Flow Data'!$A:$ZZ,$K$5+ROW()-26+$D$8,MATCH($B$8,'Raw Flow Data'!$1:$1,0))=-999,"",INDEX('Raw Flow Data'!$A:$ZZ,$K$5+ROW()-26+$D$8,MATCH($B$8,'Raw Flow Data'!$1:$1,0))*$C$8))),"")</f>
        <v/>
      </c>
      <c r="H140" s="24">
        <f>IFERROR(IF($B$9="","",IF($K$5+ROW()-26&gt;$K$6,"",IF(INDEX('Raw Flow Data'!$A:$ZZ,$K$5+ROW()-26+$D$9,MATCH($B$9,'Raw Flow Data'!$1:$1,0))=-999,"",INDEX('Raw Flow Data'!$A:$ZZ,$K$5+ROW()-26+$D$9,MATCH($B$9,'Raw Flow Data'!$1:$1,0))*$C$9))),"")</f>
        <v/>
      </c>
      <c r="I140" s="24">
        <f>IFERROR(IF($B$10="","",IF($K$5+ROW()-26&gt;$K$6,"",IF(INDEX('Raw Flow Data'!$A:$ZZ,$K$5+ROW()-26+$D$10,MATCH($B$10,'Raw Flow Data'!$1:$1,0))=-999,"",INDEX('Raw Flow Data'!$A:$ZZ,$K$5+ROW()-26+$D$10,MATCH($B$10,'Raw Flow Data'!$1:$1,0))*$C$10))),"")</f>
        <v/>
      </c>
      <c r="J140" s="24">
        <f>IFERROR(IF($B$11="","",IF($K$5+ROW()-26&gt;$K$6,"",IF(INDEX('Raw Flow Data'!$A:$ZZ,$K$5+ROW()-26+$D$11,MATCH($B$11,'Raw Flow Data'!$1:$1,0))=-999,"",INDEX('Raw Flow Data'!$A:$ZZ,$K$5+ROW()-26+$D$11,MATCH($B$11,'Raw Flow Data'!$1:$1,0))*$C$11))),"")</f>
        <v/>
      </c>
      <c r="K140" s="24">
        <f>IFERROR(IF($B$12="","",IF($K$5+ROW()-26&gt;$K$6,"",IF(INDEX('Raw Flow Data'!$A:$ZZ,$K$5+ROW()-26+$D$12,MATCH($B$12,'Raw Flow Data'!$1:$1,0))=-999,"",INDEX('Raw Flow Data'!$A:$ZZ,$K$5+ROW()-26+$D$12,MATCH($B$12,'Raw Flow Data'!$1:$1,0))*$C$12))),"")</f>
        <v/>
      </c>
      <c r="L140" s="24">
        <f>IFERROR(IF($F$3="","",IF($K$5+ROW()-26&gt;$K$6,"",IF(INDEX('Raw Pressure Data'!$A:$ZZ,$K$5+ROW()-26+$H$3,MATCH($F$3,'Raw Pressure Data'!$1:$1,0))=-999,"",INDEX('Raw Pressure Data'!$A:$ZZ,$K$5+ROW()-26+$H$3,MATCH($F$3,'Raw Pressure Data'!$1:$1,0))+$G$3))),"")</f>
        <v/>
      </c>
      <c r="M140" s="24">
        <f>IFERROR(IF($F$4="","",IF($K$5+ROW()-26&gt;$K$6,"",IF(INDEX('Raw Pressure Data'!$A:$ZZ,$K$5+ROW()-26+$H$4,MATCH($F$4,'Raw Pressure Data'!$1:$1,0))=-999,"",INDEX('Raw Pressure Data'!$A:$ZZ,$K$5+ROW()-26+$H$4,MATCH($F$4,'Raw Pressure Data'!$1:$1,0))+$G$4))),"")</f>
        <v/>
      </c>
      <c r="N140" s="24">
        <f>IFERROR(IF($F$5="","",IF($K$5+ROW()-26&gt;$K$6,"",IF(INDEX('Raw Pressure Data'!$A:$ZZ,$K$5+ROW()-26+$H$5,MATCH($F$5,'Raw Pressure Data'!$1:$1,0))=-999,"",INDEX('Raw Pressure Data'!$A:$ZZ,$K$5+ROW()-26+$H$5,MATCH($F$5,'Raw Pressure Data'!$1:$1,0))+$G$5))),"")</f>
        <v/>
      </c>
      <c r="O140" s="24">
        <f>IFERROR(IF($F$6="","",IF($K$5+ROW()-26&gt;$K$6,"",IF(INDEX('Raw Pressure Data'!$A:$ZZ,$K$5+ROW()-26+$H$6,MATCH($F$6,'Raw Pressure Data'!$1:$1,0))=-999,"",INDEX('Raw Pressure Data'!$A:$ZZ,$K$5+ROW()-26+$H$6,MATCH($F$6,'Raw Pressure Data'!$1:$1,0))+$G$6))),"")</f>
        <v/>
      </c>
      <c r="P140" s="24">
        <f>IFERROR(IF($F$7="","",IF($K$5+ROW()-26&gt;$K$6,"",IF(INDEX('Raw Pressure Data'!$A:$ZZ,$K$5+ROW()-26+$H$7,MATCH($F$7,'Raw Pressure Data'!$1:$1,0))=-999,"",INDEX('Raw Pressure Data'!$A:$ZZ,$K$5+ROW()-26+$H$7,MATCH($F$7,'Raw Pressure Data'!$1:$1,0))+$G$7))),"")</f>
        <v/>
      </c>
      <c r="Q140" s="24">
        <f>IFERROR(IF($F$8="","",IF($K$5+ROW()-26&gt;$K$6,"",IF(INDEX('Raw Pressure Data'!$A:$ZZ,$K$5+ROW()-26+$H$8,MATCH($F$8,'Raw Pressure Data'!$1:$1,0))=-999,"",INDEX('Raw Pressure Data'!$A:$ZZ,$K$5+ROW()-26+$H$8,MATCH($F$8,'Raw Pressure Data'!$1:$1,0))+$G$8))),"")</f>
        <v/>
      </c>
      <c r="R140" s="24">
        <f>IFERROR(IF($F$9="","",IF($K$5+ROW()-26&gt;$K$6,"",IF(INDEX('Raw Pressure Data'!$A:$ZZ,$K$5+ROW()-26+$H$9,MATCH($F$9,'Raw Pressure Data'!$1:$1,0))=-999,"",INDEX('Raw Pressure Data'!$A:$ZZ,$K$5+ROW()-26+$H$9,MATCH($F$9,'Raw Pressure Data'!$1:$1,0))+$G$9))),"")</f>
        <v/>
      </c>
      <c r="S140" s="24">
        <f>IFERROR(IF($F$10="","",IF($K$5+ROW()-26&gt;$K$6,"",IF(INDEX('Raw Pressure Data'!$A:$ZZ,$K$5+ROW()-26+$H$10,MATCH($F$10,'Raw Pressure Data'!$1:$1,0))=-999,"",INDEX('Raw Pressure Data'!$A:$ZZ,$K$5+ROW()-26+$H$10,MATCH($F$10,'Raw Pressure Data'!$1:$1,0))+$G$10))),"")</f>
        <v/>
      </c>
      <c r="T140" s="24">
        <f>IFERROR(IF($F$11="","",IF($K$5+ROW()-26&gt;$K$6,"",IF(INDEX('Raw Pressure Data'!$A:$ZZ,$K$5+ROW()-26+$H$11,MATCH($F$11,'Raw Pressure Data'!$1:$1,0))=-999,"",INDEX('Raw Pressure Data'!$A:$ZZ,$K$5+ROW()-26+$H$11,MATCH($F$11,'Raw Pressure Data'!$1:$1,0))+$G$11))),"")</f>
        <v/>
      </c>
      <c r="U140" s="24">
        <f>IFERROR(IF($F$12="","",IF($K$5+ROW()-26&gt;$K$6,"",IF(INDEX('Raw Pressure Data'!$A:$ZZ,$K$5+ROW()-26+$H$12,MATCH($F$12,'Raw Pressure Data'!$1:$1,0))=-999,"",INDEX('Raw Pressure Data'!$A:$ZZ,$K$5+ROW()-26+$H$12,MATCH($F$12,'Raw Pressure Data'!$1:$1,0))+$G$12))),"")</f>
        <v/>
      </c>
      <c r="V140" s="24">
        <f>IFERROR(IF($F$13="","",IF($K$5+ROW()-26&gt;$K$6,"",IF(INDEX('Raw Pressure Data'!$A:$ZZ,$K$5+ROW()-26+$H$13,MATCH($F$13,'Raw Pressure Data'!$1:$1,0))=-999,"",INDEX('Raw Pressure Data'!$A:$ZZ,$K$5+ROW()-26+$H$13,MATCH($F$13,'Raw Pressure Data'!$1:$1,0))+$G$13))),"")</f>
        <v/>
      </c>
      <c r="W140" s="24">
        <f>IFERROR(IF($F$14="","",IF($K$5+ROW()-26&gt;$K$6,"",IF(INDEX('Raw Pressure Data'!$A:$ZZ,$K$5+ROW()-26+$H$14,MATCH($F$14,'Raw Pressure Data'!$1:$1,0))=-999,"",INDEX('Raw Pressure Data'!$A:$ZZ,$K$5+ROW()-26+$H$14,MATCH($F$14,'Raw Pressure Data'!$1:$1,0))+$G$14))),"")</f>
        <v/>
      </c>
      <c r="X140" s="24">
        <f>IFERROR(IF($F$15="","",IF($K$5+ROW()-26&gt;$K$6,"",IF(INDEX('Raw Pressure Data'!$A:$ZZ,$K$5+ROW()-26+$H$15,MATCH($F$15,'Raw Pressure Data'!$1:$1,0))=-999,"",INDEX('Raw Pressure Data'!$A:$ZZ,$K$5+ROW()-26+$H$15,MATCH($F$15,'Raw Pressure Data'!$1:$1,0))+$G$15))),"")</f>
        <v/>
      </c>
      <c r="Y140" s="24">
        <f>IFERROR(IF($F$16="","",IF($K$5+ROW()-26&gt;$K$6,"",IF(INDEX('Raw Pressure Data'!$A:$ZZ,$K$5+ROW()-26+$H$16,MATCH($F$16,'Raw Pressure Data'!$1:$1,0))=-999,"",INDEX('Raw Pressure Data'!$A:$ZZ,$K$5+ROW()-26+$H$16,MATCH($F$16,'Raw Pressure Data'!$1:$1,0))+$G$16))),"")</f>
        <v/>
      </c>
      <c r="Z140" s="24">
        <f>IFERROR(IF($F$17="","",IF($K$5+ROW()-26&gt;$K$6,"",IF(INDEX('Raw Pressure Data'!$A:$ZZ,$K$5+ROW()-26+$H$17,MATCH($F$17,'Raw Pressure Data'!$1:$1,0))=-999,"",INDEX('Raw Pressure Data'!$A:$ZZ,$K$5+ROW()-26+$H$17,MATCH($F$17,'Raw Pressure Data'!$1:$1,0))+$G$17))),"")</f>
        <v/>
      </c>
      <c r="AA140" s="24">
        <f>IFERROR(IF($F$18="","",IF($K$5+ROW()-26&gt;$K$6,"",IF(INDEX('Raw Pressure Data'!$A:$ZZ,$K$5+ROW()-26+$H$18,MATCH($F$18,'Raw Pressure Data'!$1:$1,0))=-999,"",INDEX('Raw Pressure Data'!$A:$ZZ,$K$5+ROW()-26+$H$18,MATCH($F$18,'Raw Pressure Data'!$1:$1,0))+$G$18))),"")</f>
        <v/>
      </c>
      <c r="AB140" s="24">
        <f>IFERROR(IF($F$19="","",IF($K$5+ROW()-26&gt;$K$6,"",IF(INDEX('Raw Pressure Data'!$A:$ZZ,$K$5+ROW()-26+$H$19,MATCH($F$19,'Raw Pressure Data'!$1:$1,0))=-999,"",INDEX('Raw Pressure Data'!$A:$ZZ,$K$5+ROW()-26+$H$19,MATCH($F$19,'Raw Pressure Data'!$1:$1,0))+$G$19))),"")</f>
        <v/>
      </c>
      <c r="AC140" s="24">
        <f>IFERROR(IF($F$20="","",IF($K$5+ROW()-26&gt;$K$6,"",IF(INDEX('Raw Pressure Data'!$A:$ZZ,$K$5+ROW()-26+$H$20,MATCH($F$20,'Raw Pressure Data'!$1:$1,0))=-999,"",INDEX('Raw Pressure Data'!$A:$ZZ,$K$5+ROW()-26+$H$20,MATCH($F$20,'Raw Pressure Data'!$1:$1,0))+$G$20))),"")</f>
        <v/>
      </c>
      <c r="AD140" s="24">
        <f>IFERROR(IF($F$21="","",IF($K$5+ROW()-26&gt;$K$6,"",IF(INDEX('Raw Pressure Data'!$A:$ZZ,$K$5+ROW()-26+$H$21,MATCH($F$21,'Raw Pressure Data'!$1:$1,0))=-999,"",INDEX('Raw Pressure Data'!$A:$ZZ,$K$5+ROW()-26+$H$21,MATCH($F$21,'Raw Pressure Data'!$1:$1,0))+$G$21))),"")</f>
        <v/>
      </c>
      <c r="AE140" s="24">
        <f>IFERROR(IF($F$22="","",IF($K$5+ROW()-26&gt;$K$6,"",IF(INDEX('Raw Pressure Data'!$A:$ZZ,$K$5+ROW()-26+$H$22,MATCH($F$22,'Raw Pressure Data'!$1:$1,0))=-999,"",INDEX('Raw Pressure Data'!$A:$ZZ,$K$5+ROW()-26+$H$22,MATCH($F$22,'Raw Pressure Data'!$1:$1,0))+$G$22))),"")</f>
        <v/>
      </c>
    </row>
    <row r="141" ht="15" customHeight="1">
      <c r="A141" s="25">
        <f>IFERROR(IF($K$5+ROW()-26&gt;$K$6,"",IF(INDEX('Raw Flow Data'!$A:$A,$K$5+ROW()-26)="","",INDEX('Raw Flow Data'!$A:$A,$K$5+ROW()-26))),"")</f>
        <v/>
      </c>
      <c r="B141" s="26">
        <f>IFERROR(IF($B$3="","",IF($K$5+ROW()-26&gt;$K$6,"",IF(INDEX('Raw Flow Data'!$A:$ZZ,$K$5+ROW()-26+$D$3,MATCH($B$3,'Raw Flow Data'!$1:$1,0))=-999,"",INDEX('Raw Flow Data'!$A:$ZZ,$K$5+ROW()-26+$D$3,MATCH($B$3,'Raw Flow Data'!$1:$1,0))*$C$3))),"")</f>
        <v/>
      </c>
      <c r="C141" s="26">
        <f>IFERROR(IF($B$4="","",IF($K$5+ROW()-26&gt;$K$6,"",IF(INDEX('Raw Flow Data'!$A:$ZZ,$K$5+ROW()-26+$D$4,MATCH($B$4,'Raw Flow Data'!$1:$1,0))=-999,"",INDEX('Raw Flow Data'!$A:$ZZ,$K$5+ROW()-26+$D$4,MATCH($B$4,'Raw Flow Data'!$1:$1,0))*$C$4))),"")</f>
        <v/>
      </c>
      <c r="D141" s="26">
        <f>IFERROR(IF($B$5="","",IF($K$5+ROW()-26&gt;$K$6,"",IF(INDEX('Raw Flow Data'!$A:$ZZ,$K$5+ROW()-26+$D$5,MATCH($B$5,'Raw Flow Data'!$1:$1,0))=-999,"",INDEX('Raw Flow Data'!$A:$ZZ,$K$5+ROW()-26+$D$5,MATCH($B$5,'Raw Flow Data'!$1:$1,0))*$C$5))),"")</f>
        <v/>
      </c>
      <c r="E141" s="26">
        <f>IFERROR(IF($B$6="","",IF($K$5+ROW()-26&gt;$K$6,"",IF(INDEX('Raw Flow Data'!$A:$ZZ,$K$5+ROW()-26+$D$6,MATCH($B$6,'Raw Flow Data'!$1:$1,0))=-999,"",INDEX('Raw Flow Data'!$A:$ZZ,$K$5+ROW()-26+$D$6,MATCH($B$6,'Raw Flow Data'!$1:$1,0))*$C$6))),"")</f>
        <v/>
      </c>
      <c r="F141" s="26">
        <f>IFERROR(IF($B$7="","",IF($K$5+ROW()-26&gt;$K$6,"",IF(INDEX('Raw Flow Data'!$A:$ZZ,$K$5+ROW()-26+$D$7,MATCH($B$7,'Raw Flow Data'!$1:$1,0))=-999,"",INDEX('Raw Flow Data'!$A:$ZZ,$K$5+ROW()-26+$D$7,MATCH($B$7,'Raw Flow Data'!$1:$1,0))*$C$7))),"")</f>
        <v/>
      </c>
      <c r="G141" s="26">
        <f>IFERROR(IF($B$8="","",IF($K$5+ROW()-26&gt;$K$6,"",IF(INDEX('Raw Flow Data'!$A:$ZZ,$K$5+ROW()-26+$D$8,MATCH($B$8,'Raw Flow Data'!$1:$1,0))=-999,"",INDEX('Raw Flow Data'!$A:$ZZ,$K$5+ROW()-26+$D$8,MATCH($B$8,'Raw Flow Data'!$1:$1,0))*$C$8))),"")</f>
        <v/>
      </c>
      <c r="H141" s="26">
        <f>IFERROR(IF($B$9="","",IF($K$5+ROW()-26&gt;$K$6,"",IF(INDEX('Raw Flow Data'!$A:$ZZ,$K$5+ROW()-26+$D$9,MATCH($B$9,'Raw Flow Data'!$1:$1,0))=-999,"",INDEX('Raw Flow Data'!$A:$ZZ,$K$5+ROW()-26+$D$9,MATCH($B$9,'Raw Flow Data'!$1:$1,0))*$C$9))),"")</f>
        <v/>
      </c>
      <c r="I141" s="26">
        <f>IFERROR(IF($B$10="","",IF($K$5+ROW()-26&gt;$K$6,"",IF(INDEX('Raw Flow Data'!$A:$ZZ,$K$5+ROW()-26+$D$10,MATCH($B$10,'Raw Flow Data'!$1:$1,0))=-999,"",INDEX('Raw Flow Data'!$A:$ZZ,$K$5+ROW()-26+$D$10,MATCH($B$10,'Raw Flow Data'!$1:$1,0))*$C$10))),"")</f>
        <v/>
      </c>
      <c r="J141" s="26">
        <f>IFERROR(IF($B$11="","",IF($K$5+ROW()-26&gt;$K$6,"",IF(INDEX('Raw Flow Data'!$A:$ZZ,$K$5+ROW()-26+$D$11,MATCH($B$11,'Raw Flow Data'!$1:$1,0))=-999,"",INDEX('Raw Flow Data'!$A:$ZZ,$K$5+ROW()-26+$D$11,MATCH($B$11,'Raw Flow Data'!$1:$1,0))*$C$11))),"")</f>
        <v/>
      </c>
      <c r="K141" s="26">
        <f>IFERROR(IF($B$12="","",IF($K$5+ROW()-26&gt;$K$6,"",IF(INDEX('Raw Flow Data'!$A:$ZZ,$K$5+ROW()-26+$D$12,MATCH($B$12,'Raw Flow Data'!$1:$1,0))=-999,"",INDEX('Raw Flow Data'!$A:$ZZ,$K$5+ROW()-26+$D$12,MATCH($B$12,'Raw Flow Data'!$1:$1,0))*$C$12))),"")</f>
        <v/>
      </c>
      <c r="L141" s="26">
        <f>IFERROR(IF($F$3="","",IF($K$5+ROW()-26&gt;$K$6,"",IF(INDEX('Raw Pressure Data'!$A:$ZZ,$K$5+ROW()-26+$H$3,MATCH($F$3,'Raw Pressure Data'!$1:$1,0))=-999,"",INDEX('Raw Pressure Data'!$A:$ZZ,$K$5+ROW()-26+$H$3,MATCH($F$3,'Raw Pressure Data'!$1:$1,0))+$G$3))),"")</f>
        <v/>
      </c>
      <c r="M141" s="26">
        <f>IFERROR(IF($F$4="","",IF($K$5+ROW()-26&gt;$K$6,"",IF(INDEX('Raw Pressure Data'!$A:$ZZ,$K$5+ROW()-26+$H$4,MATCH($F$4,'Raw Pressure Data'!$1:$1,0))=-999,"",INDEX('Raw Pressure Data'!$A:$ZZ,$K$5+ROW()-26+$H$4,MATCH($F$4,'Raw Pressure Data'!$1:$1,0))+$G$4))),"")</f>
        <v/>
      </c>
      <c r="N141" s="26">
        <f>IFERROR(IF($F$5="","",IF($K$5+ROW()-26&gt;$K$6,"",IF(INDEX('Raw Pressure Data'!$A:$ZZ,$K$5+ROW()-26+$H$5,MATCH($F$5,'Raw Pressure Data'!$1:$1,0))=-999,"",INDEX('Raw Pressure Data'!$A:$ZZ,$K$5+ROW()-26+$H$5,MATCH($F$5,'Raw Pressure Data'!$1:$1,0))+$G$5))),"")</f>
        <v/>
      </c>
      <c r="O141" s="26">
        <f>IFERROR(IF($F$6="","",IF($K$5+ROW()-26&gt;$K$6,"",IF(INDEX('Raw Pressure Data'!$A:$ZZ,$K$5+ROW()-26+$H$6,MATCH($F$6,'Raw Pressure Data'!$1:$1,0))=-999,"",INDEX('Raw Pressure Data'!$A:$ZZ,$K$5+ROW()-26+$H$6,MATCH($F$6,'Raw Pressure Data'!$1:$1,0))+$G$6))),"")</f>
        <v/>
      </c>
      <c r="P141" s="26">
        <f>IFERROR(IF($F$7="","",IF($K$5+ROW()-26&gt;$K$6,"",IF(INDEX('Raw Pressure Data'!$A:$ZZ,$K$5+ROW()-26+$H$7,MATCH($F$7,'Raw Pressure Data'!$1:$1,0))=-999,"",INDEX('Raw Pressure Data'!$A:$ZZ,$K$5+ROW()-26+$H$7,MATCH($F$7,'Raw Pressure Data'!$1:$1,0))+$G$7))),"")</f>
        <v/>
      </c>
      <c r="Q141" s="26">
        <f>IFERROR(IF($F$8="","",IF($K$5+ROW()-26&gt;$K$6,"",IF(INDEX('Raw Pressure Data'!$A:$ZZ,$K$5+ROW()-26+$H$8,MATCH($F$8,'Raw Pressure Data'!$1:$1,0))=-999,"",INDEX('Raw Pressure Data'!$A:$ZZ,$K$5+ROW()-26+$H$8,MATCH($F$8,'Raw Pressure Data'!$1:$1,0))+$G$8))),"")</f>
        <v/>
      </c>
      <c r="R141" s="26">
        <f>IFERROR(IF($F$9="","",IF($K$5+ROW()-26&gt;$K$6,"",IF(INDEX('Raw Pressure Data'!$A:$ZZ,$K$5+ROW()-26+$H$9,MATCH($F$9,'Raw Pressure Data'!$1:$1,0))=-999,"",INDEX('Raw Pressure Data'!$A:$ZZ,$K$5+ROW()-26+$H$9,MATCH($F$9,'Raw Pressure Data'!$1:$1,0))+$G$9))),"")</f>
        <v/>
      </c>
      <c r="S141" s="26">
        <f>IFERROR(IF($F$10="","",IF($K$5+ROW()-26&gt;$K$6,"",IF(INDEX('Raw Pressure Data'!$A:$ZZ,$K$5+ROW()-26+$H$10,MATCH($F$10,'Raw Pressure Data'!$1:$1,0))=-999,"",INDEX('Raw Pressure Data'!$A:$ZZ,$K$5+ROW()-26+$H$10,MATCH($F$10,'Raw Pressure Data'!$1:$1,0))+$G$10))),"")</f>
        <v/>
      </c>
      <c r="T141" s="26">
        <f>IFERROR(IF($F$11="","",IF($K$5+ROW()-26&gt;$K$6,"",IF(INDEX('Raw Pressure Data'!$A:$ZZ,$K$5+ROW()-26+$H$11,MATCH($F$11,'Raw Pressure Data'!$1:$1,0))=-999,"",INDEX('Raw Pressure Data'!$A:$ZZ,$K$5+ROW()-26+$H$11,MATCH($F$11,'Raw Pressure Data'!$1:$1,0))+$G$11))),"")</f>
        <v/>
      </c>
      <c r="U141" s="26">
        <f>IFERROR(IF($F$12="","",IF($K$5+ROW()-26&gt;$K$6,"",IF(INDEX('Raw Pressure Data'!$A:$ZZ,$K$5+ROW()-26+$H$12,MATCH($F$12,'Raw Pressure Data'!$1:$1,0))=-999,"",INDEX('Raw Pressure Data'!$A:$ZZ,$K$5+ROW()-26+$H$12,MATCH($F$12,'Raw Pressure Data'!$1:$1,0))+$G$12))),"")</f>
        <v/>
      </c>
      <c r="V141" s="26">
        <f>IFERROR(IF($F$13="","",IF($K$5+ROW()-26&gt;$K$6,"",IF(INDEX('Raw Pressure Data'!$A:$ZZ,$K$5+ROW()-26+$H$13,MATCH($F$13,'Raw Pressure Data'!$1:$1,0))=-999,"",INDEX('Raw Pressure Data'!$A:$ZZ,$K$5+ROW()-26+$H$13,MATCH($F$13,'Raw Pressure Data'!$1:$1,0))+$G$13))),"")</f>
        <v/>
      </c>
      <c r="W141" s="26">
        <f>IFERROR(IF($F$14="","",IF($K$5+ROW()-26&gt;$K$6,"",IF(INDEX('Raw Pressure Data'!$A:$ZZ,$K$5+ROW()-26+$H$14,MATCH($F$14,'Raw Pressure Data'!$1:$1,0))=-999,"",INDEX('Raw Pressure Data'!$A:$ZZ,$K$5+ROW()-26+$H$14,MATCH($F$14,'Raw Pressure Data'!$1:$1,0))+$G$14))),"")</f>
        <v/>
      </c>
      <c r="X141" s="26">
        <f>IFERROR(IF($F$15="","",IF($K$5+ROW()-26&gt;$K$6,"",IF(INDEX('Raw Pressure Data'!$A:$ZZ,$K$5+ROW()-26+$H$15,MATCH($F$15,'Raw Pressure Data'!$1:$1,0))=-999,"",INDEX('Raw Pressure Data'!$A:$ZZ,$K$5+ROW()-26+$H$15,MATCH($F$15,'Raw Pressure Data'!$1:$1,0))+$G$15))),"")</f>
        <v/>
      </c>
      <c r="Y141" s="26">
        <f>IFERROR(IF($F$16="","",IF($K$5+ROW()-26&gt;$K$6,"",IF(INDEX('Raw Pressure Data'!$A:$ZZ,$K$5+ROW()-26+$H$16,MATCH($F$16,'Raw Pressure Data'!$1:$1,0))=-999,"",INDEX('Raw Pressure Data'!$A:$ZZ,$K$5+ROW()-26+$H$16,MATCH($F$16,'Raw Pressure Data'!$1:$1,0))+$G$16))),"")</f>
        <v/>
      </c>
      <c r="Z141" s="26">
        <f>IFERROR(IF($F$17="","",IF($K$5+ROW()-26&gt;$K$6,"",IF(INDEX('Raw Pressure Data'!$A:$ZZ,$K$5+ROW()-26+$H$17,MATCH($F$17,'Raw Pressure Data'!$1:$1,0))=-999,"",INDEX('Raw Pressure Data'!$A:$ZZ,$K$5+ROW()-26+$H$17,MATCH($F$17,'Raw Pressure Data'!$1:$1,0))+$G$17))),"")</f>
        <v/>
      </c>
      <c r="AA141" s="26">
        <f>IFERROR(IF($F$18="","",IF($K$5+ROW()-26&gt;$K$6,"",IF(INDEX('Raw Pressure Data'!$A:$ZZ,$K$5+ROW()-26+$H$18,MATCH($F$18,'Raw Pressure Data'!$1:$1,0))=-999,"",INDEX('Raw Pressure Data'!$A:$ZZ,$K$5+ROW()-26+$H$18,MATCH($F$18,'Raw Pressure Data'!$1:$1,0))+$G$18))),"")</f>
        <v/>
      </c>
      <c r="AB141" s="26">
        <f>IFERROR(IF($F$19="","",IF($K$5+ROW()-26&gt;$K$6,"",IF(INDEX('Raw Pressure Data'!$A:$ZZ,$K$5+ROW()-26+$H$19,MATCH($F$19,'Raw Pressure Data'!$1:$1,0))=-999,"",INDEX('Raw Pressure Data'!$A:$ZZ,$K$5+ROW()-26+$H$19,MATCH($F$19,'Raw Pressure Data'!$1:$1,0))+$G$19))),"")</f>
        <v/>
      </c>
      <c r="AC141" s="26">
        <f>IFERROR(IF($F$20="","",IF($K$5+ROW()-26&gt;$K$6,"",IF(INDEX('Raw Pressure Data'!$A:$ZZ,$K$5+ROW()-26+$H$20,MATCH($F$20,'Raw Pressure Data'!$1:$1,0))=-999,"",INDEX('Raw Pressure Data'!$A:$ZZ,$K$5+ROW()-26+$H$20,MATCH($F$20,'Raw Pressure Data'!$1:$1,0))+$G$20))),"")</f>
        <v/>
      </c>
      <c r="AD141" s="26">
        <f>IFERROR(IF($F$21="","",IF($K$5+ROW()-26&gt;$K$6,"",IF(INDEX('Raw Pressure Data'!$A:$ZZ,$K$5+ROW()-26+$H$21,MATCH($F$21,'Raw Pressure Data'!$1:$1,0))=-999,"",INDEX('Raw Pressure Data'!$A:$ZZ,$K$5+ROW()-26+$H$21,MATCH($F$21,'Raw Pressure Data'!$1:$1,0))+$G$21))),"")</f>
        <v/>
      </c>
      <c r="AE141" s="26">
        <f>IFERROR(IF($F$22="","",IF($K$5+ROW()-26&gt;$K$6,"",IF(INDEX('Raw Pressure Data'!$A:$ZZ,$K$5+ROW()-26+$H$22,MATCH($F$22,'Raw Pressure Data'!$1:$1,0))=-999,"",INDEX('Raw Pressure Data'!$A:$ZZ,$K$5+ROW()-26+$H$22,MATCH($F$22,'Raw Pressure Data'!$1:$1,0))+$G$22))),"")</f>
        <v/>
      </c>
    </row>
    <row r="142" ht="15" customHeight="1">
      <c r="A142" s="23">
        <f>IFERROR(IF($K$5+ROW()-26&gt;$K$6,"",IF(INDEX('Raw Flow Data'!$A:$A,$K$5+ROW()-26)="","",INDEX('Raw Flow Data'!$A:$A,$K$5+ROW()-26))),"")</f>
        <v/>
      </c>
      <c r="B142" s="24">
        <f>IFERROR(IF($B$3="","",IF($K$5+ROW()-26&gt;$K$6,"",IF(INDEX('Raw Flow Data'!$A:$ZZ,$K$5+ROW()-26+$D$3,MATCH($B$3,'Raw Flow Data'!$1:$1,0))=-999,"",INDEX('Raw Flow Data'!$A:$ZZ,$K$5+ROW()-26+$D$3,MATCH($B$3,'Raw Flow Data'!$1:$1,0))*$C$3))),"")</f>
        <v/>
      </c>
      <c r="C142" s="24">
        <f>IFERROR(IF($B$4="","",IF($K$5+ROW()-26&gt;$K$6,"",IF(INDEX('Raw Flow Data'!$A:$ZZ,$K$5+ROW()-26+$D$4,MATCH($B$4,'Raw Flow Data'!$1:$1,0))=-999,"",INDEX('Raw Flow Data'!$A:$ZZ,$K$5+ROW()-26+$D$4,MATCH($B$4,'Raw Flow Data'!$1:$1,0))*$C$4))),"")</f>
        <v/>
      </c>
      <c r="D142" s="24">
        <f>IFERROR(IF($B$5="","",IF($K$5+ROW()-26&gt;$K$6,"",IF(INDEX('Raw Flow Data'!$A:$ZZ,$K$5+ROW()-26+$D$5,MATCH($B$5,'Raw Flow Data'!$1:$1,0))=-999,"",INDEX('Raw Flow Data'!$A:$ZZ,$K$5+ROW()-26+$D$5,MATCH($B$5,'Raw Flow Data'!$1:$1,0))*$C$5))),"")</f>
        <v/>
      </c>
      <c r="E142" s="24">
        <f>IFERROR(IF($B$6="","",IF($K$5+ROW()-26&gt;$K$6,"",IF(INDEX('Raw Flow Data'!$A:$ZZ,$K$5+ROW()-26+$D$6,MATCH($B$6,'Raw Flow Data'!$1:$1,0))=-999,"",INDEX('Raw Flow Data'!$A:$ZZ,$K$5+ROW()-26+$D$6,MATCH($B$6,'Raw Flow Data'!$1:$1,0))*$C$6))),"")</f>
        <v/>
      </c>
      <c r="F142" s="24">
        <f>IFERROR(IF($B$7="","",IF($K$5+ROW()-26&gt;$K$6,"",IF(INDEX('Raw Flow Data'!$A:$ZZ,$K$5+ROW()-26+$D$7,MATCH($B$7,'Raw Flow Data'!$1:$1,0))=-999,"",INDEX('Raw Flow Data'!$A:$ZZ,$K$5+ROW()-26+$D$7,MATCH($B$7,'Raw Flow Data'!$1:$1,0))*$C$7))),"")</f>
        <v/>
      </c>
      <c r="G142" s="24">
        <f>IFERROR(IF($B$8="","",IF($K$5+ROW()-26&gt;$K$6,"",IF(INDEX('Raw Flow Data'!$A:$ZZ,$K$5+ROW()-26+$D$8,MATCH($B$8,'Raw Flow Data'!$1:$1,0))=-999,"",INDEX('Raw Flow Data'!$A:$ZZ,$K$5+ROW()-26+$D$8,MATCH($B$8,'Raw Flow Data'!$1:$1,0))*$C$8))),"")</f>
        <v/>
      </c>
      <c r="H142" s="24">
        <f>IFERROR(IF($B$9="","",IF($K$5+ROW()-26&gt;$K$6,"",IF(INDEX('Raw Flow Data'!$A:$ZZ,$K$5+ROW()-26+$D$9,MATCH($B$9,'Raw Flow Data'!$1:$1,0))=-999,"",INDEX('Raw Flow Data'!$A:$ZZ,$K$5+ROW()-26+$D$9,MATCH($B$9,'Raw Flow Data'!$1:$1,0))*$C$9))),"")</f>
        <v/>
      </c>
      <c r="I142" s="24">
        <f>IFERROR(IF($B$10="","",IF($K$5+ROW()-26&gt;$K$6,"",IF(INDEX('Raw Flow Data'!$A:$ZZ,$K$5+ROW()-26+$D$10,MATCH($B$10,'Raw Flow Data'!$1:$1,0))=-999,"",INDEX('Raw Flow Data'!$A:$ZZ,$K$5+ROW()-26+$D$10,MATCH($B$10,'Raw Flow Data'!$1:$1,0))*$C$10))),"")</f>
        <v/>
      </c>
      <c r="J142" s="24">
        <f>IFERROR(IF($B$11="","",IF($K$5+ROW()-26&gt;$K$6,"",IF(INDEX('Raw Flow Data'!$A:$ZZ,$K$5+ROW()-26+$D$11,MATCH($B$11,'Raw Flow Data'!$1:$1,0))=-999,"",INDEX('Raw Flow Data'!$A:$ZZ,$K$5+ROW()-26+$D$11,MATCH($B$11,'Raw Flow Data'!$1:$1,0))*$C$11))),"")</f>
        <v/>
      </c>
      <c r="K142" s="24">
        <f>IFERROR(IF($B$12="","",IF($K$5+ROW()-26&gt;$K$6,"",IF(INDEX('Raw Flow Data'!$A:$ZZ,$K$5+ROW()-26+$D$12,MATCH($B$12,'Raw Flow Data'!$1:$1,0))=-999,"",INDEX('Raw Flow Data'!$A:$ZZ,$K$5+ROW()-26+$D$12,MATCH($B$12,'Raw Flow Data'!$1:$1,0))*$C$12))),"")</f>
        <v/>
      </c>
      <c r="L142" s="24">
        <f>IFERROR(IF($F$3="","",IF($K$5+ROW()-26&gt;$K$6,"",IF(INDEX('Raw Pressure Data'!$A:$ZZ,$K$5+ROW()-26+$H$3,MATCH($F$3,'Raw Pressure Data'!$1:$1,0))=-999,"",INDEX('Raw Pressure Data'!$A:$ZZ,$K$5+ROW()-26+$H$3,MATCH($F$3,'Raw Pressure Data'!$1:$1,0))+$G$3))),"")</f>
        <v/>
      </c>
      <c r="M142" s="24">
        <f>IFERROR(IF($F$4="","",IF($K$5+ROW()-26&gt;$K$6,"",IF(INDEX('Raw Pressure Data'!$A:$ZZ,$K$5+ROW()-26+$H$4,MATCH($F$4,'Raw Pressure Data'!$1:$1,0))=-999,"",INDEX('Raw Pressure Data'!$A:$ZZ,$K$5+ROW()-26+$H$4,MATCH($F$4,'Raw Pressure Data'!$1:$1,0))+$G$4))),"")</f>
        <v/>
      </c>
      <c r="N142" s="24">
        <f>IFERROR(IF($F$5="","",IF($K$5+ROW()-26&gt;$K$6,"",IF(INDEX('Raw Pressure Data'!$A:$ZZ,$K$5+ROW()-26+$H$5,MATCH($F$5,'Raw Pressure Data'!$1:$1,0))=-999,"",INDEX('Raw Pressure Data'!$A:$ZZ,$K$5+ROW()-26+$H$5,MATCH($F$5,'Raw Pressure Data'!$1:$1,0))+$G$5))),"")</f>
        <v/>
      </c>
      <c r="O142" s="24">
        <f>IFERROR(IF($F$6="","",IF($K$5+ROW()-26&gt;$K$6,"",IF(INDEX('Raw Pressure Data'!$A:$ZZ,$K$5+ROW()-26+$H$6,MATCH($F$6,'Raw Pressure Data'!$1:$1,0))=-999,"",INDEX('Raw Pressure Data'!$A:$ZZ,$K$5+ROW()-26+$H$6,MATCH($F$6,'Raw Pressure Data'!$1:$1,0))+$G$6))),"")</f>
        <v/>
      </c>
      <c r="P142" s="24">
        <f>IFERROR(IF($F$7="","",IF($K$5+ROW()-26&gt;$K$6,"",IF(INDEX('Raw Pressure Data'!$A:$ZZ,$K$5+ROW()-26+$H$7,MATCH($F$7,'Raw Pressure Data'!$1:$1,0))=-999,"",INDEX('Raw Pressure Data'!$A:$ZZ,$K$5+ROW()-26+$H$7,MATCH($F$7,'Raw Pressure Data'!$1:$1,0))+$G$7))),"")</f>
        <v/>
      </c>
      <c r="Q142" s="24">
        <f>IFERROR(IF($F$8="","",IF($K$5+ROW()-26&gt;$K$6,"",IF(INDEX('Raw Pressure Data'!$A:$ZZ,$K$5+ROW()-26+$H$8,MATCH($F$8,'Raw Pressure Data'!$1:$1,0))=-999,"",INDEX('Raw Pressure Data'!$A:$ZZ,$K$5+ROW()-26+$H$8,MATCH($F$8,'Raw Pressure Data'!$1:$1,0))+$G$8))),"")</f>
        <v/>
      </c>
      <c r="R142" s="24">
        <f>IFERROR(IF($F$9="","",IF($K$5+ROW()-26&gt;$K$6,"",IF(INDEX('Raw Pressure Data'!$A:$ZZ,$K$5+ROW()-26+$H$9,MATCH($F$9,'Raw Pressure Data'!$1:$1,0))=-999,"",INDEX('Raw Pressure Data'!$A:$ZZ,$K$5+ROW()-26+$H$9,MATCH($F$9,'Raw Pressure Data'!$1:$1,0))+$G$9))),"")</f>
        <v/>
      </c>
      <c r="S142" s="24">
        <f>IFERROR(IF($F$10="","",IF($K$5+ROW()-26&gt;$K$6,"",IF(INDEX('Raw Pressure Data'!$A:$ZZ,$K$5+ROW()-26+$H$10,MATCH($F$10,'Raw Pressure Data'!$1:$1,0))=-999,"",INDEX('Raw Pressure Data'!$A:$ZZ,$K$5+ROW()-26+$H$10,MATCH($F$10,'Raw Pressure Data'!$1:$1,0))+$G$10))),"")</f>
        <v/>
      </c>
      <c r="T142" s="24">
        <f>IFERROR(IF($F$11="","",IF($K$5+ROW()-26&gt;$K$6,"",IF(INDEX('Raw Pressure Data'!$A:$ZZ,$K$5+ROW()-26+$H$11,MATCH($F$11,'Raw Pressure Data'!$1:$1,0))=-999,"",INDEX('Raw Pressure Data'!$A:$ZZ,$K$5+ROW()-26+$H$11,MATCH($F$11,'Raw Pressure Data'!$1:$1,0))+$G$11))),"")</f>
        <v/>
      </c>
      <c r="U142" s="24">
        <f>IFERROR(IF($F$12="","",IF($K$5+ROW()-26&gt;$K$6,"",IF(INDEX('Raw Pressure Data'!$A:$ZZ,$K$5+ROW()-26+$H$12,MATCH($F$12,'Raw Pressure Data'!$1:$1,0))=-999,"",INDEX('Raw Pressure Data'!$A:$ZZ,$K$5+ROW()-26+$H$12,MATCH($F$12,'Raw Pressure Data'!$1:$1,0))+$G$12))),"")</f>
        <v/>
      </c>
      <c r="V142" s="24">
        <f>IFERROR(IF($F$13="","",IF($K$5+ROW()-26&gt;$K$6,"",IF(INDEX('Raw Pressure Data'!$A:$ZZ,$K$5+ROW()-26+$H$13,MATCH($F$13,'Raw Pressure Data'!$1:$1,0))=-999,"",INDEX('Raw Pressure Data'!$A:$ZZ,$K$5+ROW()-26+$H$13,MATCH($F$13,'Raw Pressure Data'!$1:$1,0))+$G$13))),"")</f>
        <v/>
      </c>
      <c r="W142" s="24">
        <f>IFERROR(IF($F$14="","",IF($K$5+ROW()-26&gt;$K$6,"",IF(INDEX('Raw Pressure Data'!$A:$ZZ,$K$5+ROW()-26+$H$14,MATCH($F$14,'Raw Pressure Data'!$1:$1,0))=-999,"",INDEX('Raw Pressure Data'!$A:$ZZ,$K$5+ROW()-26+$H$14,MATCH($F$14,'Raw Pressure Data'!$1:$1,0))+$G$14))),"")</f>
        <v/>
      </c>
      <c r="X142" s="24">
        <f>IFERROR(IF($F$15="","",IF($K$5+ROW()-26&gt;$K$6,"",IF(INDEX('Raw Pressure Data'!$A:$ZZ,$K$5+ROW()-26+$H$15,MATCH($F$15,'Raw Pressure Data'!$1:$1,0))=-999,"",INDEX('Raw Pressure Data'!$A:$ZZ,$K$5+ROW()-26+$H$15,MATCH($F$15,'Raw Pressure Data'!$1:$1,0))+$G$15))),"")</f>
        <v/>
      </c>
      <c r="Y142" s="24">
        <f>IFERROR(IF($F$16="","",IF($K$5+ROW()-26&gt;$K$6,"",IF(INDEX('Raw Pressure Data'!$A:$ZZ,$K$5+ROW()-26+$H$16,MATCH($F$16,'Raw Pressure Data'!$1:$1,0))=-999,"",INDEX('Raw Pressure Data'!$A:$ZZ,$K$5+ROW()-26+$H$16,MATCH($F$16,'Raw Pressure Data'!$1:$1,0))+$G$16))),"")</f>
        <v/>
      </c>
      <c r="Z142" s="24">
        <f>IFERROR(IF($F$17="","",IF($K$5+ROW()-26&gt;$K$6,"",IF(INDEX('Raw Pressure Data'!$A:$ZZ,$K$5+ROW()-26+$H$17,MATCH($F$17,'Raw Pressure Data'!$1:$1,0))=-999,"",INDEX('Raw Pressure Data'!$A:$ZZ,$K$5+ROW()-26+$H$17,MATCH($F$17,'Raw Pressure Data'!$1:$1,0))+$G$17))),"")</f>
        <v/>
      </c>
      <c r="AA142" s="24">
        <f>IFERROR(IF($F$18="","",IF($K$5+ROW()-26&gt;$K$6,"",IF(INDEX('Raw Pressure Data'!$A:$ZZ,$K$5+ROW()-26+$H$18,MATCH($F$18,'Raw Pressure Data'!$1:$1,0))=-999,"",INDEX('Raw Pressure Data'!$A:$ZZ,$K$5+ROW()-26+$H$18,MATCH($F$18,'Raw Pressure Data'!$1:$1,0))+$G$18))),"")</f>
        <v/>
      </c>
      <c r="AB142" s="24">
        <f>IFERROR(IF($F$19="","",IF($K$5+ROW()-26&gt;$K$6,"",IF(INDEX('Raw Pressure Data'!$A:$ZZ,$K$5+ROW()-26+$H$19,MATCH($F$19,'Raw Pressure Data'!$1:$1,0))=-999,"",INDEX('Raw Pressure Data'!$A:$ZZ,$K$5+ROW()-26+$H$19,MATCH($F$19,'Raw Pressure Data'!$1:$1,0))+$G$19))),"")</f>
        <v/>
      </c>
      <c r="AC142" s="24">
        <f>IFERROR(IF($F$20="","",IF($K$5+ROW()-26&gt;$K$6,"",IF(INDEX('Raw Pressure Data'!$A:$ZZ,$K$5+ROW()-26+$H$20,MATCH($F$20,'Raw Pressure Data'!$1:$1,0))=-999,"",INDEX('Raw Pressure Data'!$A:$ZZ,$K$5+ROW()-26+$H$20,MATCH($F$20,'Raw Pressure Data'!$1:$1,0))+$G$20))),"")</f>
        <v/>
      </c>
      <c r="AD142" s="24">
        <f>IFERROR(IF($F$21="","",IF($K$5+ROW()-26&gt;$K$6,"",IF(INDEX('Raw Pressure Data'!$A:$ZZ,$K$5+ROW()-26+$H$21,MATCH($F$21,'Raw Pressure Data'!$1:$1,0))=-999,"",INDEX('Raw Pressure Data'!$A:$ZZ,$K$5+ROW()-26+$H$21,MATCH($F$21,'Raw Pressure Data'!$1:$1,0))+$G$21))),"")</f>
        <v/>
      </c>
      <c r="AE142" s="24">
        <f>IFERROR(IF($F$22="","",IF($K$5+ROW()-26&gt;$K$6,"",IF(INDEX('Raw Pressure Data'!$A:$ZZ,$K$5+ROW()-26+$H$22,MATCH($F$22,'Raw Pressure Data'!$1:$1,0))=-999,"",INDEX('Raw Pressure Data'!$A:$ZZ,$K$5+ROW()-26+$H$22,MATCH($F$22,'Raw Pressure Data'!$1:$1,0))+$G$22))),"")</f>
        <v/>
      </c>
    </row>
    <row r="143" ht="15" customHeight="1">
      <c r="A143" s="25">
        <f>IFERROR(IF($K$5+ROW()-26&gt;$K$6,"",IF(INDEX('Raw Flow Data'!$A:$A,$K$5+ROW()-26)="","",INDEX('Raw Flow Data'!$A:$A,$K$5+ROW()-26))),"")</f>
        <v/>
      </c>
      <c r="B143" s="26">
        <f>IFERROR(IF($B$3="","",IF($K$5+ROW()-26&gt;$K$6,"",IF(INDEX('Raw Flow Data'!$A:$ZZ,$K$5+ROW()-26+$D$3,MATCH($B$3,'Raw Flow Data'!$1:$1,0))=-999,"",INDEX('Raw Flow Data'!$A:$ZZ,$K$5+ROW()-26+$D$3,MATCH($B$3,'Raw Flow Data'!$1:$1,0))*$C$3))),"")</f>
        <v/>
      </c>
      <c r="C143" s="26">
        <f>IFERROR(IF($B$4="","",IF($K$5+ROW()-26&gt;$K$6,"",IF(INDEX('Raw Flow Data'!$A:$ZZ,$K$5+ROW()-26+$D$4,MATCH($B$4,'Raw Flow Data'!$1:$1,0))=-999,"",INDEX('Raw Flow Data'!$A:$ZZ,$K$5+ROW()-26+$D$4,MATCH($B$4,'Raw Flow Data'!$1:$1,0))*$C$4))),"")</f>
        <v/>
      </c>
      <c r="D143" s="26">
        <f>IFERROR(IF($B$5="","",IF($K$5+ROW()-26&gt;$K$6,"",IF(INDEX('Raw Flow Data'!$A:$ZZ,$K$5+ROW()-26+$D$5,MATCH($B$5,'Raw Flow Data'!$1:$1,0))=-999,"",INDEX('Raw Flow Data'!$A:$ZZ,$K$5+ROW()-26+$D$5,MATCH($B$5,'Raw Flow Data'!$1:$1,0))*$C$5))),"")</f>
        <v/>
      </c>
      <c r="E143" s="26">
        <f>IFERROR(IF($B$6="","",IF($K$5+ROW()-26&gt;$K$6,"",IF(INDEX('Raw Flow Data'!$A:$ZZ,$K$5+ROW()-26+$D$6,MATCH($B$6,'Raw Flow Data'!$1:$1,0))=-999,"",INDEX('Raw Flow Data'!$A:$ZZ,$K$5+ROW()-26+$D$6,MATCH($B$6,'Raw Flow Data'!$1:$1,0))*$C$6))),"")</f>
        <v/>
      </c>
      <c r="F143" s="26">
        <f>IFERROR(IF($B$7="","",IF($K$5+ROW()-26&gt;$K$6,"",IF(INDEX('Raw Flow Data'!$A:$ZZ,$K$5+ROW()-26+$D$7,MATCH($B$7,'Raw Flow Data'!$1:$1,0))=-999,"",INDEX('Raw Flow Data'!$A:$ZZ,$K$5+ROW()-26+$D$7,MATCH($B$7,'Raw Flow Data'!$1:$1,0))*$C$7))),"")</f>
        <v/>
      </c>
      <c r="G143" s="26">
        <f>IFERROR(IF($B$8="","",IF($K$5+ROW()-26&gt;$K$6,"",IF(INDEX('Raw Flow Data'!$A:$ZZ,$K$5+ROW()-26+$D$8,MATCH($B$8,'Raw Flow Data'!$1:$1,0))=-999,"",INDEX('Raw Flow Data'!$A:$ZZ,$K$5+ROW()-26+$D$8,MATCH($B$8,'Raw Flow Data'!$1:$1,0))*$C$8))),"")</f>
        <v/>
      </c>
      <c r="H143" s="26">
        <f>IFERROR(IF($B$9="","",IF($K$5+ROW()-26&gt;$K$6,"",IF(INDEX('Raw Flow Data'!$A:$ZZ,$K$5+ROW()-26+$D$9,MATCH($B$9,'Raw Flow Data'!$1:$1,0))=-999,"",INDEX('Raw Flow Data'!$A:$ZZ,$K$5+ROW()-26+$D$9,MATCH($B$9,'Raw Flow Data'!$1:$1,0))*$C$9))),"")</f>
        <v/>
      </c>
      <c r="I143" s="26">
        <f>IFERROR(IF($B$10="","",IF($K$5+ROW()-26&gt;$K$6,"",IF(INDEX('Raw Flow Data'!$A:$ZZ,$K$5+ROW()-26+$D$10,MATCH($B$10,'Raw Flow Data'!$1:$1,0))=-999,"",INDEX('Raw Flow Data'!$A:$ZZ,$K$5+ROW()-26+$D$10,MATCH($B$10,'Raw Flow Data'!$1:$1,0))*$C$10))),"")</f>
        <v/>
      </c>
      <c r="J143" s="26">
        <f>IFERROR(IF($B$11="","",IF($K$5+ROW()-26&gt;$K$6,"",IF(INDEX('Raw Flow Data'!$A:$ZZ,$K$5+ROW()-26+$D$11,MATCH($B$11,'Raw Flow Data'!$1:$1,0))=-999,"",INDEX('Raw Flow Data'!$A:$ZZ,$K$5+ROW()-26+$D$11,MATCH($B$11,'Raw Flow Data'!$1:$1,0))*$C$11))),"")</f>
        <v/>
      </c>
      <c r="K143" s="26">
        <f>IFERROR(IF($B$12="","",IF($K$5+ROW()-26&gt;$K$6,"",IF(INDEX('Raw Flow Data'!$A:$ZZ,$K$5+ROW()-26+$D$12,MATCH($B$12,'Raw Flow Data'!$1:$1,0))=-999,"",INDEX('Raw Flow Data'!$A:$ZZ,$K$5+ROW()-26+$D$12,MATCH($B$12,'Raw Flow Data'!$1:$1,0))*$C$12))),"")</f>
        <v/>
      </c>
      <c r="L143" s="26">
        <f>IFERROR(IF($F$3="","",IF($K$5+ROW()-26&gt;$K$6,"",IF(INDEX('Raw Pressure Data'!$A:$ZZ,$K$5+ROW()-26+$H$3,MATCH($F$3,'Raw Pressure Data'!$1:$1,0))=-999,"",INDEX('Raw Pressure Data'!$A:$ZZ,$K$5+ROW()-26+$H$3,MATCH($F$3,'Raw Pressure Data'!$1:$1,0))+$G$3))),"")</f>
        <v/>
      </c>
      <c r="M143" s="26">
        <f>IFERROR(IF($F$4="","",IF($K$5+ROW()-26&gt;$K$6,"",IF(INDEX('Raw Pressure Data'!$A:$ZZ,$K$5+ROW()-26+$H$4,MATCH($F$4,'Raw Pressure Data'!$1:$1,0))=-999,"",INDEX('Raw Pressure Data'!$A:$ZZ,$K$5+ROW()-26+$H$4,MATCH($F$4,'Raw Pressure Data'!$1:$1,0))+$G$4))),"")</f>
        <v/>
      </c>
      <c r="N143" s="26">
        <f>IFERROR(IF($F$5="","",IF($K$5+ROW()-26&gt;$K$6,"",IF(INDEX('Raw Pressure Data'!$A:$ZZ,$K$5+ROW()-26+$H$5,MATCH($F$5,'Raw Pressure Data'!$1:$1,0))=-999,"",INDEX('Raw Pressure Data'!$A:$ZZ,$K$5+ROW()-26+$H$5,MATCH($F$5,'Raw Pressure Data'!$1:$1,0))+$G$5))),"")</f>
        <v/>
      </c>
      <c r="O143" s="26">
        <f>IFERROR(IF($F$6="","",IF($K$5+ROW()-26&gt;$K$6,"",IF(INDEX('Raw Pressure Data'!$A:$ZZ,$K$5+ROW()-26+$H$6,MATCH($F$6,'Raw Pressure Data'!$1:$1,0))=-999,"",INDEX('Raw Pressure Data'!$A:$ZZ,$K$5+ROW()-26+$H$6,MATCH($F$6,'Raw Pressure Data'!$1:$1,0))+$G$6))),"")</f>
        <v/>
      </c>
      <c r="P143" s="26">
        <f>IFERROR(IF($F$7="","",IF($K$5+ROW()-26&gt;$K$6,"",IF(INDEX('Raw Pressure Data'!$A:$ZZ,$K$5+ROW()-26+$H$7,MATCH($F$7,'Raw Pressure Data'!$1:$1,0))=-999,"",INDEX('Raw Pressure Data'!$A:$ZZ,$K$5+ROW()-26+$H$7,MATCH($F$7,'Raw Pressure Data'!$1:$1,0))+$G$7))),"")</f>
        <v/>
      </c>
      <c r="Q143" s="26">
        <f>IFERROR(IF($F$8="","",IF($K$5+ROW()-26&gt;$K$6,"",IF(INDEX('Raw Pressure Data'!$A:$ZZ,$K$5+ROW()-26+$H$8,MATCH($F$8,'Raw Pressure Data'!$1:$1,0))=-999,"",INDEX('Raw Pressure Data'!$A:$ZZ,$K$5+ROW()-26+$H$8,MATCH($F$8,'Raw Pressure Data'!$1:$1,0))+$G$8))),"")</f>
        <v/>
      </c>
      <c r="R143" s="26">
        <f>IFERROR(IF($F$9="","",IF($K$5+ROW()-26&gt;$K$6,"",IF(INDEX('Raw Pressure Data'!$A:$ZZ,$K$5+ROW()-26+$H$9,MATCH($F$9,'Raw Pressure Data'!$1:$1,0))=-999,"",INDEX('Raw Pressure Data'!$A:$ZZ,$K$5+ROW()-26+$H$9,MATCH($F$9,'Raw Pressure Data'!$1:$1,0))+$G$9))),"")</f>
        <v/>
      </c>
      <c r="S143" s="26">
        <f>IFERROR(IF($F$10="","",IF($K$5+ROW()-26&gt;$K$6,"",IF(INDEX('Raw Pressure Data'!$A:$ZZ,$K$5+ROW()-26+$H$10,MATCH($F$10,'Raw Pressure Data'!$1:$1,0))=-999,"",INDEX('Raw Pressure Data'!$A:$ZZ,$K$5+ROW()-26+$H$10,MATCH($F$10,'Raw Pressure Data'!$1:$1,0))+$G$10))),"")</f>
        <v/>
      </c>
      <c r="T143" s="26">
        <f>IFERROR(IF($F$11="","",IF($K$5+ROW()-26&gt;$K$6,"",IF(INDEX('Raw Pressure Data'!$A:$ZZ,$K$5+ROW()-26+$H$11,MATCH($F$11,'Raw Pressure Data'!$1:$1,0))=-999,"",INDEX('Raw Pressure Data'!$A:$ZZ,$K$5+ROW()-26+$H$11,MATCH($F$11,'Raw Pressure Data'!$1:$1,0))+$G$11))),"")</f>
        <v/>
      </c>
      <c r="U143" s="26">
        <f>IFERROR(IF($F$12="","",IF($K$5+ROW()-26&gt;$K$6,"",IF(INDEX('Raw Pressure Data'!$A:$ZZ,$K$5+ROW()-26+$H$12,MATCH($F$12,'Raw Pressure Data'!$1:$1,0))=-999,"",INDEX('Raw Pressure Data'!$A:$ZZ,$K$5+ROW()-26+$H$12,MATCH($F$12,'Raw Pressure Data'!$1:$1,0))+$G$12))),"")</f>
        <v/>
      </c>
      <c r="V143" s="26">
        <f>IFERROR(IF($F$13="","",IF($K$5+ROW()-26&gt;$K$6,"",IF(INDEX('Raw Pressure Data'!$A:$ZZ,$K$5+ROW()-26+$H$13,MATCH($F$13,'Raw Pressure Data'!$1:$1,0))=-999,"",INDEX('Raw Pressure Data'!$A:$ZZ,$K$5+ROW()-26+$H$13,MATCH($F$13,'Raw Pressure Data'!$1:$1,0))+$G$13))),"")</f>
        <v/>
      </c>
      <c r="W143" s="26">
        <f>IFERROR(IF($F$14="","",IF($K$5+ROW()-26&gt;$K$6,"",IF(INDEX('Raw Pressure Data'!$A:$ZZ,$K$5+ROW()-26+$H$14,MATCH($F$14,'Raw Pressure Data'!$1:$1,0))=-999,"",INDEX('Raw Pressure Data'!$A:$ZZ,$K$5+ROW()-26+$H$14,MATCH($F$14,'Raw Pressure Data'!$1:$1,0))+$G$14))),"")</f>
        <v/>
      </c>
      <c r="X143" s="26">
        <f>IFERROR(IF($F$15="","",IF($K$5+ROW()-26&gt;$K$6,"",IF(INDEX('Raw Pressure Data'!$A:$ZZ,$K$5+ROW()-26+$H$15,MATCH($F$15,'Raw Pressure Data'!$1:$1,0))=-999,"",INDEX('Raw Pressure Data'!$A:$ZZ,$K$5+ROW()-26+$H$15,MATCH($F$15,'Raw Pressure Data'!$1:$1,0))+$G$15))),"")</f>
        <v/>
      </c>
      <c r="Y143" s="26">
        <f>IFERROR(IF($F$16="","",IF($K$5+ROW()-26&gt;$K$6,"",IF(INDEX('Raw Pressure Data'!$A:$ZZ,$K$5+ROW()-26+$H$16,MATCH($F$16,'Raw Pressure Data'!$1:$1,0))=-999,"",INDEX('Raw Pressure Data'!$A:$ZZ,$K$5+ROW()-26+$H$16,MATCH($F$16,'Raw Pressure Data'!$1:$1,0))+$G$16))),"")</f>
        <v/>
      </c>
      <c r="Z143" s="26">
        <f>IFERROR(IF($F$17="","",IF($K$5+ROW()-26&gt;$K$6,"",IF(INDEX('Raw Pressure Data'!$A:$ZZ,$K$5+ROW()-26+$H$17,MATCH($F$17,'Raw Pressure Data'!$1:$1,0))=-999,"",INDEX('Raw Pressure Data'!$A:$ZZ,$K$5+ROW()-26+$H$17,MATCH($F$17,'Raw Pressure Data'!$1:$1,0))+$G$17))),"")</f>
        <v/>
      </c>
      <c r="AA143" s="26">
        <f>IFERROR(IF($F$18="","",IF($K$5+ROW()-26&gt;$K$6,"",IF(INDEX('Raw Pressure Data'!$A:$ZZ,$K$5+ROW()-26+$H$18,MATCH($F$18,'Raw Pressure Data'!$1:$1,0))=-999,"",INDEX('Raw Pressure Data'!$A:$ZZ,$K$5+ROW()-26+$H$18,MATCH($F$18,'Raw Pressure Data'!$1:$1,0))+$G$18))),"")</f>
        <v/>
      </c>
      <c r="AB143" s="26">
        <f>IFERROR(IF($F$19="","",IF($K$5+ROW()-26&gt;$K$6,"",IF(INDEX('Raw Pressure Data'!$A:$ZZ,$K$5+ROW()-26+$H$19,MATCH($F$19,'Raw Pressure Data'!$1:$1,0))=-999,"",INDEX('Raw Pressure Data'!$A:$ZZ,$K$5+ROW()-26+$H$19,MATCH($F$19,'Raw Pressure Data'!$1:$1,0))+$G$19))),"")</f>
        <v/>
      </c>
      <c r="AC143" s="26">
        <f>IFERROR(IF($F$20="","",IF($K$5+ROW()-26&gt;$K$6,"",IF(INDEX('Raw Pressure Data'!$A:$ZZ,$K$5+ROW()-26+$H$20,MATCH($F$20,'Raw Pressure Data'!$1:$1,0))=-999,"",INDEX('Raw Pressure Data'!$A:$ZZ,$K$5+ROW()-26+$H$20,MATCH($F$20,'Raw Pressure Data'!$1:$1,0))+$G$20))),"")</f>
        <v/>
      </c>
      <c r="AD143" s="26">
        <f>IFERROR(IF($F$21="","",IF($K$5+ROW()-26&gt;$K$6,"",IF(INDEX('Raw Pressure Data'!$A:$ZZ,$K$5+ROW()-26+$H$21,MATCH($F$21,'Raw Pressure Data'!$1:$1,0))=-999,"",INDEX('Raw Pressure Data'!$A:$ZZ,$K$5+ROW()-26+$H$21,MATCH($F$21,'Raw Pressure Data'!$1:$1,0))+$G$21))),"")</f>
        <v/>
      </c>
      <c r="AE143" s="26">
        <f>IFERROR(IF($F$22="","",IF($K$5+ROW()-26&gt;$K$6,"",IF(INDEX('Raw Pressure Data'!$A:$ZZ,$K$5+ROW()-26+$H$22,MATCH($F$22,'Raw Pressure Data'!$1:$1,0))=-999,"",INDEX('Raw Pressure Data'!$A:$ZZ,$K$5+ROW()-26+$H$22,MATCH($F$22,'Raw Pressure Data'!$1:$1,0))+$G$22))),"")</f>
        <v/>
      </c>
    </row>
    <row r="144" ht="15" customHeight="1">
      <c r="A144" s="23">
        <f>IFERROR(IF($K$5+ROW()-26&gt;$K$6,"",IF(INDEX('Raw Flow Data'!$A:$A,$K$5+ROW()-26)="","",INDEX('Raw Flow Data'!$A:$A,$K$5+ROW()-26))),"")</f>
        <v/>
      </c>
      <c r="B144" s="24">
        <f>IFERROR(IF($B$3="","",IF($K$5+ROW()-26&gt;$K$6,"",IF(INDEX('Raw Flow Data'!$A:$ZZ,$K$5+ROW()-26+$D$3,MATCH($B$3,'Raw Flow Data'!$1:$1,0))=-999,"",INDEX('Raw Flow Data'!$A:$ZZ,$K$5+ROW()-26+$D$3,MATCH($B$3,'Raw Flow Data'!$1:$1,0))*$C$3))),"")</f>
        <v/>
      </c>
      <c r="C144" s="24">
        <f>IFERROR(IF($B$4="","",IF($K$5+ROW()-26&gt;$K$6,"",IF(INDEX('Raw Flow Data'!$A:$ZZ,$K$5+ROW()-26+$D$4,MATCH($B$4,'Raw Flow Data'!$1:$1,0))=-999,"",INDEX('Raw Flow Data'!$A:$ZZ,$K$5+ROW()-26+$D$4,MATCH($B$4,'Raw Flow Data'!$1:$1,0))*$C$4))),"")</f>
        <v/>
      </c>
      <c r="D144" s="24">
        <f>IFERROR(IF($B$5="","",IF($K$5+ROW()-26&gt;$K$6,"",IF(INDEX('Raw Flow Data'!$A:$ZZ,$K$5+ROW()-26+$D$5,MATCH($B$5,'Raw Flow Data'!$1:$1,0))=-999,"",INDEX('Raw Flow Data'!$A:$ZZ,$K$5+ROW()-26+$D$5,MATCH($B$5,'Raw Flow Data'!$1:$1,0))*$C$5))),"")</f>
        <v/>
      </c>
      <c r="E144" s="24">
        <f>IFERROR(IF($B$6="","",IF($K$5+ROW()-26&gt;$K$6,"",IF(INDEX('Raw Flow Data'!$A:$ZZ,$K$5+ROW()-26+$D$6,MATCH($B$6,'Raw Flow Data'!$1:$1,0))=-999,"",INDEX('Raw Flow Data'!$A:$ZZ,$K$5+ROW()-26+$D$6,MATCH($B$6,'Raw Flow Data'!$1:$1,0))*$C$6))),"")</f>
        <v/>
      </c>
      <c r="F144" s="24">
        <f>IFERROR(IF($B$7="","",IF($K$5+ROW()-26&gt;$K$6,"",IF(INDEX('Raw Flow Data'!$A:$ZZ,$K$5+ROW()-26+$D$7,MATCH($B$7,'Raw Flow Data'!$1:$1,0))=-999,"",INDEX('Raw Flow Data'!$A:$ZZ,$K$5+ROW()-26+$D$7,MATCH($B$7,'Raw Flow Data'!$1:$1,0))*$C$7))),"")</f>
        <v/>
      </c>
      <c r="G144" s="24">
        <f>IFERROR(IF($B$8="","",IF($K$5+ROW()-26&gt;$K$6,"",IF(INDEX('Raw Flow Data'!$A:$ZZ,$K$5+ROW()-26+$D$8,MATCH($B$8,'Raw Flow Data'!$1:$1,0))=-999,"",INDEX('Raw Flow Data'!$A:$ZZ,$K$5+ROW()-26+$D$8,MATCH($B$8,'Raw Flow Data'!$1:$1,0))*$C$8))),"")</f>
        <v/>
      </c>
      <c r="H144" s="24">
        <f>IFERROR(IF($B$9="","",IF($K$5+ROW()-26&gt;$K$6,"",IF(INDEX('Raw Flow Data'!$A:$ZZ,$K$5+ROW()-26+$D$9,MATCH($B$9,'Raw Flow Data'!$1:$1,0))=-999,"",INDEX('Raw Flow Data'!$A:$ZZ,$K$5+ROW()-26+$D$9,MATCH($B$9,'Raw Flow Data'!$1:$1,0))*$C$9))),"")</f>
        <v/>
      </c>
      <c r="I144" s="24">
        <f>IFERROR(IF($B$10="","",IF($K$5+ROW()-26&gt;$K$6,"",IF(INDEX('Raw Flow Data'!$A:$ZZ,$K$5+ROW()-26+$D$10,MATCH($B$10,'Raw Flow Data'!$1:$1,0))=-999,"",INDEX('Raw Flow Data'!$A:$ZZ,$K$5+ROW()-26+$D$10,MATCH($B$10,'Raw Flow Data'!$1:$1,0))*$C$10))),"")</f>
        <v/>
      </c>
      <c r="J144" s="24">
        <f>IFERROR(IF($B$11="","",IF($K$5+ROW()-26&gt;$K$6,"",IF(INDEX('Raw Flow Data'!$A:$ZZ,$K$5+ROW()-26+$D$11,MATCH($B$11,'Raw Flow Data'!$1:$1,0))=-999,"",INDEX('Raw Flow Data'!$A:$ZZ,$K$5+ROW()-26+$D$11,MATCH($B$11,'Raw Flow Data'!$1:$1,0))*$C$11))),"")</f>
        <v/>
      </c>
      <c r="K144" s="24">
        <f>IFERROR(IF($B$12="","",IF($K$5+ROW()-26&gt;$K$6,"",IF(INDEX('Raw Flow Data'!$A:$ZZ,$K$5+ROW()-26+$D$12,MATCH($B$12,'Raw Flow Data'!$1:$1,0))=-999,"",INDEX('Raw Flow Data'!$A:$ZZ,$K$5+ROW()-26+$D$12,MATCH($B$12,'Raw Flow Data'!$1:$1,0))*$C$12))),"")</f>
        <v/>
      </c>
      <c r="L144" s="24">
        <f>IFERROR(IF($F$3="","",IF($K$5+ROW()-26&gt;$K$6,"",IF(INDEX('Raw Pressure Data'!$A:$ZZ,$K$5+ROW()-26+$H$3,MATCH($F$3,'Raw Pressure Data'!$1:$1,0))=-999,"",INDEX('Raw Pressure Data'!$A:$ZZ,$K$5+ROW()-26+$H$3,MATCH($F$3,'Raw Pressure Data'!$1:$1,0))+$G$3))),"")</f>
        <v/>
      </c>
      <c r="M144" s="24">
        <f>IFERROR(IF($F$4="","",IF($K$5+ROW()-26&gt;$K$6,"",IF(INDEX('Raw Pressure Data'!$A:$ZZ,$K$5+ROW()-26+$H$4,MATCH($F$4,'Raw Pressure Data'!$1:$1,0))=-999,"",INDEX('Raw Pressure Data'!$A:$ZZ,$K$5+ROW()-26+$H$4,MATCH($F$4,'Raw Pressure Data'!$1:$1,0))+$G$4))),"")</f>
        <v/>
      </c>
      <c r="N144" s="24">
        <f>IFERROR(IF($F$5="","",IF($K$5+ROW()-26&gt;$K$6,"",IF(INDEX('Raw Pressure Data'!$A:$ZZ,$K$5+ROW()-26+$H$5,MATCH($F$5,'Raw Pressure Data'!$1:$1,0))=-999,"",INDEX('Raw Pressure Data'!$A:$ZZ,$K$5+ROW()-26+$H$5,MATCH($F$5,'Raw Pressure Data'!$1:$1,0))+$G$5))),"")</f>
        <v/>
      </c>
      <c r="O144" s="24">
        <f>IFERROR(IF($F$6="","",IF($K$5+ROW()-26&gt;$K$6,"",IF(INDEX('Raw Pressure Data'!$A:$ZZ,$K$5+ROW()-26+$H$6,MATCH($F$6,'Raw Pressure Data'!$1:$1,0))=-999,"",INDEX('Raw Pressure Data'!$A:$ZZ,$K$5+ROW()-26+$H$6,MATCH($F$6,'Raw Pressure Data'!$1:$1,0))+$G$6))),"")</f>
        <v/>
      </c>
      <c r="P144" s="24">
        <f>IFERROR(IF($F$7="","",IF($K$5+ROW()-26&gt;$K$6,"",IF(INDEX('Raw Pressure Data'!$A:$ZZ,$K$5+ROW()-26+$H$7,MATCH($F$7,'Raw Pressure Data'!$1:$1,0))=-999,"",INDEX('Raw Pressure Data'!$A:$ZZ,$K$5+ROW()-26+$H$7,MATCH($F$7,'Raw Pressure Data'!$1:$1,0))+$G$7))),"")</f>
        <v/>
      </c>
      <c r="Q144" s="24">
        <f>IFERROR(IF($F$8="","",IF($K$5+ROW()-26&gt;$K$6,"",IF(INDEX('Raw Pressure Data'!$A:$ZZ,$K$5+ROW()-26+$H$8,MATCH($F$8,'Raw Pressure Data'!$1:$1,0))=-999,"",INDEX('Raw Pressure Data'!$A:$ZZ,$K$5+ROW()-26+$H$8,MATCH($F$8,'Raw Pressure Data'!$1:$1,0))+$G$8))),"")</f>
        <v/>
      </c>
      <c r="R144" s="24">
        <f>IFERROR(IF($F$9="","",IF($K$5+ROW()-26&gt;$K$6,"",IF(INDEX('Raw Pressure Data'!$A:$ZZ,$K$5+ROW()-26+$H$9,MATCH($F$9,'Raw Pressure Data'!$1:$1,0))=-999,"",INDEX('Raw Pressure Data'!$A:$ZZ,$K$5+ROW()-26+$H$9,MATCH($F$9,'Raw Pressure Data'!$1:$1,0))+$G$9))),"")</f>
        <v/>
      </c>
      <c r="S144" s="24">
        <f>IFERROR(IF($F$10="","",IF($K$5+ROW()-26&gt;$K$6,"",IF(INDEX('Raw Pressure Data'!$A:$ZZ,$K$5+ROW()-26+$H$10,MATCH($F$10,'Raw Pressure Data'!$1:$1,0))=-999,"",INDEX('Raw Pressure Data'!$A:$ZZ,$K$5+ROW()-26+$H$10,MATCH($F$10,'Raw Pressure Data'!$1:$1,0))+$G$10))),"")</f>
        <v/>
      </c>
      <c r="T144" s="24">
        <f>IFERROR(IF($F$11="","",IF($K$5+ROW()-26&gt;$K$6,"",IF(INDEX('Raw Pressure Data'!$A:$ZZ,$K$5+ROW()-26+$H$11,MATCH($F$11,'Raw Pressure Data'!$1:$1,0))=-999,"",INDEX('Raw Pressure Data'!$A:$ZZ,$K$5+ROW()-26+$H$11,MATCH($F$11,'Raw Pressure Data'!$1:$1,0))+$G$11))),"")</f>
        <v/>
      </c>
      <c r="U144" s="24">
        <f>IFERROR(IF($F$12="","",IF($K$5+ROW()-26&gt;$K$6,"",IF(INDEX('Raw Pressure Data'!$A:$ZZ,$K$5+ROW()-26+$H$12,MATCH($F$12,'Raw Pressure Data'!$1:$1,0))=-999,"",INDEX('Raw Pressure Data'!$A:$ZZ,$K$5+ROW()-26+$H$12,MATCH($F$12,'Raw Pressure Data'!$1:$1,0))+$G$12))),"")</f>
        <v/>
      </c>
      <c r="V144" s="24">
        <f>IFERROR(IF($F$13="","",IF($K$5+ROW()-26&gt;$K$6,"",IF(INDEX('Raw Pressure Data'!$A:$ZZ,$K$5+ROW()-26+$H$13,MATCH($F$13,'Raw Pressure Data'!$1:$1,0))=-999,"",INDEX('Raw Pressure Data'!$A:$ZZ,$K$5+ROW()-26+$H$13,MATCH($F$13,'Raw Pressure Data'!$1:$1,0))+$G$13))),"")</f>
        <v/>
      </c>
      <c r="W144" s="24">
        <f>IFERROR(IF($F$14="","",IF($K$5+ROW()-26&gt;$K$6,"",IF(INDEX('Raw Pressure Data'!$A:$ZZ,$K$5+ROW()-26+$H$14,MATCH($F$14,'Raw Pressure Data'!$1:$1,0))=-999,"",INDEX('Raw Pressure Data'!$A:$ZZ,$K$5+ROW()-26+$H$14,MATCH($F$14,'Raw Pressure Data'!$1:$1,0))+$G$14))),"")</f>
        <v/>
      </c>
      <c r="X144" s="24">
        <f>IFERROR(IF($F$15="","",IF($K$5+ROW()-26&gt;$K$6,"",IF(INDEX('Raw Pressure Data'!$A:$ZZ,$K$5+ROW()-26+$H$15,MATCH($F$15,'Raw Pressure Data'!$1:$1,0))=-999,"",INDEX('Raw Pressure Data'!$A:$ZZ,$K$5+ROW()-26+$H$15,MATCH($F$15,'Raw Pressure Data'!$1:$1,0))+$G$15))),"")</f>
        <v/>
      </c>
      <c r="Y144" s="24">
        <f>IFERROR(IF($F$16="","",IF($K$5+ROW()-26&gt;$K$6,"",IF(INDEX('Raw Pressure Data'!$A:$ZZ,$K$5+ROW()-26+$H$16,MATCH($F$16,'Raw Pressure Data'!$1:$1,0))=-999,"",INDEX('Raw Pressure Data'!$A:$ZZ,$K$5+ROW()-26+$H$16,MATCH($F$16,'Raw Pressure Data'!$1:$1,0))+$G$16))),"")</f>
        <v/>
      </c>
      <c r="Z144" s="24">
        <f>IFERROR(IF($F$17="","",IF($K$5+ROW()-26&gt;$K$6,"",IF(INDEX('Raw Pressure Data'!$A:$ZZ,$K$5+ROW()-26+$H$17,MATCH($F$17,'Raw Pressure Data'!$1:$1,0))=-999,"",INDEX('Raw Pressure Data'!$A:$ZZ,$K$5+ROW()-26+$H$17,MATCH($F$17,'Raw Pressure Data'!$1:$1,0))+$G$17))),"")</f>
        <v/>
      </c>
      <c r="AA144" s="24">
        <f>IFERROR(IF($F$18="","",IF($K$5+ROW()-26&gt;$K$6,"",IF(INDEX('Raw Pressure Data'!$A:$ZZ,$K$5+ROW()-26+$H$18,MATCH($F$18,'Raw Pressure Data'!$1:$1,0))=-999,"",INDEX('Raw Pressure Data'!$A:$ZZ,$K$5+ROW()-26+$H$18,MATCH($F$18,'Raw Pressure Data'!$1:$1,0))+$G$18))),"")</f>
        <v/>
      </c>
      <c r="AB144" s="24">
        <f>IFERROR(IF($F$19="","",IF($K$5+ROW()-26&gt;$K$6,"",IF(INDEX('Raw Pressure Data'!$A:$ZZ,$K$5+ROW()-26+$H$19,MATCH($F$19,'Raw Pressure Data'!$1:$1,0))=-999,"",INDEX('Raw Pressure Data'!$A:$ZZ,$K$5+ROW()-26+$H$19,MATCH($F$19,'Raw Pressure Data'!$1:$1,0))+$G$19))),"")</f>
        <v/>
      </c>
      <c r="AC144" s="24">
        <f>IFERROR(IF($F$20="","",IF($K$5+ROW()-26&gt;$K$6,"",IF(INDEX('Raw Pressure Data'!$A:$ZZ,$K$5+ROW()-26+$H$20,MATCH($F$20,'Raw Pressure Data'!$1:$1,0))=-999,"",INDEX('Raw Pressure Data'!$A:$ZZ,$K$5+ROW()-26+$H$20,MATCH($F$20,'Raw Pressure Data'!$1:$1,0))+$G$20))),"")</f>
        <v/>
      </c>
      <c r="AD144" s="24">
        <f>IFERROR(IF($F$21="","",IF($K$5+ROW()-26&gt;$K$6,"",IF(INDEX('Raw Pressure Data'!$A:$ZZ,$K$5+ROW()-26+$H$21,MATCH($F$21,'Raw Pressure Data'!$1:$1,0))=-999,"",INDEX('Raw Pressure Data'!$A:$ZZ,$K$5+ROW()-26+$H$21,MATCH($F$21,'Raw Pressure Data'!$1:$1,0))+$G$21))),"")</f>
        <v/>
      </c>
      <c r="AE144" s="24">
        <f>IFERROR(IF($F$22="","",IF($K$5+ROW()-26&gt;$K$6,"",IF(INDEX('Raw Pressure Data'!$A:$ZZ,$K$5+ROW()-26+$H$22,MATCH($F$22,'Raw Pressure Data'!$1:$1,0))=-999,"",INDEX('Raw Pressure Data'!$A:$ZZ,$K$5+ROW()-26+$H$22,MATCH($F$22,'Raw Pressure Data'!$1:$1,0))+$G$22))),"")</f>
        <v/>
      </c>
    </row>
    <row r="145" ht="15" customHeight="1">
      <c r="A145" s="25">
        <f>IFERROR(IF($K$5+ROW()-26&gt;$K$6,"",IF(INDEX('Raw Flow Data'!$A:$A,$K$5+ROW()-26)="","",INDEX('Raw Flow Data'!$A:$A,$K$5+ROW()-26))),"")</f>
        <v/>
      </c>
      <c r="B145" s="26">
        <f>IFERROR(IF($B$3="","",IF($K$5+ROW()-26&gt;$K$6,"",IF(INDEX('Raw Flow Data'!$A:$ZZ,$K$5+ROW()-26+$D$3,MATCH($B$3,'Raw Flow Data'!$1:$1,0))=-999,"",INDEX('Raw Flow Data'!$A:$ZZ,$K$5+ROW()-26+$D$3,MATCH($B$3,'Raw Flow Data'!$1:$1,0))*$C$3))),"")</f>
        <v/>
      </c>
      <c r="C145" s="26">
        <f>IFERROR(IF($B$4="","",IF($K$5+ROW()-26&gt;$K$6,"",IF(INDEX('Raw Flow Data'!$A:$ZZ,$K$5+ROW()-26+$D$4,MATCH($B$4,'Raw Flow Data'!$1:$1,0))=-999,"",INDEX('Raw Flow Data'!$A:$ZZ,$K$5+ROW()-26+$D$4,MATCH($B$4,'Raw Flow Data'!$1:$1,0))*$C$4))),"")</f>
        <v/>
      </c>
      <c r="D145" s="26">
        <f>IFERROR(IF($B$5="","",IF($K$5+ROW()-26&gt;$K$6,"",IF(INDEX('Raw Flow Data'!$A:$ZZ,$K$5+ROW()-26+$D$5,MATCH($B$5,'Raw Flow Data'!$1:$1,0))=-999,"",INDEX('Raw Flow Data'!$A:$ZZ,$K$5+ROW()-26+$D$5,MATCH($B$5,'Raw Flow Data'!$1:$1,0))*$C$5))),"")</f>
        <v/>
      </c>
      <c r="E145" s="26">
        <f>IFERROR(IF($B$6="","",IF($K$5+ROW()-26&gt;$K$6,"",IF(INDEX('Raw Flow Data'!$A:$ZZ,$K$5+ROW()-26+$D$6,MATCH($B$6,'Raw Flow Data'!$1:$1,0))=-999,"",INDEX('Raw Flow Data'!$A:$ZZ,$K$5+ROW()-26+$D$6,MATCH($B$6,'Raw Flow Data'!$1:$1,0))*$C$6))),"")</f>
        <v/>
      </c>
      <c r="F145" s="26">
        <f>IFERROR(IF($B$7="","",IF($K$5+ROW()-26&gt;$K$6,"",IF(INDEX('Raw Flow Data'!$A:$ZZ,$K$5+ROW()-26+$D$7,MATCH($B$7,'Raw Flow Data'!$1:$1,0))=-999,"",INDEX('Raw Flow Data'!$A:$ZZ,$K$5+ROW()-26+$D$7,MATCH($B$7,'Raw Flow Data'!$1:$1,0))*$C$7))),"")</f>
        <v/>
      </c>
      <c r="G145" s="26">
        <f>IFERROR(IF($B$8="","",IF($K$5+ROW()-26&gt;$K$6,"",IF(INDEX('Raw Flow Data'!$A:$ZZ,$K$5+ROW()-26+$D$8,MATCH($B$8,'Raw Flow Data'!$1:$1,0))=-999,"",INDEX('Raw Flow Data'!$A:$ZZ,$K$5+ROW()-26+$D$8,MATCH($B$8,'Raw Flow Data'!$1:$1,0))*$C$8))),"")</f>
        <v/>
      </c>
      <c r="H145" s="26">
        <f>IFERROR(IF($B$9="","",IF($K$5+ROW()-26&gt;$K$6,"",IF(INDEX('Raw Flow Data'!$A:$ZZ,$K$5+ROW()-26+$D$9,MATCH($B$9,'Raw Flow Data'!$1:$1,0))=-999,"",INDEX('Raw Flow Data'!$A:$ZZ,$K$5+ROW()-26+$D$9,MATCH($B$9,'Raw Flow Data'!$1:$1,0))*$C$9))),"")</f>
        <v/>
      </c>
      <c r="I145" s="26">
        <f>IFERROR(IF($B$10="","",IF($K$5+ROW()-26&gt;$K$6,"",IF(INDEX('Raw Flow Data'!$A:$ZZ,$K$5+ROW()-26+$D$10,MATCH($B$10,'Raw Flow Data'!$1:$1,0))=-999,"",INDEX('Raw Flow Data'!$A:$ZZ,$K$5+ROW()-26+$D$10,MATCH($B$10,'Raw Flow Data'!$1:$1,0))*$C$10))),"")</f>
        <v/>
      </c>
      <c r="J145" s="26">
        <f>IFERROR(IF($B$11="","",IF($K$5+ROW()-26&gt;$K$6,"",IF(INDEX('Raw Flow Data'!$A:$ZZ,$K$5+ROW()-26+$D$11,MATCH($B$11,'Raw Flow Data'!$1:$1,0))=-999,"",INDEX('Raw Flow Data'!$A:$ZZ,$K$5+ROW()-26+$D$11,MATCH($B$11,'Raw Flow Data'!$1:$1,0))*$C$11))),"")</f>
        <v/>
      </c>
      <c r="K145" s="26">
        <f>IFERROR(IF($B$12="","",IF($K$5+ROW()-26&gt;$K$6,"",IF(INDEX('Raw Flow Data'!$A:$ZZ,$K$5+ROW()-26+$D$12,MATCH($B$12,'Raw Flow Data'!$1:$1,0))=-999,"",INDEX('Raw Flow Data'!$A:$ZZ,$K$5+ROW()-26+$D$12,MATCH($B$12,'Raw Flow Data'!$1:$1,0))*$C$12))),"")</f>
        <v/>
      </c>
      <c r="L145" s="26">
        <f>IFERROR(IF($F$3="","",IF($K$5+ROW()-26&gt;$K$6,"",IF(INDEX('Raw Pressure Data'!$A:$ZZ,$K$5+ROW()-26+$H$3,MATCH($F$3,'Raw Pressure Data'!$1:$1,0))=-999,"",INDEX('Raw Pressure Data'!$A:$ZZ,$K$5+ROW()-26+$H$3,MATCH($F$3,'Raw Pressure Data'!$1:$1,0))+$G$3))),"")</f>
        <v/>
      </c>
      <c r="M145" s="26">
        <f>IFERROR(IF($F$4="","",IF($K$5+ROW()-26&gt;$K$6,"",IF(INDEX('Raw Pressure Data'!$A:$ZZ,$K$5+ROW()-26+$H$4,MATCH($F$4,'Raw Pressure Data'!$1:$1,0))=-999,"",INDEX('Raw Pressure Data'!$A:$ZZ,$K$5+ROW()-26+$H$4,MATCH($F$4,'Raw Pressure Data'!$1:$1,0))+$G$4))),"")</f>
        <v/>
      </c>
      <c r="N145" s="26">
        <f>IFERROR(IF($F$5="","",IF($K$5+ROW()-26&gt;$K$6,"",IF(INDEX('Raw Pressure Data'!$A:$ZZ,$K$5+ROW()-26+$H$5,MATCH($F$5,'Raw Pressure Data'!$1:$1,0))=-999,"",INDEX('Raw Pressure Data'!$A:$ZZ,$K$5+ROW()-26+$H$5,MATCH($F$5,'Raw Pressure Data'!$1:$1,0))+$G$5))),"")</f>
        <v/>
      </c>
      <c r="O145" s="26">
        <f>IFERROR(IF($F$6="","",IF($K$5+ROW()-26&gt;$K$6,"",IF(INDEX('Raw Pressure Data'!$A:$ZZ,$K$5+ROW()-26+$H$6,MATCH($F$6,'Raw Pressure Data'!$1:$1,0))=-999,"",INDEX('Raw Pressure Data'!$A:$ZZ,$K$5+ROW()-26+$H$6,MATCH($F$6,'Raw Pressure Data'!$1:$1,0))+$G$6))),"")</f>
        <v/>
      </c>
      <c r="P145" s="26">
        <f>IFERROR(IF($F$7="","",IF($K$5+ROW()-26&gt;$K$6,"",IF(INDEX('Raw Pressure Data'!$A:$ZZ,$K$5+ROW()-26+$H$7,MATCH($F$7,'Raw Pressure Data'!$1:$1,0))=-999,"",INDEX('Raw Pressure Data'!$A:$ZZ,$K$5+ROW()-26+$H$7,MATCH($F$7,'Raw Pressure Data'!$1:$1,0))+$G$7))),"")</f>
        <v/>
      </c>
      <c r="Q145" s="26">
        <f>IFERROR(IF($F$8="","",IF($K$5+ROW()-26&gt;$K$6,"",IF(INDEX('Raw Pressure Data'!$A:$ZZ,$K$5+ROW()-26+$H$8,MATCH($F$8,'Raw Pressure Data'!$1:$1,0))=-999,"",INDEX('Raw Pressure Data'!$A:$ZZ,$K$5+ROW()-26+$H$8,MATCH($F$8,'Raw Pressure Data'!$1:$1,0))+$G$8))),"")</f>
        <v/>
      </c>
      <c r="R145" s="26">
        <f>IFERROR(IF($F$9="","",IF($K$5+ROW()-26&gt;$K$6,"",IF(INDEX('Raw Pressure Data'!$A:$ZZ,$K$5+ROW()-26+$H$9,MATCH($F$9,'Raw Pressure Data'!$1:$1,0))=-999,"",INDEX('Raw Pressure Data'!$A:$ZZ,$K$5+ROW()-26+$H$9,MATCH($F$9,'Raw Pressure Data'!$1:$1,0))+$G$9))),"")</f>
        <v/>
      </c>
      <c r="S145" s="26">
        <f>IFERROR(IF($F$10="","",IF($K$5+ROW()-26&gt;$K$6,"",IF(INDEX('Raw Pressure Data'!$A:$ZZ,$K$5+ROW()-26+$H$10,MATCH($F$10,'Raw Pressure Data'!$1:$1,0))=-999,"",INDEX('Raw Pressure Data'!$A:$ZZ,$K$5+ROW()-26+$H$10,MATCH($F$10,'Raw Pressure Data'!$1:$1,0))+$G$10))),"")</f>
        <v/>
      </c>
      <c r="T145" s="26">
        <f>IFERROR(IF($F$11="","",IF($K$5+ROW()-26&gt;$K$6,"",IF(INDEX('Raw Pressure Data'!$A:$ZZ,$K$5+ROW()-26+$H$11,MATCH($F$11,'Raw Pressure Data'!$1:$1,0))=-999,"",INDEX('Raw Pressure Data'!$A:$ZZ,$K$5+ROW()-26+$H$11,MATCH($F$11,'Raw Pressure Data'!$1:$1,0))+$G$11))),"")</f>
        <v/>
      </c>
      <c r="U145" s="26">
        <f>IFERROR(IF($F$12="","",IF($K$5+ROW()-26&gt;$K$6,"",IF(INDEX('Raw Pressure Data'!$A:$ZZ,$K$5+ROW()-26+$H$12,MATCH($F$12,'Raw Pressure Data'!$1:$1,0))=-999,"",INDEX('Raw Pressure Data'!$A:$ZZ,$K$5+ROW()-26+$H$12,MATCH($F$12,'Raw Pressure Data'!$1:$1,0))+$G$12))),"")</f>
        <v/>
      </c>
      <c r="V145" s="26">
        <f>IFERROR(IF($F$13="","",IF($K$5+ROW()-26&gt;$K$6,"",IF(INDEX('Raw Pressure Data'!$A:$ZZ,$K$5+ROW()-26+$H$13,MATCH($F$13,'Raw Pressure Data'!$1:$1,0))=-999,"",INDEX('Raw Pressure Data'!$A:$ZZ,$K$5+ROW()-26+$H$13,MATCH($F$13,'Raw Pressure Data'!$1:$1,0))+$G$13))),"")</f>
        <v/>
      </c>
      <c r="W145" s="26">
        <f>IFERROR(IF($F$14="","",IF($K$5+ROW()-26&gt;$K$6,"",IF(INDEX('Raw Pressure Data'!$A:$ZZ,$K$5+ROW()-26+$H$14,MATCH($F$14,'Raw Pressure Data'!$1:$1,0))=-999,"",INDEX('Raw Pressure Data'!$A:$ZZ,$K$5+ROW()-26+$H$14,MATCH($F$14,'Raw Pressure Data'!$1:$1,0))+$G$14))),"")</f>
        <v/>
      </c>
      <c r="X145" s="26">
        <f>IFERROR(IF($F$15="","",IF($K$5+ROW()-26&gt;$K$6,"",IF(INDEX('Raw Pressure Data'!$A:$ZZ,$K$5+ROW()-26+$H$15,MATCH($F$15,'Raw Pressure Data'!$1:$1,0))=-999,"",INDEX('Raw Pressure Data'!$A:$ZZ,$K$5+ROW()-26+$H$15,MATCH($F$15,'Raw Pressure Data'!$1:$1,0))+$G$15))),"")</f>
        <v/>
      </c>
      <c r="Y145" s="26">
        <f>IFERROR(IF($F$16="","",IF($K$5+ROW()-26&gt;$K$6,"",IF(INDEX('Raw Pressure Data'!$A:$ZZ,$K$5+ROW()-26+$H$16,MATCH($F$16,'Raw Pressure Data'!$1:$1,0))=-999,"",INDEX('Raw Pressure Data'!$A:$ZZ,$K$5+ROW()-26+$H$16,MATCH($F$16,'Raw Pressure Data'!$1:$1,0))+$G$16))),"")</f>
        <v/>
      </c>
      <c r="Z145" s="26">
        <f>IFERROR(IF($F$17="","",IF($K$5+ROW()-26&gt;$K$6,"",IF(INDEX('Raw Pressure Data'!$A:$ZZ,$K$5+ROW()-26+$H$17,MATCH($F$17,'Raw Pressure Data'!$1:$1,0))=-999,"",INDEX('Raw Pressure Data'!$A:$ZZ,$K$5+ROW()-26+$H$17,MATCH($F$17,'Raw Pressure Data'!$1:$1,0))+$G$17))),"")</f>
        <v/>
      </c>
      <c r="AA145" s="26">
        <f>IFERROR(IF($F$18="","",IF($K$5+ROW()-26&gt;$K$6,"",IF(INDEX('Raw Pressure Data'!$A:$ZZ,$K$5+ROW()-26+$H$18,MATCH($F$18,'Raw Pressure Data'!$1:$1,0))=-999,"",INDEX('Raw Pressure Data'!$A:$ZZ,$K$5+ROW()-26+$H$18,MATCH($F$18,'Raw Pressure Data'!$1:$1,0))+$G$18))),"")</f>
        <v/>
      </c>
      <c r="AB145" s="26">
        <f>IFERROR(IF($F$19="","",IF($K$5+ROW()-26&gt;$K$6,"",IF(INDEX('Raw Pressure Data'!$A:$ZZ,$K$5+ROW()-26+$H$19,MATCH($F$19,'Raw Pressure Data'!$1:$1,0))=-999,"",INDEX('Raw Pressure Data'!$A:$ZZ,$K$5+ROW()-26+$H$19,MATCH($F$19,'Raw Pressure Data'!$1:$1,0))+$G$19))),"")</f>
        <v/>
      </c>
      <c r="AC145" s="26">
        <f>IFERROR(IF($F$20="","",IF($K$5+ROW()-26&gt;$K$6,"",IF(INDEX('Raw Pressure Data'!$A:$ZZ,$K$5+ROW()-26+$H$20,MATCH($F$20,'Raw Pressure Data'!$1:$1,0))=-999,"",INDEX('Raw Pressure Data'!$A:$ZZ,$K$5+ROW()-26+$H$20,MATCH($F$20,'Raw Pressure Data'!$1:$1,0))+$G$20))),"")</f>
        <v/>
      </c>
      <c r="AD145" s="26">
        <f>IFERROR(IF($F$21="","",IF($K$5+ROW()-26&gt;$K$6,"",IF(INDEX('Raw Pressure Data'!$A:$ZZ,$K$5+ROW()-26+$H$21,MATCH($F$21,'Raw Pressure Data'!$1:$1,0))=-999,"",INDEX('Raw Pressure Data'!$A:$ZZ,$K$5+ROW()-26+$H$21,MATCH($F$21,'Raw Pressure Data'!$1:$1,0))+$G$21))),"")</f>
        <v/>
      </c>
      <c r="AE145" s="26">
        <f>IFERROR(IF($F$22="","",IF($K$5+ROW()-26&gt;$K$6,"",IF(INDEX('Raw Pressure Data'!$A:$ZZ,$K$5+ROW()-26+$H$22,MATCH($F$22,'Raw Pressure Data'!$1:$1,0))=-999,"",INDEX('Raw Pressure Data'!$A:$ZZ,$K$5+ROW()-26+$H$22,MATCH($F$22,'Raw Pressure Data'!$1:$1,0))+$G$22))),"")</f>
        <v/>
      </c>
    </row>
    <row r="146" ht="15" customHeight="1">
      <c r="A146" s="23">
        <f>IFERROR(IF($K$5+ROW()-26&gt;$K$6,"",IF(INDEX('Raw Flow Data'!$A:$A,$K$5+ROW()-26)="","",INDEX('Raw Flow Data'!$A:$A,$K$5+ROW()-26))),"")</f>
        <v/>
      </c>
      <c r="B146" s="24">
        <f>IFERROR(IF($B$3="","",IF($K$5+ROW()-26&gt;$K$6,"",IF(INDEX('Raw Flow Data'!$A:$ZZ,$K$5+ROW()-26+$D$3,MATCH($B$3,'Raw Flow Data'!$1:$1,0))=-999,"",INDEX('Raw Flow Data'!$A:$ZZ,$K$5+ROW()-26+$D$3,MATCH($B$3,'Raw Flow Data'!$1:$1,0))*$C$3))),"")</f>
        <v/>
      </c>
      <c r="C146" s="24">
        <f>IFERROR(IF($B$4="","",IF($K$5+ROW()-26&gt;$K$6,"",IF(INDEX('Raw Flow Data'!$A:$ZZ,$K$5+ROW()-26+$D$4,MATCH($B$4,'Raw Flow Data'!$1:$1,0))=-999,"",INDEX('Raw Flow Data'!$A:$ZZ,$K$5+ROW()-26+$D$4,MATCH($B$4,'Raw Flow Data'!$1:$1,0))*$C$4))),"")</f>
        <v/>
      </c>
      <c r="D146" s="24">
        <f>IFERROR(IF($B$5="","",IF($K$5+ROW()-26&gt;$K$6,"",IF(INDEX('Raw Flow Data'!$A:$ZZ,$K$5+ROW()-26+$D$5,MATCH($B$5,'Raw Flow Data'!$1:$1,0))=-999,"",INDEX('Raw Flow Data'!$A:$ZZ,$K$5+ROW()-26+$D$5,MATCH($B$5,'Raw Flow Data'!$1:$1,0))*$C$5))),"")</f>
        <v/>
      </c>
      <c r="E146" s="24">
        <f>IFERROR(IF($B$6="","",IF($K$5+ROW()-26&gt;$K$6,"",IF(INDEX('Raw Flow Data'!$A:$ZZ,$K$5+ROW()-26+$D$6,MATCH($B$6,'Raw Flow Data'!$1:$1,0))=-999,"",INDEX('Raw Flow Data'!$A:$ZZ,$K$5+ROW()-26+$D$6,MATCH($B$6,'Raw Flow Data'!$1:$1,0))*$C$6))),"")</f>
        <v/>
      </c>
      <c r="F146" s="24">
        <f>IFERROR(IF($B$7="","",IF($K$5+ROW()-26&gt;$K$6,"",IF(INDEX('Raw Flow Data'!$A:$ZZ,$K$5+ROW()-26+$D$7,MATCH($B$7,'Raw Flow Data'!$1:$1,0))=-999,"",INDEX('Raw Flow Data'!$A:$ZZ,$K$5+ROW()-26+$D$7,MATCH($B$7,'Raw Flow Data'!$1:$1,0))*$C$7))),"")</f>
        <v/>
      </c>
      <c r="G146" s="24">
        <f>IFERROR(IF($B$8="","",IF($K$5+ROW()-26&gt;$K$6,"",IF(INDEX('Raw Flow Data'!$A:$ZZ,$K$5+ROW()-26+$D$8,MATCH($B$8,'Raw Flow Data'!$1:$1,0))=-999,"",INDEX('Raw Flow Data'!$A:$ZZ,$K$5+ROW()-26+$D$8,MATCH($B$8,'Raw Flow Data'!$1:$1,0))*$C$8))),"")</f>
        <v/>
      </c>
      <c r="H146" s="24">
        <f>IFERROR(IF($B$9="","",IF($K$5+ROW()-26&gt;$K$6,"",IF(INDEX('Raw Flow Data'!$A:$ZZ,$K$5+ROW()-26+$D$9,MATCH($B$9,'Raw Flow Data'!$1:$1,0))=-999,"",INDEX('Raw Flow Data'!$A:$ZZ,$K$5+ROW()-26+$D$9,MATCH($B$9,'Raw Flow Data'!$1:$1,0))*$C$9))),"")</f>
        <v/>
      </c>
      <c r="I146" s="24">
        <f>IFERROR(IF($B$10="","",IF($K$5+ROW()-26&gt;$K$6,"",IF(INDEX('Raw Flow Data'!$A:$ZZ,$K$5+ROW()-26+$D$10,MATCH($B$10,'Raw Flow Data'!$1:$1,0))=-999,"",INDEX('Raw Flow Data'!$A:$ZZ,$K$5+ROW()-26+$D$10,MATCH($B$10,'Raw Flow Data'!$1:$1,0))*$C$10))),"")</f>
        <v/>
      </c>
      <c r="J146" s="24">
        <f>IFERROR(IF($B$11="","",IF($K$5+ROW()-26&gt;$K$6,"",IF(INDEX('Raw Flow Data'!$A:$ZZ,$K$5+ROW()-26+$D$11,MATCH($B$11,'Raw Flow Data'!$1:$1,0))=-999,"",INDEX('Raw Flow Data'!$A:$ZZ,$K$5+ROW()-26+$D$11,MATCH($B$11,'Raw Flow Data'!$1:$1,0))*$C$11))),"")</f>
        <v/>
      </c>
      <c r="K146" s="24">
        <f>IFERROR(IF($B$12="","",IF($K$5+ROW()-26&gt;$K$6,"",IF(INDEX('Raw Flow Data'!$A:$ZZ,$K$5+ROW()-26+$D$12,MATCH($B$12,'Raw Flow Data'!$1:$1,0))=-999,"",INDEX('Raw Flow Data'!$A:$ZZ,$K$5+ROW()-26+$D$12,MATCH($B$12,'Raw Flow Data'!$1:$1,0))*$C$12))),"")</f>
        <v/>
      </c>
      <c r="L146" s="24">
        <f>IFERROR(IF($F$3="","",IF($K$5+ROW()-26&gt;$K$6,"",IF(INDEX('Raw Pressure Data'!$A:$ZZ,$K$5+ROW()-26+$H$3,MATCH($F$3,'Raw Pressure Data'!$1:$1,0))=-999,"",INDEX('Raw Pressure Data'!$A:$ZZ,$K$5+ROW()-26+$H$3,MATCH($F$3,'Raw Pressure Data'!$1:$1,0))+$G$3))),"")</f>
        <v/>
      </c>
      <c r="M146" s="24">
        <f>IFERROR(IF($F$4="","",IF($K$5+ROW()-26&gt;$K$6,"",IF(INDEX('Raw Pressure Data'!$A:$ZZ,$K$5+ROW()-26+$H$4,MATCH($F$4,'Raw Pressure Data'!$1:$1,0))=-999,"",INDEX('Raw Pressure Data'!$A:$ZZ,$K$5+ROW()-26+$H$4,MATCH($F$4,'Raw Pressure Data'!$1:$1,0))+$G$4))),"")</f>
        <v/>
      </c>
      <c r="N146" s="24">
        <f>IFERROR(IF($F$5="","",IF($K$5+ROW()-26&gt;$K$6,"",IF(INDEX('Raw Pressure Data'!$A:$ZZ,$K$5+ROW()-26+$H$5,MATCH($F$5,'Raw Pressure Data'!$1:$1,0))=-999,"",INDEX('Raw Pressure Data'!$A:$ZZ,$K$5+ROW()-26+$H$5,MATCH($F$5,'Raw Pressure Data'!$1:$1,0))+$G$5))),"")</f>
        <v/>
      </c>
      <c r="O146" s="24">
        <f>IFERROR(IF($F$6="","",IF($K$5+ROW()-26&gt;$K$6,"",IF(INDEX('Raw Pressure Data'!$A:$ZZ,$K$5+ROW()-26+$H$6,MATCH($F$6,'Raw Pressure Data'!$1:$1,0))=-999,"",INDEX('Raw Pressure Data'!$A:$ZZ,$K$5+ROW()-26+$H$6,MATCH($F$6,'Raw Pressure Data'!$1:$1,0))+$G$6))),"")</f>
        <v/>
      </c>
      <c r="P146" s="24">
        <f>IFERROR(IF($F$7="","",IF($K$5+ROW()-26&gt;$K$6,"",IF(INDEX('Raw Pressure Data'!$A:$ZZ,$K$5+ROW()-26+$H$7,MATCH($F$7,'Raw Pressure Data'!$1:$1,0))=-999,"",INDEX('Raw Pressure Data'!$A:$ZZ,$K$5+ROW()-26+$H$7,MATCH($F$7,'Raw Pressure Data'!$1:$1,0))+$G$7))),"")</f>
        <v/>
      </c>
      <c r="Q146" s="24">
        <f>IFERROR(IF($F$8="","",IF($K$5+ROW()-26&gt;$K$6,"",IF(INDEX('Raw Pressure Data'!$A:$ZZ,$K$5+ROW()-26+$H$8,MATCH($F$8,'Raw Pressure Data'!$1:$1,0))=-999,"",INDEX('Raw Pressure Data'!$A:$ZZ,$K$5+ROW()-26+$H$8,MATCH($F$8,'Raw Pressure Data'!$1:$1,0))+$G$8))),"")</f>
        <v/>
      </c>
      <c r="R146" s="24">
        <f>IFERROR(IF($F$9="","",IF($K$5+ROW()-26&gt;$K$6,"",IF(INDEX('Raw Pressure Data'!$A:$ZZ,$K$5+ROW()-26+$H$9,MATCH($F$9,'Raw Pressure Data'!$1:$1,0))=-999,"",INDEX('Raw Pressure Data'!$A:$ZZ,$K$5+ROW()-26+$H$9,MATCH($F$9,'Raw Pressure Data'!$1:$1,0))+$G$9))),"")</f>
        <v/>
      </c>
      <c r="S146" s="24">
        <f>IFERROR(IF($F$10="","",IF($K$5+ROW()-26&gt;$K$6,"",IF(INDEX('Raw Pressure Data'!$A:$ZZ,$K$5+ROW()-26+$H$10,MATCH($F$10,'Raw Pressure Data'!$1:$1,0))=-999,"",INDEX('Raw Pressure Data'!$A:$ZZ,$K$5+ROW()-26+$H$10,MATCH($F$10,'Raw Pressure Data'!$1:$1,0))+$G$10))),"")</f>
        <v/>
      </c>
      <c r="T146" s="24">
        <f>IFERROR(IF($F$11="","",IF($K$5+ROW()-26&gt;$K$6,"",IF(INDEX('Raw Pressure Data'!$A:$ZZ,$K$5+ROW()-26+$H$11,MATCH($F$11,'Raw Pressure Data'!$1:$1,0))=-999,"",INDEX('Raw Pressure Data'!$A:$ZZ,$K$5+ROW()-26+$H$11,MATCH($F$11,'Raw Pressure Data'!$1:$1,0))+$G$11))),"")</f>
        <v/>
      </c>
      <c r="U146" s="24">
        <f>IFERROR(IF($F$12="","",IF($K$5+ROW()-26&gt;$K$6,"",IF(INDEX('Raw Pressure Data'!$A:$ZZ,$K$5+ROW()-26+$H$12,MATCH($F$12,'Raw Pressure Data'!$1:$1,0))=-999,"",INDEX('Raw Pressure Data'!$A:$ZZ,$K$5+ROW()-26+$H$12,MATCH($F$12,'Raw Pressure Data'!$1:$1,0))+$G$12))),"")</f>
        <v/>
      </c>
      <c r="V146" s="24">
        <f>IFERROR(IF($F$13="","",IF($K$5+ROW()-26&gt;$K$6,"",IF(INDEX('Raw Pressure Data'!$A:$ZZ,$K$5+ROW()-26+$H$13,MATCH($F$13,'Raw Pressure Data'!$1:$1,0))=-999,"",INDEX('Raw Pressure Data'!$A:$ZZ,$K$5+ROW()-26+$H$13,MATCH($F$13,'Raw Pressure Data'!$1:$1,0))+$G$13))),"")</f>
        <v/>
      </c>
      <c r="W146" s="24">
        <f>IFERROR(IF($F$14="","",IF($K$5+ROW()-26&gt;$K$6,"",IF(INDEX('Raw Pressure Data'!$A:$ZZ,$K$5+ROW()-26+$H$14,MATCH($F$14,'Raw Pressure Data'!$1:$1,0))=-999,"",INDEX('Raw Pressure Data'!$A:$ZZ,$K$5+ROW()-26+$H$14,MATCH($F$14,'Raw Pressure Data'!$1:$1,0))+$G$14))),"")</f>
        <v/>
      </c>
      <c r="X146" s="24">
        <f>IFERROR(IF($F$15="","",IF($K$5+ROW()-26&gt;$K$6,"",IF(INDEX('Raw Pressure Data'!$A:$ZZ,$K$5+ROW()-26+$H$15,MATCH($F$15,'Raw Pressure Data'!$1:$1,0))=-999,"",INDEX('Raw Pressure Data'!$A:$ZZ,$K$5+ROW()-26+$H$15,MATCH($F$15,'Raw Pressure Data'!$1:$1,0))+$G$15))),"")</f>
        <v/>
      </c>
      <c r="Y146" s="24">
        <f>IFERROR(IF($F$16="","",IF($K$5+ROW()-26&gt;$K$6,"",IF(INDEX('Raw Pressure Data'!$A:$ZZ,$K$5+ROW()-26+$H$16,MATCH($F$16,'Raw Pressure Data'!$1:$1,0))=-999,"",INDEX('Raw Pressure Data'!$A:$ZZ,$K$5+ROW()-26+$H$16,MATCH($F$16,'Raw Pressure Data'!$1:$1,0))+$G$16))),"")</f>
        <v/>
      </c>
      <c r="Z146" s="24">
        <f>IFERROR(IF($F$17="","",IF($K$5+ROW()-26&gt;$K$6,"",IF(INDEX('Raw Pressure Data'!$A:$ZZ,$K$5+ROW()-26+$H$17,MATCH($F$17,'Raw Pressure Data'!$1:$1,0))=-999,"",INDEX('Raw Pressure Data'!$A:$ZZ,$K$5+ROW()-26+$H$17,MATCH($F$17,'Raw Pressure Data'!$1:$1,0))+$G$17))),"")</f>
        <v/>
      </c>
      <c r="AA146" s="24">
        <f>IFERROR(IF($F$18="","",IF($K$5+ROW()-26&gt;$K$6,"",IF(INDEX('Raw Pressure Data'!$A:$ZZ,$K$5+ROW()-26+$H$18,MATCH($F$18,'Raw Pressure Data'!$1:$1,0))=-999,"",INDEX('Raw Pressure Data'!$A:$ZZ,$K$5+ROW()-26+$H$18,MATCH($F$18,'Raw Pressure Data'!$1:$1,0))+$G$18))),"")</f>
        <v/>
      </c>
      <c r="AB146" s="24">
        <f>IFERROR(IF($F$19="","",IF($K$5+ROW()-26&gt;$K$6,"",IF(INDEX('Raw Pressure Data'!$A:$ZZ,$K$5+ROW()-26+$H$19,MATCH($F$19,'Raw Pressure Data'!$1:$1,0))=-999,"",INDEX('Raw Pressure Data'!$A:$ZZ,$K$5+ROW()-26+$H$19,MATCH($F$19,'Raw Pressure Data'!$1:$1,0))+$G$19))),"")</f>
        <v/>
      </c>
      <c r="AC146" s="24">
        <f>IFERROR(IF($F$20="","",IF($K$5+ROW()-26&gt;$K$6,"",IF(INDEX('Raw Pressure Data'!$A:$ZZ,$K$5+ROW()-26+$H$20,MATCH($F$20,'Raw Pressure Data'!$1:$1,0))=-999,"",INDEX('Raw Pressure Data'!$A:$ZZ,$K$5+ROW()-26+$H$20,MATCH($F$20,'Raw Pressure Data'!$1:$1,0))+$G$20))),"")</f>
        <v/>
      </c>
      <c r="AD146" s="24">
        <f>IFERROR(IF($F$21="","",IF($K$5+ROW()-26&gt;$K$6,"",IF(INDEX('Raw Pressure Data'!$A:$ZZ,$K$5+ROW()-26+$H$21,MATCH($F$21,'Raw Pressure Data'!$1:$1,0))=-999,"",INDEX('Raw Pressure Data'!$A:$ZZ,$K$5+ROW()-26+$H$21,MATCH($F$21,'Raw Pressure Data'!$1:$1,0))+$G$21))),"")</f>
        <v/>
      </c>
      <c r="AE146" s="24">
        <f>IFERROR(IF($F$22="","",IF($K$5+ROW()-26&gt;$K$6,"",IF(INDEX('Raw Pressure Data'!$A:$ZZ,$K$5+ROW()-26+$H$22,MATCH($F$22,'Raw Pressure Data'!$1:$1,0))=-999,"",INDEX('Raw Pressure Data'!$A:$ZZ,$K$5+ROW()-26+$H$22,MATCH($F$22,'Raw Pressure Data'!$1:$1,0))+$G$22))),"")</f>
        <v/>
      </c>
    </row>
    <row r="147" ht="15" customHeight="1">
      <c r="A147" s="25">
        <f>IFERROR(IF($K$5+ROW()-26&gt;$K$6,"",IF(INDEX('Raw Flow Data'!$A:$A,$K$5+ROW()-26)="","",INDEX('Raw Flow Data'!$A:$A,$K$5+ROW()-26))),"")</f>
        <v/>
      </c>
      <c r="B147" s="26">
        <f>IFERROR(IF($B$3="","",IF($K$5+ROW()-26&gt;$K$6,"",IF(INDEX('Raw Flow Data'!$A:$ZZ,$K$5+ROW()-26+$D$3,MATCH($B$3,'Raw Flow Data'!$1:$1,0))=-999,"",INDEX('Raw Flow Data'!$A:$ZZ,$K$5+ROW()-26+$D$3,MATCH($B$3,'Raw Flow Data'!$1:$1,0))*$C$3))),"")</f>
        <v/>
      </c>
      <c r="C147" s="26">
        <f>IFERROR(IF($B$4="","",IF($K$5+ROW()-26&gt;$K$6,"",IF(INDEX('Raw Flow Data'!$A:$ZZ,$K$5+ROW()-26+$D$4,MATCH($B$4,'Raw Flow Data'!$1:$1,0))=-999,"",INDEX('Raw Flow Data'!$A:$ZZ,$K$5+ROW()-26+$D$4,MATCH($B$4,'Raw Flow Data'!$1:$1,0))*$C$4))),"")</f>
        <v/>
      </c>
      <c r="D147" s="26">
        <f>IFERROR(IF($B$5="","",IF($K$5+ROW()-26&gt;$K$6,"",IF(INDEX('Raw Flow Data'!$A:$ZZ,$K$5+ROW()-26+$D$5,MATCH($B$5,'Raw Flow Data'!$1:$1,0))=-999,"",INDEX('Raw Flow Data'!$A:$ZZ,$K$5+ROW()-26+$D$5,MATCH($B$5,'Raw Flow Data'!$1:$1,0))*$C$5))),"")</f>
        <v/>
      </c>
      <c r="E147" s="26">
        <f>IFERROR(IF($B$6="","",IF($K$5+ROW()-26&gt;$K$6,"",IF(INDEX('Raw Flow Data'!$A:$ZZ,$K$5+ROW()-26+$D$6,MATCH($B$6,'Raw Flow Data'!$1:$1,0))=-999,"",INDEX('Raw Flow Data'!$A:$ZZ,$K$5+ROW()-26+$D$6,MATCH($B$6,'Raw Flow Data'!$1:$1,0))*$C$6))),"")</f>
        <v/>
      </c>
      <c r="F147" s="26">
        <f>IFERROR(IF($B$7="","",IF($K$5+ROW()-26&gt;$K$6,"",IF(INDEX('Raw Flow Data'!$A:$ZZ,$K$5+ROW()-26+$D$7,MATCH($B$7,'Raw Flow Data'!$1:$1,0))=-999,"",INDEX('Raw Flow Data'!$A:$ZZ,$K$5+ROW()-26+$D$7,MATCH($B$7,'Raw Flow Data'!$1:$1,0))*$C$7))),"")</f>
        <v/>
      </c>
      <c r="G147" s="26">
        <f>IFERROR(IF($B$8="","",IF($K$5+ROW()-26&gt;$K$6,"",IF(INDEX('Raw Flow Data'!$A:$ZZ,$K$5+ROW()-26+$D$8,MATCH($B$8,'Raw Flow Data'!$1:$1,0))=-999,"",INDEX('Raw Flow Data'!$A:$ZZ,$K$5+ROW()-26+$D$8,MATCH($B$8,'Raw Flow Data'!$1:$1,0))*$C$8))),"")</f>
        <v/>
      </c>
      <c r="H147" s="26">
        <f>IFERROR(IF($B$9="","",IF($K$5+ROW()-26&gt;$K$6,"",IF(INDEX('Raw Flow Data'!$A:$ZZ,$K$5+ROW()-26+$D$9,MATCH($B$9,'Raw Flow Data'!$1:$1,0))=-999,"",INDEX('Raw Flow Data'!$A:$ZZ,$K$5+ROW()-26+$D$9,MATCH($B$9,'Raw Flow Data'!$1:$1,0))*$C$9))),"")</f>
        <v/>
      </c>
      <c r="I147" s="26">
        <f>IFERROR(IF($B$10="","",IF($K$5+ROW()-26&gt;$K$6,"",IF(INDEX('Raw Flow Data'!$A:$ZZ,$K$5+ROW()-26+$D$10,MATCH($B$10,'Raw Flow Data'!$1:$1,0))=-999,"",INDEX('Raw Flow Data'!$A:$ZZ,$K$5+ROW()-26+$D$10,MATCH($B$10,'Raw Flow Data'!$1:$1,0))*$C$10))),"")</f>
        <v/>
      </c>
      <c r="J147" s="26">
        <f>IFERROR(IF($B$11="","",IF($K$5+ROW()-26&gt;$K$6,"",IF(INDEX('Raw Flow Data'!$A:$ZZ,$K$5+ROW()-26+$D$11,MATCH($B$11,'Raw Flow Data'!$1:$1,0))=-999,"",INDEX('Raw Flow Data'!$A:$ZZ,$K$5+ROW()-26+$D$11,MATCH($B$11,'Raw Flow Data'!$1:$1,0))*$C$11))),"")</f>
        <v/>
      </c>
      <c r="K147" s="26">
        <f>IFERROR(IF($B$12="","",IF($K$5+ROW()-26&gt;$K$6,"",IF(INDEX('Raw Flow Data'!$A:$ZZ,$K$5+ROW()-26+$D$12,MATCH($B$12,'Raw Flow Data'!$1:$1,0))=-999,"",INDEX('Raw Flow Data'!$A:$ZZ,$K$5+ROW()-26+$D$12,MATCH($B$12,'Raw Flow Data'!$1:$1,0))*$C$12))),"")</f>
        <v/>
      </c>
      <c r="L147" s="26">
        <f>IFERROR(IF($F$3="","",IF($K$5+ROW()-26&gt;$K$6,"",IF(INDEX('Raw Pressure Data'!$A:$ZZ,$K$5+ROW()-26+$H$3,MATCH($F$3,'Raw Pressure Data'!$1:$1,0))=-999,"",INDEX('Raw Pressure Data'!$A:$ZZ,$K$5+ROW()-26+$H$3,MATCH($F$3,'Raw Pressure Data'!$1:$1,0))+$G$3))),"")</f>
        <v/>
      </c>
      <c r="M147" s="26">
        <f>IFERROR(IF($F$4="","",IF($K$5+ROW()-26&gt;$K$6,"",IF(INDEX('Raw Pressure Data'!$A:$ZZ,$K$5+ROW()-26+$H$4,MATCH($F$4,'Raw Pressure Data'!$1:$1,0))=-999,"",INDEX('Raw Pressure Data'!$A:$ZZ,$K$5+ROW()-26+$H$4,MATCH($F$4,'Raw Pressure Data'!$1:$1,0))+$G$4))),"")</f>
        <v/>
      </c>
      <c r="N147" s="26">
        <f>IFERROR(IF($F$5="","",IF($K$5+ROW()-26&gt;$K$6,"",IF(INDEX('Raw Pressure Data'!$A:$ZZ,$K$5+ROW()-26+$H$5,MATCH($F$5,'Raw Pressure Data'!$1:$1,0))=-999,"",INDEX('Raw Pressure Data'!$A:$ZZ,$K$5+ROW()-26+$H$5,MATCH($F$5,'Raw Pressure Data'!$1:$1,0))+$G$5))),"")</f>
        <v/>
      </c>
      <c r="O147" s="26">
        <f>IFERROR(IF($F$6="","",IF($K$5+ROW()-26&gt;$K$6,"",IF(INDEX('Raw Pressure Data'!$A:$ZZ,$K$5+ROW()-26+$H$6,MATCH($F$6,'Raw Pressure Data'!$1:$1,0))=-999,"",INDEX('Raw Pressure Data'!$A:$ZZ,$K$5+ROW()-26+$H$6,MATCH($F$6,'Raw Pressure Data'!$1:$1,0))+$G$6))),"")</f>
        <v/>
      </c>
      <c r="P147" s="26">
        <f>IFERROR(IF($F$7="","",IF($K$5+ROW()-26&gt;$K$6,"",IF(INDEX('Raw Pressure Data'!$A:$ZZ,$K$5+ROW()-26+$H$7,MATCH($F$7,'Raw Pressure Data'!$1:$1,0))=-999,"",INDEX('Raw Pressure Data'!$A:$ZZ,$K$5+ROW()-26+$H$7,MATCH($F$7,'Raw Pressure Data'!$1:$1,0))+$G$7))),"")</f>
        <v/>
      </c>
      <c r="Q147" s="26">
        <f>IFERROR(IF($F$8="","",IF($K$5+ROW()-26&gt;$K$6,"",IF(INDEX('Raw Pressure Data'!$A:$ZZ,$K$5+ROW()-26+$H$8,MATCH($F$8,'Raw Pressure Data'!$1:$1,0))=-999,"",INDEX('Raw Pressure Data'!$A:$ZZ,$K$5+ROW()-26+$H$8,MATCH($F$8,'Raw Pressure Data'!$1:$1,0))+$G$8))),"")</f>
        <v/>
      </c>
      <c r="R147" s="26">
        <f>IFERROR(IF($F$9="","",IF($K$5+ROW()-26&gt;$K$6,"",IF(INDEX('Raw Pressure Data'!$A:$ZZ,$K$5+ROW()-26+$H$9,MATCH($F$9,'Raw Pressure Data'!$1:$1,0))=-999,"",INDEX('Raw Pressure Data'!$A:$ZZ,$K$5+ROW()-26+$H$9,MATCH($F$9,'Raw Pressure Data'!$1:$1,0))+$G$9))),"")</f>
        <v/>
      </c>
      <c r="S147" s="26">
        <f>IFERROR(IF($F$10="","",IF($K$5+ROW()-26&gt;$K$6,"",IF(INDEX('Raw Pressure Data'!$A:$ZZ,$K$5+ROW()-26+$H$10,MATCH($F$10,'Raw Pressure Data'!$1:$1,0))=-999,"",INDEX('Raw Pressure Data'!$A:$ZZ,$K$5+ROW()-26+$H$10,MATCH($F$10,'Raw Pressure Data'!$1:$1,0))+$G$10))),"")</f>
        <v/>
      </c>
      <c r="T147" s="26">
        <f>IFERROR(IF($F$11="","",IF($K$5+ROW()-26&gt;$K$6,"",IF(INDEX('Raw Pressure Data'!$A:$ZZ,$K$5+ROW()-26+$H$11,MATCH($F$11,'Raw Pressure Data'!$1:$1,0))=-999,"",INDEX('Raw Pressure Data'!$A:$ZZ,$K$5+ROW()-26+$H$11,MATCH($F$11,'Raw Pressure Data'!$1:$1,0))+$G$11))),"")</f>
        <v/>
      </c>
      <c r="U147" s="26">
        <f>IFERROR(IF($F$12="","",IF($K$5+ROW()-26&gt;$K$6,"",IF(INDEX('Raw Pressure Data'!$A:$ZZ,$K$5+ROW()-26+$H$12,MATCH($F$12,'Raw Pressure Data'!$1:$1,0))=-999,"",INDEX('Raw Pressure Data'!$A:$ZZ,$K$5+ROW()-26+$H$12,MATCH($F$12,'Raw Pressure Data'!$1:$1,0))+$G$12))),"")</f>
        <v/>
      </c>
      <c r="V147" s="26">
        <f>IFERROR(IF($F$13="","",IF($K$5+ROW()-26&gt;$K$6,"",IF(INDEX('Raw Pressure Data'!$A:$ZZ,$K$5+ROW()-26+$H$13,MATCH($F$13,'Raw Pressure Data'!$1:$1,0))=-999,"",INDEX('Raw Pressure Data'!$A:$ZZ,$K$5+ROW()-26+$H$13,MATCH($F$13,'Raw Pressure Data'!$1:$1,0))+$G$13))),"")</f>
        <v/>
      </c>
      <c r="W147" s="26">
        <f>IFERROR(IF($F$14="","",IF($K$5+ROW()-26&gt;$K$6,"",IF(INDEX('Raw Pressure Data'!$A:$ZZ,$K$5+ROW()-26+$H$14,MATCH($F$14,'Raw Pressure Data'!$1:$1,0))=-999,"",INDEX('Raw Pressure Data'!$A:$ZZ,$K$5+ROW()-26+$H$14,MATCH($F$14,'Raw Pressure Data'!$1:$1,0))+$G$14))),"")</f>
        <v/>
      </c>
      <c r="X147" s="26">
        <f>IFERROR(IF($F$15="","",IF($K$5+ROW()-26&gt;$K$6,"",IF(INDEX('Raw Pressure Data'!$A:$ZZ,$K$5+ROW()-26+$H$15,MATCH($F$15,'Raw Pressure Data'!$1:$1,0))=-999,"",INDEX('Raw Pressure Data'!$A:$ZZ,$K$5+ROW()-26+$H$15,MATCH($F$15,'Raw Pressure Data'!$1:$1,0))+$G$15))),"")</f>
        <v/>
      </c>
      <c r="Y147" s="26">
        <f>IFERROR(IF($F$16="","",IF($K$5+ROW()-26&gt;$K$6,"",IF(INDEX('Raw Pressure Data'!$A:$ZZ,$K$5+ROW()-26+$H$16,MATCH($F$16,'Raw Pressure Data'!$1:$1,0))=-999,"",INDEX('Raw Pressure Data'!$A:$ZZ,$K$5+ROW()-26+$H$16,MATCH($F$16,'Raw Pressure Data'!$1:$1,0))+$G$16))),"")</f>
        <v/>
      </c>
      <c r="Z147" s="26">
        <f>IFERROR(IF($F$17="","",IF($K$5+ROW()-26&gt;$K$6,"",IF(INDEX('Raw Pressure Data'!$A:$ZZ,$K$5+ROW()-26+$H$17,MATCH($F$17,'Raw Pressure Data'!$1:$1,0))=-999,"",INDEX('Raw Pressure Data'!$A:$ZZ,$K$5+ROW()-26+$H$17,MATCH($F$17,'Raw Pressure Data'!$1:$1,0))+$G$17))),"")</f>
        <v/>
      </c>
      <c r="AA147" s="26">
        <f>IFERROR(IF($F$18="","",IF($K$5+ROW()-26&gt;$K$6,"",IF(INDEX('Raw Pressure Data'!$A:$ZZ,$K$5+ROW()-26+$H$18,MATCH($F$18,'Raw Pressure Data'!$1:$1,0))=-999,"",INDEX('Raw Pressure Data'!$A:$ZZ,$K$5+ROW()-26+$H$18,MATCH($F$18,'Raw Pressure Data'!$1:$1,0))+$G$18))),"")</f>
        <v/>
      </c>
      <c r="AB147" s="26">
        <f>IFERROR(IF($F$19="","",IF($K$5+ROW()-26&gt;$K$6,"",IF(INDEX('Raw Pressure Data'!$A:$ZZ,$K$5+ROW()-26+$H$19,MATCH($F$19,'Raw Pressure Data'!$1:$1,0))=-999,"",INDEX('Raw Pressure Data'!$A:$ZZ,$K$5+ROW()-26+$H$19,MATCH($F$19,'Raw Pressure Data'!$1:$1,0))+$G$19))),"")</f>
        <v/>
      </c>
      <c r="AC147" s="26">
        <f>IFERROR(IF($F$20="","",IF($K$5+ROW()-26&gt;$K$6,"",IF(INDEX('Raw Pressure Data'!$A:$ZZ,$K$5+ROW()-26+$H$20,MATCH($F$20,'Raw Pressure Data'!$1:$1,0))=-999,"",INDEX('Raw Pressure Data'!$A:$ZZ,$K$5+ROW()-26+$H$20,MATCH($F$20,'Raw Pressure Data'!$1:$1,0))+$G$20))),"")</f>
        <v/>
      </c>
      <c r="AD147" s="26">
        <f>IFERROR(IF($F$21="","",IF($K$5+ROW()-26&gt;$K$6,"",IF(INDEX('Raw Pressure Data'!$A:$ZZ,$K$5+ROW()-26+$H$21,MATCH($F$21,'Raw Pressure Data'!$1:$1,0))=-999,"",INDEX('Raw Pressure Data'!$A:$ZZ,$K$5+ROW()-26+$H$21,MATCH($F$21,'Raw Pressure Data'!$1:$1,0))+$G$21))),"")</f>
        <v/>
      </c>
      <c r="AE147" s="26">
        <f>IFERROR(IF($F$22="","",IF($K$5+ROW()-26&gt;$K$6,"",IF(INDEX('Raw Pressure Data'!$A:$ZZ,$K$5+ROW()-26+$H$22,MATCH($F$22,'Raw Pressure Data'!$1:$1,0))=-999,"",INDEX('Raw Pressure Data'!$A:$ZZ,$K$5+ROW()-26+$H$22,MATCH($F$22,'Raw Pressure Data'!$1:$1,0))+$G$22))),"")</f>
        <v/>
      </c>
    </row>
    <row r="148" ht="15" customHeight="1">
      <c r="A148" s="23">
        <f>IFERROR(IF($K$5+ROW()-26&gt;$K$6,"",IF(INDEX('Raw Flow Data'!$A:$A,$K$5+ROW()-26)="","",INDEX('Raw Flow Data'!$A:$A,$K$5+ROW()-26))),"")</f>
        <v/>
      </c>
      <c r="B148" s="24">
        <f>IFERROR(IF($B$3="","",IF($K$5+ROW()-26&gt;$K$6,"",IF(INDEX('Raw Flow Data'!$A:$ZZ,$K$5+ROW()-26+$D$3,MATCH($B$3,'Raw Flow Data'!$1:$1,0))=-999,"",INDEX('Raw Flow Data'!$A:$ZZ,$K$5+ROW()-26+$D$3,MATCH($B$3,'Raw Flow Data'!$1:$1,0))*$C$3))),"")</f>
        <v/>
      </c>
      <c r="C148" s="24">
        <f>IFERROR(IF($B$4="","",IF($K$5+ROW()-26&gt;$K$6,"",IF(INDEX('Raw Flow Data'!$A:$ZZ,$K$5+ROW()-26+$D$4,MATCH($B$4,'Raw Flow Data'!$1:$1,0))=-999,"",INDEX('Raw Flow Data'!$A:$ZZ,$K$5+ROW()-26+$D$4,MATCH($B$4,'Raw Flow Data'!$1:$1,0))*$C$4))),"")</f>
        <v/>
      </c>
      <c r="D148" s="24">
        <f>IFERROR(IF($B$5="","",IF($K$5+ROW()-26&gt;$K$6,"",IF(INDEX('Raw Flow Data'!$A:$ZZ,$K$5+ROW()-26+$D$5,MATCH($B$5,'Raw Flow Data'!$1:$1,0))=-999,"",INDEX('Raw Flow Data'!$A:$ZZ,$K$5+ROW()-26+$D$5,MATCH($B$5,'Raw Flow Data'!$1:$1,0))*$C$5))),"")</f>
        <v/>
      </c>
      <c r="E148" s="24">
        <f>IFERROR(IF($B$6="","",IF($K$5+ROW()-26&gt;$K$6,"",IF(INDEX('Raw Flow Data'!$A:$ZZ,$K$5+ROW()-26+$D$6,MATCH($B$6,'Raw Flow Data'!$1:$1,0))=-999,"",INDEX('Raw Flow Data'!$A:$ZZ,$K$5+ROW()-26+$D$6,MATCH($B$6,'Raw Flow Data'!$1:$1,0))*$C$6))),"")</f>
        <v/>
      </c>
      <c r="F148" s="24">
        <f>IFERROR(IF($B$7="","",IF($K$5+ROW()-26&gt;$K$6,"",IF(INDEX('Raw Flow Data'!$A:$ZZ,$K$5+ROW()-26+$D$7,MATCH($B$7,'Raw Flow Data'!$1:$1,0))=-999,"",INDEX('Raw Flow Data'!$A:$ZZ,$K$5+ROW()-26+$D$7,MATCH($B$7,'Raw Flow Data'!$1:$1,0))*$C$7))),"")</f>
        <v/>
      </c>
      <c r="G148" s="24">
        <f>IFERROR(IF($B$8="","",IF($K$5+ROW()-26&gt;$K$6,"",IF(INDEX('Raw Flow Data'!$A:$ZZ,$K$5+ROW()-26+$D$8,MATCH($B$8,'Raw Flow Data'!$1:$1,0))=-999,"",INDEX('Raw Flow Data'!$A:$ZZ,$K$5+ROW()-26+$D$8,MATCH($B$8,'Raw Flow Data'!$1:$1,0))*$C$8))),"")</f>
        <v/>
      </c>
      <c r="H148" s="24">
        <f>IFERROR(IF($B$9="","",IF($K$5+ROW()-26&gt;$K$6,"",IF(INDEX('Raw Flow Data'!$A:$ZZ,$K$5+ROW()-26+$D$9,MATCH($B$9,'Raw Flow Data'!$1:$1,0))=-999,"",INDEX('Raw Flow Data'!$A:$ZZ,$K$5+ROW()-26+$D$9,MATCH($B$9,'Raw Flow Data'!$1:$1,0))*$C$9))),"")</f>
        <v/>
      </c>
      <c r="I148" s="24">
        <f>IFERROR(IF($B$10="","",IF($K$5+ROW()-26&gt;$K$6,"",IF(INDEX('Raw Flow Data'!$A:$ZZ,$K$5+ROW()-26+$D$10,MATCH($B$10,'Raw Flow Data'!$1:$1,0))=-999,"",INDEX('Raw Flow Data'!$A:$ZZ,$K$5+ROW()-26+$D$10,MATCH($B$10,'Raw Flow Data'!$1:$1,0))*$C$10))),"")</f>
        <v/>
      </c>
      <c r="J148" s="24">
        <f>IFERROR(IF($B$11="","",IF($K$5+ROW()-26&gt;$K$6,"",IF(INDEX('Raw Flow Data'!$A:$ZZ,$K$5+ROW()-26+$D$11,MATCH($B$11,'Raw Flow Data'!$1:$1,0))=-999,"",INDEX('Raw Flow Data'!$A:$ZZ,$K$5+ROW()-26+$D$11,MATCH($B$11,'Raw Flow Data'!$1:$1,0))*$C$11))),"")</f>
        <v/>
      </c>
      <c r="K148" s="24">
        <f>IFERROR(IF($B$12="","",IF($K$5+ROW()-26&gt;$K$6,"",IF(INDEX('Raw Flow Data'!$A:$ZZ,$K$5+ROW()-26+$D$12,MATCH($B$12,'Raw Flow Data'!$1:$1,0))=-999,"",INDEX('Raw Flow Data'!$A:$ZZ,$K$5+ROW()-26+$D$12,MATCH($B$12,'Raw Flow Data'!$1:$1,0))*$C$12))),"")</f>
        <v/>
      </c>
      <c r="L148" s="24">
        <f>IFERROR(IF($F$3="","",IF($K$5+ROW()-26&gt;$K$6,"",IF(INDEX('Raw Pressure Data'!$A:$ZZ,$K$5+ROW()-26+$H$3,MATCH($F$3,'Raw Pressure Data'!$1:$1,0))=-999,"",INDEX('Raw Pressure Data'!$A:$ZZ,$K$5+ROW()-26+$H$3,MATCH($F$3,'Raw Pressure Data'!$1:$1,0))+$G$3))),"")</f>
        <v/>
      </c>
      <c r="M148" s="24">
        <f>IFERROR(IF($F$4="","",IF($K$5+ROW()-26&gt;$K$6,"",IF(INDEX('Raw Pressure Data'!$A:$ZZ,$K$5+ROW()-26+$H$4,MATCH($F$4,'Raw Pressure Data'!$1:$1,0))=-999,"",INDEX('Raw Pressure Data'!$A:$ZZ,$K$5+ROW()-26+$H$4,MATCH($F$4,'Raw Pressure Data'!$1:$1,0))+$G$4))),"")</f>
        <v/>
      </c>
      <c r="N148" s="24">
        <f>IFERROR(IF($F$5="","",IF($K$5+ROW()-26&gt;$K$6,"",IF(INDEX('Raw Pressure Data'!$A:$ZZ,$K$5+ROW()-26+$H$5,MATCH($F$5,'Raw Pressure Data'!$1:$1,0))=-999,"",INDEX('Raw Pressure Data'!$A:$ZZ,$K$5+ROW()-26+$H$5,MATCH($F$5,'Raw Pressure Data'!$1:$1,0))+$G$5))),"")</f>
        <v/>
      </c>
      <c r="O148" s="24">
        <f>IFERROR(IF($F$6="","",IF($K$5+ROW()-26&gt;$K$6,"",IF(INDEX('Raw Pressure Data'!$A:$ZZ,$K$5+ROW()-26+$H$6,MATCH($F$6,'Raw Pressure Data'!$1:$1,0))=-999,"",INDEX('Raw Pressure Data'!$A:$ZZ,$K$5+ROW()-26+$H$6,MATCH($F$6,'Raw Pressure Data'!$1:$1,0))+$G$6))),"")</f>
        <v/>
      </c>
      <c r="P148" s="24">
        <f>IFERROR(IF($F$7="","",IF($K$5+ROW()-26&gt;$K$6,"",IF(INDEX('Raw Pressure Data'!$A:$ZZ,$K$5+ROW()-26+$H$7,MATCH($F$7,'Raw Pressure Data'!$1:$1,0))=-999,"",INDEX('Raw Pressure Data'!$A:$ZZ,$K$5+ROW()-26+$H$7,MATCH($F$7,'Raw Pressure Data'!$1:$1,0))+$G$7))),"")</f>
        <v/>
      </c>
      <c r="Q148" s="24">
        <f>IFERROR(IF($F$8="","",IF($K$5+ROW()-26&gt;$K$6,"",IF(INDEX('Raw Pressure Data'!$A:$ZZ,$K$5+ROW()-26+$H$8,MATCH($F$8,'Raw Pressure Data'!$1:$1,0))=-999,"",INDEX('Raw Pressure Data'!$A:$ZZ,$K$5+ROW()-26+$H$8,MATCH($F$8,'Raw Pressure Data'!$1:$1,0))+$G$8))),"")</f>
        <v/>
      </c>
      <c r="R148" s="24">
        <f>IFERROR(IF($F$9="","",IF($K$5+ROW()-26&gt;$K$6,"",IF(INDEX('Raw Pressure Data'!$A:$ZZ,$K$5+ROW()-26+$H$9,MATCH($F$9,'Raw Pressure Data'!$1:$1,0))=-999,"",INDEX('Raw Pressure Data'!$A:$ZZ,$K$5+ROW()-26+$H$9,MATCH($F$9,'Raw Pressure Data'!$1:$1,0))+$G$9))),"")</f>
        <v/>
      </c>
      <c r="S148" s="24">
        <f>IFERROR(IF($F$10="","",IF($K$5+ROW()-26&gt;$K$6,"",IF(INDEX('Raw Pressure Data'!$A:$ZZ,$K$5+ROW()-26+$H$10,MATCH($F$10,'Raw Pressure Data'!$1:$1,0))=-999,"",INDEX('Raw Pressure Data'!$A:$ZZ,$K$5+ROW()-26+$H$10,MATCH($F$10,'Raw Pressure Data'!$1:$1,0))+$G$10))),"")</f>
        <v/>
      </c>
      <c r="T148" s="24">
        <f>IFERROR(IF($F$11="","",IF($K$5+ROW()-26&gt;$K$6,"",IF(INDEX('Raw Pressure Data'!$A:$ZZ,$K$5+ROW()-26+$H$11,MATCH($F$11,'Raw Pressure Data'!$1:$1,0))=-999,"",INDEX('Raw Pressure Data'!$A:$ZZ,$K$5+ROW()-26+$H$11,MATCH($F$11,'Raw Pressure Data'!$1:$1,0))+$G$11))),"")</f>
        <v/>
      </c>
      <c r="U148" s="24">
        <f>IFERROR(IF($F$12="","",IF($K$5+ROW()-26&gt;$K$6,"",IF(INDEX('Raw Pressure Data'!$A:$ZZ,$K$5+ROW()-26+$H$12,MATCH($F$12,'Raw Pressure Data'!$1:$1,0))=-999,"",INDEX('Raw Pressure Data'!$A:$ZZ,$K$5+ROW()-26+$H$12,MATCH($F$12,'Raw Pressure Data'!$1:$1,0))+$G$12))),"")</f>
        <v/>
      </c>
      <c r="V148" s="24">
        <f>IFERROR(IF($F$13="","",IF($K$5+ROW()-26&gt;$K$6,"",IF(INDEX('Raw Pressure Data'!$A:$ZZ,$K$5+ROW()-26+$H$13,MATCH($F$13,'Raw Pressure Data'!$1:$1,0))=-999,"",INDEX('Raw Pressure Data'!$A:$ZZ,$K$5+ROW()-26+$H$13,MATCH($F$13,'Raw Pressure Data'!$1:$1,0))+$G$13))),"")</f>
        <v/>
      </c>
      <c r="W148" s="24">
        <f>IFERROR(IF($F$14="","",IF($K$5+ROW()-26&gt;$K$6,"",IF(INDEX('Raw Pressure Data'!$A:$ZZ,$K$5+ROW()-26+$H$14,MATCH($F$14,'Raw Pressure Data'!$1:$1,0))=-999,"",INDEX('Raw Pressure Data'!$A:$ZZ,$K$5+ROW()-26+$H$14,MATCH($F$14,'Raw Pressure Data'!$1:$1,0))+$G$14))),"")</f>
        <v/>
      </c>
      <c r="X148" s="24">
        <f>IFERROR(IF($F$15="","",IF($K$5+ROW()-26&gt;$K$6,"",IF(INDEX('Raw Pressure Data'!$A:$ZZ,$K$5+ROW()-26+$H$15,MATCH($F$15,'Raw Pressure Data'!$1:$1,0))=-999,"",INDEX('Raw Pressure Data'!$A:$ZZ,$K$5+ROW()-26+$H$15,MATCH($F$15,'Raw Pressure Data'!$1:$1,0))+$G$15))),"")</f>
        <v/>
      </c>
      <c r="Y148" s="24">
        <f>IFERROR(IF($F$16="","",IF($K$5+ROW()-26&gt;$K$6,"",IF(INDEX('Raw Pressure Data'!$A:$ZZ,$K$5+ROW()-26+$H$16,MATCH($F$16,'Raw Pressure Data'!$1:$1,0))=-999,"",INDEX('Raw Pressure Data'!$A:$ZZ,$K$5+ROW()-26+$H$16,MATCH($F$16,'Raw Pressure Data'!$1:$1,0))+$G$16))),"")</f>
        <v/>
      </c>
      <c r="Z148" s="24">
        <f>IFERROR(IF($F$17="","",IF($K$5+ROW()-26&gt;$K$6,"",IF(INDEX('Raw Pressure Data'!$A:$ZZ,$K$5+ROW()-26+$H$17,MATCH($F$17,'Raw Pressure Data'!$1:$1,0))=-999,"",INDEX('Raw Pressure Data'!$A:$ZZ,$K$5+ROW()-26+$H$17,MATCH($F$17,'Raw Pressure Data'!$1:$1,0))+$G$17))),"")</f>
        <v/>
      </c>
      <c r="AA148" s="24">
        <f>IFERROR(IF($F$18="","",IF($K$5+ROW()-26&gt;$K$6,"",IF(INDEX('Raw Pressure Data'!$A:$ZZ,$K$5+ROW()-26+$H$18,MATCH($F$18,'Raw Pressure Data'!$1:$1,0))=-999,"",INDEX('Raw Pressure Data'!$A:$ZZ,$K$5+ROW()-26+$H$18,MATCH($F$18,'Raw Pressure Data'!$1:$1,0))+$G$18))),"")</f>
        <v/>
      </c>
      <c r="AB148" s="24">
        <f>IFERROR(IF($F$19="","",IF($K$5+ROW()-26&gt;$K$6,"",IF(INDEX('Raw Pressure Data'!$A:$ZZ,$K$5+ROW()-26+$H$19,MATCH($F$19,'Raw Pressure Data'!$1:$1,0))=-999,"",INDEX('Raw Pressure Data'!$A:$ZZ,$K$5+ROW()-26+$H$19,MATCH($F$19,'Raw Pressure Data'!$1:$1,0))+$G$19))),"")</f>
        <v/>
      </c>
      <c r="AC148" s="24">
        <f>IFERROR(IF($F$20="","",IF($K$5+ROW()-26&gt;$K$6,"",IF(INDEX('Raw Pressure Data'!$A:$ZZ,$K$5+ROW()-26+$H$20,MATCH($F$20,'Raw Pressure Data'!$1:$1,0))=-999,"",INDEX('Raw Pressure Data'!$A:$ZZ,$K$5+ROW()-26+$H$20,MATCH($F$20,'Raw Pressure Data'!$1:$1,0))+$G$20))),"")</f>
        <v/>
      </c>
      <c r="AD148" s="24">
        <f>IFERROR(IF($F$21="","",IF($K$5+ROW()-26&gt;$K$6,"",IF(INDEX('Raw Pressure Data'!$A:$ZZ,$K$5+ROW()-26+$H$21,MATCH($F$21,'Raw Pressure Data'!$1:$1,0))=-999,"",INDEX('Raw Pressure Data'!$A:$ZZ,$K$5+ROW()-26+$H$21,MATCH($F$21,'Raw Pressure Data'!$1:$1,0))+$G$21))),"")</f>
        <v/>
      </c>
      <c r="AE148" s="24">
        <f>IFERROR(IF($F$22="","",IF($K$5+ROW()-26&gt;$K$6,"",IF(INDEX('Raw Pressure Data'!$A:$ZZ,$K$5+ROW()-26+$H$22,MATCH($F$22,'Raw Pressure Data'!$1:$1,0))=-999,"",INDEX('Raw Pressure Data'!$A:$ZZ,$K$5+ROW()-26+$H$22,MATCH($F$22,'Raw Pressure Data'!$1:$1,0))+$G$22))),"")</f>
        <v/>
      </c>
    </row>
    <row r="149" ht="15" customHeight="1">
      <c r="A149" s="25">
        <f>IFERROR(IF($K$5+ROW()-26&gt;$K$6,"",IF(INDEX('Raw Flow Data'!$A:$A,$K$5+ROW()-26)="","",INDEX('Raw Flow Data'!$A:$A,$K$5+ROW()-26))),"")</f>
        <v/>
      </c>
      <c r="B149" s="26">
        <f>IFERROR(IF($B$3="","",IF($K$5+ROW()-26&gt;$K$6,"",IF(INDEX('Raw Flow Data'!$A:$ZZ,$K$5+ROW()-26+$D$3,MATCH($B$3,'Raw Flow Data'!$1:$1,0))=-999,"",INDEX('Raw Flow Data'!$A:$ZZ,$K$5+ROW()-26+$D$3,MATCH($B$3,'Raw Flow Data'!$1:$1,0))*$C$3))),"")</f>
        <v/>
      </c>
      <c r="C149" s="26">
        <f>IFERROR(IF($B$4="","",IF($K$5+ROW()-26&gt;$K$6,"",IF(INDEX('Raw Flow Data'!$A:$ZZ,$K$5+ROW()-26+$D$4,MATCH($B$4,'Raw Flow Data'!$1:$1,0))=-999,"",INDEX('Raw Flow Data'!$A:$ZZ,$K$5+ROW()-26+$D$4,MATCH($B$4,'Raw Flow Data'!$1:$1,0))*$C$4))),"")</f>
        <v/>
      </c>
      <c r="D149" s="26">
        <f>IFERROR(IF($B$5="","",IF($K$5+ROW()-26&gt;$K$6,"",IF(INDEX('Raw Flow Data'!$A:$ZZ,$K$5+ROW()-26+$D$5,MATCH($B$5,'Raw Flow Data'!$1:$1,0))=-999,"",INDEX('Raw Flow Data'!$A:$ZZ,$K$5+ROW()-26+$D$5,MATCH($B$5,'Raw Flow Data'!$1:$1,0))*$C$5))),"")</f>
        <v/>
      </c>
      <c r="E149" s="26">
        <f>IFERROR(IF($B$6="","",IF($K$5+ROW()-26&gt;$K$6,"",IF(INDEX('Raw Flow Data'!$A:$ZZ,$K$5+ROW()-26+$D$6,MATCH($B$6,'Raw Flow Data'!$1:$1,0))=-999,"",INDEX('Raw Flow Data'!$A:$ZZ,$K$5+ROW()-26+$D$6,MATCH($B$6,'Raw Flow Data'!$1:$1,0))*$C$6))),"")</f>
        <v/>
      </c>
      <c r="F149" s="26">
        <f>IFERROR(IF($B$7="","",IF($K$5+ROW()-26&gt;$K$6,"",IF(INDEX('Raw Flow Data'!$A:$ZZ,$K$5+ROW()-26+$D$7,MATCH($B$7,'Raw Flow Data'!$1:$1,0))=-999,"",INDEX('Raw Flow Data'!$A:$ZZ,$K$5+ROW()-26+$D$7,MATCH($B$7,'Raw Flow Data'!$1:$1,0))*$C$7))),"")</f>
        <v/>
      </c>
      <c r="G149" s="26">
        <f>IFERROR(IF($B$8="","",IF($K$5+ROW()-26&gt;$K$6,"",IF(INDEX('Raw Flow Data'!$A:$ZZ,$K$5+ROW()-26+$D$8,MATCH($B$8,'Raw Flow Data'!$1:$1,0))=-999,"",INDEX('Raw Flow Data'!$A:$ZZ,$K$5+ROW()-26+$D$8,MATCH($B$8,'Raw Flow Data'!$1:$1,0))*$C$8))),"")</f>
        <v/>
      </c>
      <c r="H149" s="26">
        <f>IFERROR(IF($B$9="","",IF($K$5+ROW()-26&gt;$K$6,"",IF(INDEX('Raw Flow Data'!$A:$ZZ,$K$5+ROW()-26+$D$9,MATCH($B$9,'Raw Flow Data'!$1:$1,0))=-999,"",INDEX('Raw Flow Data'!$A:$ZZ,$K$5+ROW()-26+$D$9,MATCH($B$9,'Raw Flow Data'!$1:$1,0))*$C$9))),"")</f>
        <v/>
      </c>
      <c r="I149" s="26">
        <f>IFERROR(IF($B$10="","",IF($K$5+ROW()-26&gt;$K$6,"",IF(INDEX('Raw Flow Data'!$A:$ZZ,$K$5+ROW()-26+$D$10,MATCH($B$10,'Raw Flow Data'!$1:$1,0))=-999,"",INDEX('Raw Flow Data'!$A:$ZZ,$K$5+ROW()-26+$D$10,MATCH($B$10,'Raw Flow Data'!$1:$1,0))*$C$10))),"")</f>
        <v/>
      </c>
      <c r="J149" s="26">
        <f>IFERROR(IF($B$11="","",IF($K$5+ROW()-26&gt;$K$6,"",IF(INDEX('Raw Flow Data'!$A:$ZZ,$K$5+ROW()-26+$D$11,MATCH($B$11,'Raw Flow Data'!$1:$1,0))=-999,"",INDEX('Raw Flow Data'!$A:$ZZ,$K$5+ROW()-26+$D$11,MATCH($B$11,'Raw Flow Data'!$1:$1,0))*$C$11))),"")</f>
        <v/>
      </c>
      <c r="K149" s="26">
        <f>IFERROR(IF($B$12="","",IF($K$5+ROW()-26&gt;$K$6,"",IF(INDEX('Raw Flow Data'!$A:$ZZ,$K$5+ROW()-26+$D$12,MATCH($B$12,'Raw Flow Data'!$1:$1,0))=-999,"",INDEX('Raw Flow Data'!$A:$ZZ,$K$5+ROW()-26+$D$12,MATCH($B$12,'Raw Flow Data'!$1:$1,0))*$C$12))),"")</f>
        <v/>
      </c>
      <c r="L149" s="26">
        <f>IFERROR(IF($F$3="","",IF($K$5+ROW()-26&gt;$K$6,"",IF(INDEX('Raw Pressure Data'!$A:$ZZ,$K$5+ROW()-26+$H$3,MATCH($F$3,'Raw Pressure Data'!$1:$1,0))=-999,"",INDEX('Raw Pressure Data'!$A:$ZZ,$K$5+ROW()-26+$H$3,MATCH($F$3,'Raw Pressure Data'!$1:$1,0))+$G$3))),"")</f>
        <v/>
      </c>
      <c r="M149" s="26">
        <f>IFERROR(IF($F$4="","",IF($K$5+ROW()-26&gt;$K$6,"",IF(INDEX('Raw Pressure Data'!$A:$ZZ,$K$5+ROW()-26+$H$4,MATCH($F$4,'Raw Pressure Data'!$1:$1,0))=-999,"",INDEX('Raw Pressure Data'!$A:$ZZ,$K$5+ROW()-26+$H$4,MATCH($F$4,'Raw Pressure Data'!$1:$1,0))+$G$4))),"")</f>
        <v/>
      </c>
      <c r="N149" s="26">
        <f>IFERROR(IF($F$5="","",IF($K$5+ROW()-26&gt;$K$6,"",IF(INDEX('Raw Pressure Data'!$A:$ZZ,$K$5+ROW()-26+$H$5,MATCH($F$5,'Raw Pressure Data'!$1:$1,0))=-999,"",INDEX('Raw Pressure Data'!$A:$ZZ,$K$5+ROW()-26+$H$5,MATCH($F$5,'Raw Pressure Data'!$1:$1,0))+$G$5))),"")</f>
        <v/>
      </c>
      <c r="O149" s="26">
        <f>IFERROR(IF($F$6="","",IF($K$5+ROW()-26&gt;$K$6,"",IF(INDEX('Raw Pressure Data'!$A:$ZZ,$K$5+ROW()-26+$H$6,MATCH($F$6,'Raw Pressure Data'!$1:$1,0))=-999,"",INDEX('Raw Pressure Data'!$A:$ZZ,$K$5+ROW()-26+$H$6,MATCH($F$6,'Raw Pressure Data'!$1:$1,0))+$G$6))),"")</f>
        <v/>
      </c>
      <c r="P149" s="26">
        <f>IFERROR(IF($F$7="","",IF($K$5+ROW()-26&gt;$K$6,"",IF(INDEX('Raw Pressure Data'!$A:$ZZ,$K$5+ROW()-26+$H$7,MATCH($F$7,'Raw Pressure Data'!$1:$1,0))=-999,"",INDEX('Raw Pressure Data'!$A:$ZZ,$K$5+ROW()-26+$H$7,MATCH($F$7,'Raw Pressure Data'!$1:$1,0))+$G$7))),"")</f>
        <v/>
      </c>
      <c r="Q149" s="26">
        <f>IFERROR(IF($F$8="","",IF($K$5+ROW()-26&gt;$K$6,"",IF(INDEX('Raw Pressure Data'!$A:$ZZ,$K$5+ROW()-26+$H$8,MATCH($F$8,'Raw Pressure Data'!$1:$1,0))=-999,"",INDEX('Raw Pressure Data'!$A:$ZZ,$K$5+ROW()-26+$H$8,MATCH($F$8,'Raw Pressure Data'!$1:$1,0))+$G$8))),"")</f>
        <v/>
      </c>
      <c r="R149" s="26">
        <f>IFERROR(IF($F$9="","",IF($K$5+ROW()-26&gt;$K$6,"",IF(INDEX('Raw Pressure Data'!$A:$ZZ,$K$5+ROW()-26+$H$9,MATCH($F$9,'Raw Pressure Data'!$1:$1,0))=-999,"",INDEX('Raw Pressure Data'!$A:$ZZ,$K$5+ROW()-26+$H$9,MATCH($F$9,'Raw Pressure Data'!$1:$1,0))+$G$9))),"")</f>
        <v/>
      </c>
      <c r="S149" s="26">
        <f>IFERROR(IF($F$10="","",IF($K$5+ROW()-26&gt;$K$6,"",IF(INDEX('Raw Pressure Data'!$A:$ZZ,$K$5+ROW()-26+$H$10,MATCH($F$10,'Raw Pressure Data'!$1:$1,0))=-999,"",INDEX('Raw Pressure Data'!$A:$ZZ,$K$5+ROW()-26+$H$10,MATCH($F$10,'Raw Pressure Data'!$1:$1,0))+$G$10))),"")</f>
        <v/>
      </c>
      <c r="T149" s="26">
        <f>IFERROR(IF($F$11="","",IF($K$5+ROW()-26&gt;$K$6,"",IF(INDEX('Raw Pressure Data'!$A:$ZZ,$K$5+ROW()-26+$H$11,MATCH($F$11,'Raw Pressure Data'!$1:$1,0))=-999,"",INDEX('Raw Pressure Data'!$A:$ZZ,$K$5+ROW()-26+$H$11,MATCH($F$11,'Raw Pressure Data'!$1:$1,0))+$G$11))),"")</f>
        <v/>
      </c>
      <c r="U149" s="26">
        <f>IFERROR(IF($F$12="","",IF($K$5+ROW()-26&gt;$K$6,"",IF(INDEX('Raw Pressure Data'!$A:$ZZ,$K$5+ROW()-26+$H$12,MATCH($F$12,'Raw Pressure Data'!$1:$1,0))=-999,"",INDEX('Raw Pressure Data'!$A:$ZZ,$K$5+ROW()-26+$H$12,MATCH($F$12,'Raw Pressure Data'!$1:$1,0))+$G$12))),"")</f>
        <v/>
      </c>
      <c r="V149" s="26">
        <f>IFERROR(IF($F$13="","",IF($K$5+ROW()-26&gt;$K$6,"",IF(INDEX('Raw Pressure Data'!$A:$ZZ,$K$5+ROW()-26+$H$13,MATCH($F$13,'Raw Pressure Data'!$1:$1,0))=-999,"",INDEX('Raw Pressure Data'!$A:$ZZ,$K$5+ROW()-26+$H$13,MATCH($F$13,'Raw Pressure Data'!$1:$1,0))+$G$13))),"")</f>
        <v/>
      </c>
      <c r="W149" s="26">
        <f>IFERROR(IF($F$14="","",IF($K$5+ROW()-26&gt;$K$6,"",IF(INDEX('Raw Pressure Data'!$A:$ZZ,$K$5+ROW()-26+$H$14,MATCH($F$14,'Raw Pressure Data'!$1:$1,0))=-999,"",INDEX('Raw Pressure Data'!$A:$ZZ,$K$5+ROW()-26+$H$14,MATCH($F$14,'Raw Pressure Data'!$1:$1,0))+$G$14))),"")</f>
        <v/>
      </c>
      <c r="X149" s="26">
        <f>IFERROR(IF($F$15="","",IF($K$5+ROW()-26&gt;$K$6,"",IF(INDEX('Raw Pressure Data'!$A:$ZZ,$K$5+ROW()-26+$H$15,MATCH($F$15,'Raw Pressure Data'!$1:$1,0))=-999,"",INDEX('Raw Pressure Data'!$A:$ZZ,$K$5+ROW()-26+$H$15,MATCH($F$15,'Raw Pressure Data'!$1:$1,0))+$G$15))),"")</f>
        <v/>
      </c>
      <c r="Y149" s="26">
        <f>IFERROR(IF($F$16="","",IF($K$5+ROW()-26&gt;$K$6,"",IF(INDEX('Raw Pressure Data'!$A:$ZZ,$K$5+ROW()-26+$H$16,MATCH($F$16,'Raw Pressure Data'!$1:$1,0))=-999,"",INDEX('Raw Pressure Data'!$A:$ZZ,$K$5+ROW()-26+$H$16,MATCH($F$16,'Raw Pressure Data'!$1:$1,0))+$G$16))),"")</f>
        <v/>
      </c>
      <c r="Z149" s="26">
        <f>IFERROR(IF($F$17="","",IF($K$5+ROW()-26&gt;$K$6,"",IF(INDEX('Raw Pressure Data'!$A:$ZZ,$K$5+ROW()-26+$H$17,MATCH($F$17,'Raw Pressure Data'!$1:$1,0))=-999,"",INDEX('Raw Pressure Data'!$A:$ZZ,$K$5+ROW()-26+$H$17,MATCH($F$17,'Raw Pressure Data'!$1:$1,0))+$G$17))),"")</f>
        <v/>
      </c>
      <c r="AA149" s="26">
        <f>IFERROR(IF($F$18="","",IF($K$5+ROW()-26&gt;$K$6,"",IF(INDEX('Raw Pressure Data'!$A:$ZZ,$K$5+ROW()-26+$H$18,MATCH($F$18,'Raw Pressure Data'!$1:$1,0))=-999,"",INDEX('Raw Pressure Data'!$A:$ZZ,$K$5+ROW()-26+$H$18,MATCH($F$18,'Raw Pressure Data'!$1:$1,0))+$G$18))),"")</f>
        <v/>
      </c>
      <c r="AB149" s="26">
        <f>IFERROR(IF($F$19="","",IF($K$5+ROW()-26&gt;$K$6,"",IF(INDEX('Raw Pressure Data'!$A:$ZZ,$K$5+ROW()-26+$H$19,MATCH($F$19,'Raw Pressure Data'!$1:$1,0))=-999,"",INDEX('Raw Pressure Data'!$A:$ZZ,$K$5+ROW()-26+$H$19,MATCH($F$19,'Raw Pressure Data'!$1:$1,0))+$G$19))),"")</f>
        <v/>
      </c>
      <c r="AC149" s="26">
        <f>IFERROR(IF($F$20="","",IF($K$5+ROW()-26&gt;$K$6,"",IF(INDEX('Raw Pressure Data'!$A:$ZZ,$K$5+ROW()-26+$H$20,MATCH($F$20,'Raw Pressure Data'!$1:$1,0))=-999,"",INDEX('Raw Pressure Data'!$A:$ZZ,$K$5+ROW()-26+$H$20,MATCH($F$20,'Raw Pressure Data'!$1:$1,0))+$G$20))),"")</f>
        <v/>
      </c>
      <c r="AD149" s="26">
        <f>IFERROR(IF($F$21="","",IF($K$5+ROW()-26&gt;$K$6,"",IF(INDEX('Raw Pressure Data'!$A:$ZZ,$K$5+ROW()-26+$H$21,MATCH($F$21,'Raw Pressure Data'!$1:$1,0))=-999,"",INDEX('Raw Pressure Data'!$A:$ZZ,$K$5+ROW()-26+$H$21,MATCH($F$21,'Raw Pressure Data'!$1:$1,0))+$G$21))),"")</f>
        <v/>
      </c>
      <c r="AE149" s="26">
        <f>IFERROR(IF($F$22="","",IF($K$5+ROW()-26&gt;$K$6,"",IF(INDEX('Raw Pressure Data'!$A:$ZZ,$K$5+ROW()-26+$H$22,MATCH($F$22,'Raw Pressure Data'!$1:$1,0))=-999,"",INDEX('Raw Pressure Data'!$A:$ZZ,$K$5+ROW()-26+$H$22,MATCH($F$22,'Raw Pressure Data'!$1:$1,0))+$G$22))),"")</f>
        <v/>
      </c>
    </row>
    <row r="150" ht="15" customHeight="1">
      <c r="A150" s="23">
        <f>IFERROR(IF($K$5+ROW()-26&gt;$K$6,"",IF(INDEX('Raw Flow Data'!$A:$A,$K$5+ROW()-26)="","",INDEX('Raw Flow Data'!$A:$A,$K$5+ROW()-26))),"")</f>
        <v/>
      </c>
      <c r="B150" s="24">
        <f>IFERROR(IF($B$3="","",IF($K$5+ROW()-26&gt;$K$6,"",IF(INDEX('Raw Flow Data'!$A:$ZZ,$K$5+ROW()-26+$D$3,MATCH($B$3,'Raw Flow Data'!$1:$1,0))=-999,"",INDEX('Raw Flow Data'!$A:$ZZ,$K$5+ROW()-26+$D$3,MATCH($B$3,'Raw Flow Data'!$1:$1,0))*$C$3))),"")</f>
        <v/>
      </c>
      <c r="C150" s="24">
        <f>IFERROR(IF($B$4="","",IF($K$5+ROW()-26&gt;$K$6,"",IF(INDEX('Raw Flow Data'!$A:$ZZ,$K$5+ROW()-26+$D$4,MATCH($B$4,'Raw Flow Data'!$1:$1,0))=-999,"",INDEX('Raw Flow Data'!$A:$ZZ,$K$5+ROW()-26+$D$4,MATCH($B$4,'Raw Flow Data'!$1:$1,0))*$C$4))),"")</f>
        <v/>
      </c>
      <c r="D150" s="24">
        <f>IFERROR(IF($B$5="","",IF($K$5+ROW()-26&gt;$K$6,"",IF(INDEX('Raw Flow Data'!$A:$ZZ,$K$5+ROW()-26+$D$5,MATCH($B$5,'Raw Flow Data'!$1:$1,0))=-999,"",INDEX('Raw Flow Data'!$A:$ZZ,$K$5+ROW()-26+$D$5,MATCH($B$5,'Raw Flow Data'!$1:$1,0))*$C$5))),"")</f>
        <v/>
      </c>
      <c r="E150" s="24">
        <f>IFERROR(IF($B$6="","",IF($K$5+ROW()-26&gt;$K$6,"",IF(INDEX('Raw Flow Data'!$A:$ZZ,$K$5+ROW()-26+$D$6,MATCH($B$6,'Raw Flow Data'!$1:$1,0))=-999,"",INDEX('Raw Flow Data'!$A:$ZZ,$K$5+ROW()-26+$D$6,MATCH($B$6,'Raw Flow Data'!$1:$1,0))*$C$6))),"")</f>
        <v/>
      </c>
      <c r="F150" s="24">
        <f>IFERROR(IF($B$7="","",IF($K$5+ROW()-26&gt;$K$6,"",IF(INDEX('Raw Flow Data'!$A:$ZZ,$K$5+ROW()-26+$D$7,MATCH($B$7,'Raw Flow Data'!$1:$1,0))=-999,"",INDEX('Raw Flow Data'!$A:$ZZ,$K$5+ROW()-26+$D$7,MATCH($B$7,'Raw Flow Data'!$1:$1,0))*$C$7))),"")</f>
        <v/>
      </c>
      <c r="G150" s="24">
        <f>IFERROR(IF($B$8="","",IF($K$5+ROW()-26&gt;$K$6,"",IF(INDEX('Raw Flow Data'!$A:$ZZ,$K$5+ROW()-26+$D$8,MATCH($B$8,'Raw Flow Data'!$1:$1,0))=-999,"",INDEX('Raw Flow Data'!$A:$ZZ,$K$5+ROW()-26+$D$8,MATCH($B$8,'Raw Flow Data'!$1:$1,0))*$C$8))),"")</f>
        <v/>
      </c>
      <c r="H150" s="24">
        <f>IFERROR(IF($B$9="","",IF($K$5+ROW()-26&gt;$K$6,"",IF(INDEX('Raw Flow Data'!$A:$ZZ,$K$5+ROW()-26+$D$9,MATCH($B$9,'Raw Flow Data'!$1:$1,0))=-999,"",INDEX('Raw Flow Data'!$A:$ZZ,$K$5+ROW()-26+$D$9,MATCH($B$9,'Raw Flow Data'!$1:$1,0))*$C$9))),"")</f>
        <v/>
      </c>
      <c r="I150" s="24">
        <f>IFERROR(IF($B$10="","",IF($K$5+ROW()-26&gt;$K$6,"",IF(INDEX('Raw Flow Data'!$A:$ZZ,$K$5+ROW()-26+$D$10,MATCH($B$10,'Raw Flow Data'!$1:$1,0))=-999,"",INDEX('Raw Flow Data'!$A:$ZZ,$K$5+ROW()-26+$D$10,MATCH($B$10,'Raw Flow Data'!$1:$1,0))*$C$10))),"")</f>
        <v/>
      </c>
      <c r="J150" s="24">
        <f>IFERROR(IF($B$11="","",IF($K$5+ROW()-26&gt;$K$6,"",IF(INDEX('Raw Flow Data'!$A:$ZZ,$K$5+ROW()-26+$D$11,MATCH($B$11,'Raw Flow Data'!$1:$1,0))=-999,"",INDEX('Raw Flow Data'!$A:$ZZ,$K$5+ROW()-26+$D$11,MATCH($B$11,'Raw Flow Data'!$1:$1,0))*$C$11))),"")</f>
        <v/>
      </c>
      <c r="K150" s="24">
        <f>IFERROR(IF($B$12="","",IF($K$5+ROW()-26&gt;$K$6,"",IF(INDEX('Raw Flow Data'!$A:$ZZ,$K$5+ROW()-26+$D$12,MATCH($B$12,'Raw Flow Data'!$1:$1,0))=-999,"",INDEX('Raw Flow Data'!$A:$ZZ,$K$5+ROW()-26+$D$12,MATCH($B$12,'Raw Flow Data'!$1:$1,0))*$C$12))),"")</f>
        <v/>
      </c>
      <c r="L150" s="24">
        <f>IFERROR(IF($F$3="","",IF($K$5+ROW()-26&gt;$K$6,"",IF(INDEX('Raw Pressure Data'!$A:$ZZ,$K$5+ROW()-26+$H$3,MATCH($F$3,'Raw Pressure Data'!$1:$1,0))=-999,"",INDEX('Raw Pressure Data'!$A:$ZZ,$K$5+ROW()-26+$H$3,MATCH($F$3,'Raw Pressure Data'!$1:$1,0))+$G$3))),"")</f>
        <v/>
      </c>
      <c r="M150" s="24">
        <f>IFERROR(IF($F$4="","",IF($K$5+ROW()-26&gt;$K$6,"",IF(INDEX('Raw Pressure Data'!$A:$ZZ,$K$5+ROW()-26+$H$4,MATCH($F$4,'Raw Pressure Data'!$1:$1,0))=-999,"",INDEX('Raw Pressure Data'!$A:$ZZ,$K$5+ROW()-26+$H$4,MATCH($F$4,'Raw Pressure Data'!$1:$1,0))+$G$4))),"")</f>
        <v/>
      </c>
      <c r="N150" s="24">
        <f>IFERROR(IF($F$5="","",IF($K$5+ROW()-26&gt;$K$6,"",IF(INDEX('Raw Pressure Data'!$A:$ZZ,$K$5+ROW()-26+$H$5,MATCH($F$5,'Raw Pressure Data'!$1:$1,0))=-999,"",INDEX('Raw Pressure Data'!$A:$ZZ,$K$5+ROW()-26+$H$5,MATCH($F$5,'Raw Pressure Data'!$1:$1,0))+$G$5))),"")</f>
        <v/>
      </c>
      <c r="O150" s="24">
        <f>IFERROR(IF($F$6="","",IF($K$5+ROW()-26&gt;$K$6,"",IF(INDEX('Raw Pressure Data'!$A:$ZZ,$K$5+ROW()-26+$H$6,MATCH($F$6,'Raw Pressure Data'!$1:$1,0))=-999,"",INDEX('Raw Pressure Data'!$A:$ZZ,$K$5+ROW()-26+$H$6,MATCH($F$6,'Raw Pressure Data'!$1:$1,0))+$G$6))),"")</f>
        <v/>
      </c>
      <c r="P150" s="24">
        <f>IFERROR(IF($F$7="","",IF($K$5+ROW()-26&gt;$K$6,"",IF(INDEX('Raw Pressure Data'!$A:$ZZ,$K$5+ROW()-26+$H$7,MATCH($F$7,'Raw Pressure Data'!$1:$1,0))=-999,"",INDEX('Raw Pressure Data'!$A:$ZZ,$K$5+ROW()-26+$H$7,MATCH($F$7,'Raw Pressure Data'!$1:$1,0))+$G$7))),"")</f>
        <v/>
      </c>
      <c r="Q150" s="24">
        <f>IFERROR(IF($F$8="","",IF($K$5+ROW()-26&gt;$K$6,"",IF(INDEX('Raw Pressure Data'!$A:$ZZ,$K$5+ROW()-26+$H$8,MATCH($F$8,'Raw Pressure Data'!$1:$1,0))=-999,"",INDEX('Raw Pressure Data'!$A:$ZZ,$K$5+ROW()-26+$H$8,MATCH($F$8,'Raw Pressure Data'!$1:$1,0))+$G$8))),"")</f>
        <v/>
      </c>
      <c r="R150" s="24">
        <f>IFERROR(IF($F$9="","",IF($K$5+ROW()-26&gt;$K$6,"",IF(INDEX('Raw Pressure Data'!$A:$ZZ,$K$5+ROW()-26+$H$9,MATCH($F$9,'Raw Pressure Data'!$1:$1,0))=-999,"",INDEX('Raw Pressure Data'!$A:$ZZ,$K$5+ROW()-26+$H$9,MATCH($F$9,'Raw Pressure Data'!$1:$1,0))+$G$9))),"")</f>
        <v/>
      </c>
      <c r="S150" s="24">
        <f>IFERROR(IF($F$10="","",IF($K$5+ROW()-26&gt;$K$6,"",IF(INDEX('Raw Pressure Data'!$A:$ZZ,$K$5+ROW()-26+$H$10,MATCH($F$10,'Raw Pressure Data'!$1:$1,0))=-999,"",INDEX('Raw Pressure Data'!$A:$ZZ,$K$5+ROW()-26+$H$10,MATCH($F$10,'Raw Pressure Data'!$1:$1,0))+$G$10))),"")</f>
        <v/>
      </c>
      <c r="T150" s="24">
        <f>IFERROR(IF($F$11="","",IF($K$5+ROW()-26&gt;$K$6,"",IF(INDEX('Raw Pressure Data'!$A:$ZZ,$K$5+ROW()-26+$H$11,MATCH($F$11,'Raw Pressure Data'!$1:$1,0))=-999,"",INDEX('Raw Pressure Data'!$A:$ZZ,$K$5+ROW()-26+$H$11,MATCH($F$11,'Raw Pressure Data'!$1:$1,0))+$G$11))),"")</f>
        <v/>
      </c>
      <c r="U150" s="24">
        <f>IFERROR(IF($F$12="","",IF($K$5+ROW()-26&gt;$K$6,"",IF(INDEX('Raw Pressure Data'!$A:$ZZ,$K$5+ROW()-26+$H$12,MATCH($F$12,'Raw Pressure Data'!$1:$1,0))=-999,"",INDEX('Raw Pressure Data'!$A:$ZZ,$K$5+ROW()-26+$H$12,MATCH($F$12,'Raw Pressure Data'!$1:$1,0))+$G$12))),"")</f>
        <v/>
      </c>
      <c r="V150" s="24">
        <f>IFERROR(IF($F$13="","",IF($K$5+ROW()-26&gt;$K$6,"",IF(INDEX('Raw Pressure Data'!$A:$ZZ,$K$5+ROW()-26+$H$13,MATCH($F$13,'Raw Pressure Data'!$1:$1,0))=-999,"",INDEX('Raw Pressure Data'!$A:$ZZ,$K$5+ROW()-26+$H$13,MATCH($F$13,'Raw Pressure Data'!$1:$1,0))+$G$13))),"")</f>
        <v/>
      </c>
      <c r="W150" s="24">
        <f>IFERROR(IF($F$14="","",IF($K$5+ROW()-26&gt;$K$6,"",IF(INDEX('Raw Pressure Data'!$A:$ZZ,$K$5+ROW()-26+$H$14,MATCH($F$14,'Raw Pressure Data'!$1:$1,0))=-999,"",INDEX('Raw Pressure Data'!$A:$ZZ,$K$5+ROW()-26+$H$14,MATCH($F$14,'Raw Pressure Data'!$1:$1,0))+$G$14))),"")</f>
        <v/>
      </c>
      <c r="X150" s="24">
        <f>IFERROR(IF($F$15="","",IF($K$5+ROW()-26&gt;$K$6,"",IF(INDEX('Raw Pressure Data'!$A:$ZZ,$K$5+ROW()-26+$H$15,MATCH($F$15,'Raw Pressure Data'!$1:$1,0))=-999,"",INDEX('Raw Pressure Data'!$A:$ZZ,$K$5+ROW()-26+$H$15,MATCH($F$15,'Raw Pressure Data'!$1:$1,0))+$G$15))),"")</f>
        <v/>
      </c>
      <c r="Y150" s="24">
        <f>IFERROR(IF($F$16="","",IF($K$5+ROW()-26&gt;$K$6,"",IF(INDEX('Raw Pressure Data'!$A:$ZZ,$K$5+ROW()-26+$H$16,MATCH($F$16,'Raw Pressure Data'!$1:$1,0))=-999,"",INDEX('Raw Pressure Data'!$A:$ZZ,$K$5+ROW()-26+$H$16,MATCH($F$16,'Raw Pressure Data'!$1:$1,0))+$G$16))),"")</f>
        <v/>
      </c>
      <c r="Z150" s="24">
        <f>IFERROR(IF($F$17="","",IF($K$5+ROW()-26&gt;$K$6,"",IF(INDEX('Raw Pressure Data'!$A:$ZZ,$K$5+ROW()-26+$H$17,MATCH($F$17,'Raw Pressure Data'!$1:$1,0))=-999,"",INDEX('Raw Pressure Data'!$A:$ZZ,$K$5+ROW()-26+$H$17,MATCH($F$17,'Raw Pressure Data'!$1:$1,0))+$G$17))),"")</f>
        <v/>
      </c>
      <c r="AA150" s="24">
        <f>IFERROR(IF($F$18="","",IF($K$5+ROW()-26&gt;$K$6,"",IF(INDEX('Raw Pressure Data'!$A:$ZZ,$K$5+ROW()-26+$H$18,MATCH($F$18,'Raw Pressure Data'!$1:$1,0))=-999,"",INDEX('Raw Pressure Data'!$A:$ZZ,$K$5+ROW()-26+$H$18,MATCH($F$18,'Raw Pressure Data'!$1:$1,0))+$G$18))),"")</f>
        <v/>
      </c>
      <c r="AB150" s="24">
        <f>IFERROR(IF($F$19="","",IF($K$5+ROW()-26&gt;$K$6,"",IF(INDEX('Raw Pressure Data'!$A:$ZZ,$K$5+ROW()-26+$H$19,MATCH($F$19,'Raw Pressure Data'!$1:$1,0))=-999,"",INDEX('Raw Pressure Data'!$A:$ZZ,$K$5+ROW()-26+$H$19,MATCH($F$19,'Raw Pressure Data'!$1:$1,0))+$G$19))),"")</f>
        <v/>
      </c>
      <c r="AC150" s="24">
        <f>IFERROR(IF($F$20="","",IF($K$5+ROW()-26&gt;$K$6,"",IF(INDEX('Raw Pressure Data'!$A:$ZZ,$K$5+ROW()-26+$H$20,MATCH($F$20,'Raw Pressure Data'!$1:$1,0))=-999,"",INDEX('Raw Pressure Data'!$A:$ZZ,$K$5+ROW()-26+$H$20,MATCH($F$20,'Raw Pressure Data'!$1:$1,0))+$G$20))),"")</f>
        <v/>
      </c>
      <c r="AD150" s="24">
        <f>IFERROR(IF($F$21="","",IF($K$5+ROW()-26&gt;$K$6,"",IF(INDEX('Raw Pressure Data'!$A:$ZZ,$K$5+ROW()-26+$H$21,MATCH($F$21,'Raw Pressure Data'!$1:$1,0))=-999,"",INDEX('Raw Pressure Data'!$A:$ZZ,$K$5+ROW()-26+$H$21,MATCH($F$21,'Raw Pressure Data'!$1:$1,0))+$G$21))),"")</f>
        <v/>
      </c>
      <c r="AE150" s="24">
        <f>IFERROR(IF($F$22="","",IF($K$5+ROW()-26&gt;$K$6,"",IF(INDEX('Raw Pressure Data'!$A:$ZZ,$K$5+ROW()-26+$H$22,MATCH($F$22,'Raw Pressure Data'!$1:$1,0))=-999,"",INDEX('Raw Pressure Data'!$A:$ZZ,$K$5+ROW()-26+$H$22,MATCH($F$22,'Raw Pressure Data'!$1:$1,0))+$G$22))),"")</f>
        <v/>
      </c>
    </row>
    <row r="151" ht="15" customHeight="1">
      <c r="A151" s="25">
        <f>IFERROR(IF($K$5+ROW()-26&gt;$K$6,"",IF(INDEX('Raw Flow Data'!$A:$A,$K$5+ROW()-26)="","",INDEX('Raw Flow Data'!$A:$A,$K$5+ROW()-26))),"")</f>
        <v/>
      </c>
      <c r="B151" s="26">
        <f>IFERROR(IF($B$3="","",IF($K$5+ROW()-26&gt;$K$6,"",IF(INDEX('Raw Flow Data'!$A:$ZZ,$K$5+ROW()-26+$D$3,MATCH($B$3,'Raw Flow Data'!$1:$1,0))=-999,"",INDEX('Raw Flow Data'!$A:$ZZ,$K$5+ROW()-26+$D$3,MATCH($B$3,'Raw Flow Data'!$1:$1,0))*$C$3))),"")</f>
        <v/>
      </c>
      <c r="C151" s="26">
        <f>IFERROR(IF($B$4="","",IF($K$5+ROW()-26&gt;$K$6,"",IF(INDEX('Raw Flow Data'!$A:$ZZ,$K$5+ROW()-26+$D$4,MATCH($B$4,'Raw Flow Data'!$1:$1,0))=-999,"",INDEX('Raw Flow Data'!$A:$ZZ,$K$5+ROW()-26+$D$4,MATCH($B$4,'Raw Flow Data'!$1:$1,0))*$C$4))),"")</f>
        <v/>
      </c>
      <c r="D151" s="26">
        <f>IFERROR(IF($B$5="","",IF($K$5+ROW()-26&gt;$K$6,"",IF(INDEX('Raw Flow Data'!$A:$ZZ,$K$5+ROW()-26+$D$5,MATCH($B$5,'Raw Flow Data'!$1:$1,0))=-999,"",INDEX('Raw Flow Data'!$A:$ZZ,$K$5+ROW()-26+$D$5,MATCH($B$5,'Raw Flow Data'!$1:$1,0))*$C$5))),"")</f>
        <v/>
      </c>
      <c r="E151" s="26">
        <f>IFERROR(IF($B$6="","",IF($K$5+ROW()-26&gt;$K$6,"",IF(INDEX('Raw Flow Data'!$A:$ZZ,$K$5+ROW()-26+$D$6,MATCH($B$6,'Raw Flow Data'!$1:$1,0))=-999,"",INDEX('Raw Flow Data'!$A:$ZZ,$K$5+ROW()-26+$D$6,MATCH($B$6,'Raw Flow Data'!$1:$1,0))*$C$6))),"")</f>
        <v/>
      </c>
      <c r="F151" s="26">
        <f>IFERROR(IF($B$7="","",IF($K$5+ROW()-26&gt;$K$6,"",IF(INDEX('Raw Flow Data'!$A:$ZZ,$K$5+ROW()-26+$D$7,MATCH($B$7,'Raw Flow Data'!$1:$1,0))=-999,"",INDEX('Raw Flow Data'!$A:$ZZ,$K$5+ROW()-26+$D$7,MATCH($B$7,'Raw Flow Data'!$1:$1,0))*$C$7))),"")</f>
        <v/>
      </c>
      <c r="G151" s="26">
        <f>IFERROR(IF($B$8="","",IF($K$5+ROW()-26&gt;$K$6,"",IF(INDEX('Raw Flow Data'!$A:$ZZ,$K$5+ROW()-26+$D$8,MATCH($B$8,'Raw Flow Data'!$1:$1,0))=-999,"",INDEX('Raw Flow Data'!$A:$ZZ,$K$5+ROW()-26+$D$8,MATCH($B$8,'Raw Flow Data'!$1:$1,0))*$C$8))),"")</f>
        <v/>
      </c>
      <c r="H151" s="26">
        <f>IFERROR(IF($B$9="","",IF($K$5+ROW()-26&gt;$K$6,"",IF(INDEX('Raw Flow Data'!$A:$ZZ,$K$5+ROW()-26+$D$9,MATCH($B$9,'Raw Flow Data'!$1:$1,0))=-999,"",INDEX('Raw Flow Data'!$A:$ZZ,$K$5+ROW()-26+$D$9,MATCH($B$9,'Raw Flow Data'!$1:$1,0))*$C$9))),"")</f>
        <v/>
      </c>
      <c r="I151" s="26">
        <f>IFERROR(IF($B$10="","",IF($K$5+ROW()-26&gt;$K$6,"",IF(INDEX('Raw Flow Data'!$A:$ZZ,$K$5+ROW()-26+$D$10,MATCH($B$10,'Raw Flow Data'!$1:$1,0))=-999,"",INDEX('Raw Flow Data'!$A:$ZZ,$K$5+ROW()-26+$D$10,MATCH($B$10,'Raw Flow Data'!$1:$1,0))*$C$10))),"")</f>
        <v/>
      </c>
      <c r="J151" s="26">
        <f>IFERROR(IF($B$11="","",IF($K$5+ROW()-26&gt;$K$6,"",IF(INDEX('Raw Flow Data'!$A:$ZZ,$K$5+ROW()-26+$D$11,MATCH($B$11,'Raw Flow Data'!$1:$1,0))=-999,"",INDEX('Raw Flow Data'!$A:$ZZ,$K$5+ROW()-26+$D$11,MATCH($B$11,'Raw Flow Data'!$1:$1,0))*$C$11))),"")</f>
        <v/>
      </c>
      <c r="K151" s="26">
        <f>IFERROR(IF($B$12="","",IF($K$5+ROW()-26&gt;$K$6,"",IF(INDEX('Raw Flow Data'!$A:$ZZ,$K$5+ROW()-26+$D$12,MATCH($B$12,'Raw Flow Data'!$1:$1,0))=-999,"",INDEX('Raw Flow Data'!$A:$ZZ,$K$5+ROW()-26+$D$12,MATCH($B$12,'Raw Flow Data'!$1:$1,0))*$C$12))),"")</f>
        <v/>
      </c>
      <c r="L151" s="26">
        <f>IFERROR(IF($F$3="","",IF($K$5+ROW()-26&gt;$K$6,"",IF(INDEX('Raw Pressure Data'!$A:$ZZ,$K$5+ROW()-26+$H$3,MATCH($F$3,'Raw Pressure Data'!$1:$1,0))=-999,"",INDEX('Raw Pressure Data'!$A:$ZZ,$K$5+ROW()-26+$H$3,MATCH($F$3,'Raw Pressure Data'!$1:$1,0))+$G$3))),"")</f>
        <v/>
      </c>
      <c r="M151" s="26">
        <f>IFERROR(IF($F$4="","",IF($K$5+ROW()-26&gt;$K$6,"",IF(INDEX('Raw Pressure Data'!$A:$ZZ,$K$5+ROW()-26+$H$4,MATCH($F$4,'Raw Pressure Data'!$1:$1,0))=-999,"",INDEX('Raw Pressure Data'!$A:$ZZ,$K$5+ROW()-26+$H$4,MATCH($F$4,'Raw Pressure Data'!$1:$1,0))+$G$4))),"")</f>
        <v/>
      </c>
      <c r="N151" s="26">
        <f>IFERROR(IF($F$5="","",IF($K$5+ROW()-26&gt;$K$6,"",IF(INDEX('Raw Pressure Data'!$A:$ZZ,$K$5+ROW()-26+$H$5,MATCH($F$5,'Raw Pressure Data'!$1:$1,0))=-999,"",INDEX('Raw Pressure Data'!$A:$ZZ,$K$5+ROW()-26+$H$5,MATCH($F$5,'Raw Pressure Data'!$1:$1,0))+$G$5))),"")</f>
        <v/>
      </c>
      <c r="O151" s="26">
        <f>IFERROR(IF($F$6="","",IF($K$5+ROW()-26&gt;$K$6,"",IF(INDEX('Raw Pressure Data'!$A:$ZZ,$K$5+ROW()-26+$H$6,MATCH($F$6,'Raw Pressure Data'!$1:$1,0))=-999,"",INDEX('Raw Pressure Data'!$A:$ZZ,$K$5+ROW()-26+$H$6,MATCH($F$6,'Raw Pressure Data'!$1:$1,0))+$G$6))),"")</f>
        <v/>
      </c>
      <c r="P151" s="26">
        <f>IFERROR(IF($F$7="","",IF($K$5+ROW()-26&gt;$K$6,"",IF(INDEX('Raw Pressure Data'!$A:$ZZ,$K$5+ROW()-26+$H$7,MATCH($F$7,'Raw Pressure Data'!$1:$1,0))=-999,"",INDEX('Raw Pressure Data'!$A:$ZZ,$K$5+ROW()-26+$H$7,MATCH($F$7,'Raw Pressure Data'!$1:$1,0))+$G$7))),"")</f>
        <v/>
      </c>
      <c r="Q151" s="26">
        <f>IFERROR(IF($F$8="","",IF($K$5+ROW()-26&gt;$K$6,"",IF(INDEX('Raw Pressure Data'!$A:$ZZ,$K$5+ROW()-26+$H$8,MATCH($F$8,'Raw Pressure Data'!$1:$1,0))=-999,"",INDEX('Raw Pressure Data'!$A:$ZZ,$K$5+ROW()-26+$H$8,MATCH($F$8,'Raw Pressure Data'!$1:$1,0))+$G$8))),"")</f>
        <v/>
      </c>
      <c r="R151" s="26">
        <f>IFERROR(IF($F$9="","",IF($K$5+ROW()-26&gt;$K$6,"",IF(INDEX('Raw Pressure Data'!$A:$ZZ,$K$5+ROW()-26+$H$9,MATCH($F$9,'Raw Pressure Data'!$1:$1,0))=-999,"",INDEX('Raw Pressure Data'!$A:$ZZ,$K$5+ROW()-26+$H$9,MATCH($F$9,'Raw Pressure Data'!$1:$1,0))+$G$9))),"")</f>
        <v/>
      </c>
      <c r="S151" s="26">
        <f>IFERROR(IF($F$10="","",IF($K$5+ROW()-26&gt;$K$6,"",IF(INDEX('Raw Pressure Data'!$A:$ZZ,$K$5+ROW()-26+$H$10,MATCH($F$10,'Raw Pressure Data'!$1:$1,0))=-999,"",INDEX('Raw Pressure Data'!$A:$ZZ,$K$5+ROW()-26+$H$10,MATCH($F$10,'Raw Pressure Data'!$1:$1,0))+$G$10))),"")</f>
        <v/>
      </c>
      <c r="T151" s="26">
        <f>IFERROR(IF($F$11="","",IF($K$5+ROW()-26&gt;$K$6,"",IF(INDEX('Raw Pressure Data'!$A:$ZZ,$K$5+ROW()-26+$H$11,MATCH($F$11,'Raw Pressure Data'!$1:$1,0))=-999,"",INDEX('Raw Pressure Data'!$A:$ZZ,$K$5+ROW()-26+$H$11,MATCH($F$11,'Raw Pressure Data'!$1:$1,0))+$G$11))),"")</f>
        <v/>
      </c>
      <c r="U151" s="26">
        <f>IFERROR(IF($F$12="","",IF($K$5+ROW()-26&gt;$K$6,"",IF(INDEX('Raw Pressure Data'!$A:$ZZ,$K$5+ROW()-26+$H$12,MATCH($F$12,'Raw Pressure Data'!$1:$1,0))=-999,"",INDEX('Raw Pressure Data'!$A:$ZZ,$K$5+ROW()-26+$H$12,MATCH($F$12,'Raw Pressure Data'!$1:$1,0))+$G$12))),"")</f>
        <v/>
      </c>
      <c r="V151" s="26">
        <f>IFERROR(IF($F$13="","",IF($K$5+ROW()-26&gt;$K$6,"",IF(INDEX('Raw Pressure Data'!$A:$ZZ,$K$5+ROW()-26+$H$13,MATCH($F$13,'Raw Pressure Data'!$1:$1,0))=-999,"",INDEX('Raw Pressure Data'!$A:$ZZ,$K$5+ROW()-26+$H$13,MATCH($F$13,'Raw Pressure Data'!$1:$1,0))+$G$13))),"")</f>
        <v/>
      </c>
      <c r="W151" s="26">
        <f>IFERROR(IF($F$14="","",IF($K$5+ROW()-26&gt;$K$6,"",IF(INDEX('Raw Pressure Data'!$A:$ZZ,$K$5+ROW()-26+$H$14,MATCH($F$14,'Raw Pressure Data'!$1:$1,0))=-999,"",INDEX('Raw Pressure Data'!$A:$ZZ,$K$5+ROW()-26+$H$14,MATCH($F$14,'Raw Pressure Data'!$1:$1,0))+$G$14))),"")</f>
        <v/>
      </c>
      <c r="X151" s="26">
        <f>IFERROR(IF($F$15="","",IF($K$5+ROW()-26&gt;$K$6,"",IF(INDEX('Raw Pressure Data'!$A:$ZZ,$K$5+ROW()-26+$H$15,MATCH($F$15,'Raw Pressure Data'!$1:$1,0))=-999,"",INDEX('Raw Pressure Data'!$A:$ZZ,$K$5+ROW()-26+$H$15,MATCH($F$15,'Raw Pressure Data'!$1:$1,0))+$G$15))),"")</f>
        <v/>
      </c>
      <c r="Y151" s="26">
        <f>IFERROR(IF($F$16="","",IF($K$5+ROW()-26&gt;$K$6,"",IF(INDEX('Raw Pressure Data'!$A:$ZZ,$K$5+ROW()-26+$H$16,MATCH($F$16,'Raw Pressure Data'!$1:$1,0))=-999,"",INDEX('Raw Pressure Data'!$A:$ZZ,$K$5+ROW()-26+$H$16,MATCH($F$16,'Raw Pressure Data'!$1:$1,0))+$G$16))),"")</f>
        <v/>
      </c>
      <c r="Z151" s="26">
        <f>IFERROR(IF($F$17="","",IF($K$5+ROW()-26&gt;$K$6,"",IF(INDEX('Raw Pressure Data'!$A:$ZZ,$K$5+ROW()-26+$H$17,MATCH($F$17,'Raw Pressure Data'!$1:$1,0))=-999,"",INDEX('Raw Pressure Data'!$A:$ZZ,$K$5+ROW()-26+$H$17,MATCH($F$17,'Raw Pressure Data'!$1:$1,0))+$G$17))),"")</f>
        <v/>
      </c>
      <c r="AA151" s="26">
        <f>IFERROR(IF($F$18="","",IF($K$5+ROW()-26&gt;$K$6,"",IF(INDEX('Raw Pressure Data'!$A:$ZZ,$K$5+ROW()-26+$H$18,MATCH($F$18,'Raw Pressure Data'!$1:$1,0))=-999,"",INDEX('Raw Pressure Data'!$A:$ZZ,$K$5+ROW()-26+$H$18,MATCH($F$18,'Raw Pressure Data'!$1:$1,0))+$G$18))),"")</f>
        <v/>
      </c>
      <c r="AB151" s="26">
        <f>IFERROR(IF($F$19="","",IF($K$5+ROW()-26&gt;$K$6,"",IF(INDEX('Raw Pressure Data'!$A:$ZZ,$K$5+ROW()-26+$H$19,MATCH($F$19,'Raw Pressure Data'!$1:$1,0))=-999,"",INDEX('Raw Pressure Data'!$A:$ZZ,$K$5+ROW()-26+$H$19,MATCH($F$19,'Raw Pressure Data'!$1:$1,0))+$G$19))),"")</f>
        <v/>
      </c>
      <c r="AC151" s="26">
        <f>IFERROR(IF($F$20="","",IF($K$5+ROW()-26&gt;$K$6,"",IF(INDEX('Raw Pressure Data'!$A:$ZZ,$K$5+ROW()-26+$H$20,MATCH($F$20,'Raw Pressure Data'!$1:$1,0))=-999,"",INDEX('Raw Pressure Data'!$A:$ZZ,$K$5+ROW()-26+$H$20,MATCH($F$20,'Raw Pressure Data'!$1:$1,0))+$G$20))),"")</f>
        <v/>
      </c>
      <c r="AD151" s="26">
        <f>IFERROR(IF($F$21="","",IF($K$5+ROW()-26&gt;$K$6,"",IF(INDEX('Raw Pressure Data'!$A:$ZZ,$K$5+ROW()-26+$H$21,MATCH($F$21,'Raw Pressure Data'!$1:$1,0))=-999,"",INDEX('Raw Pressure Data'!$A:$ZZ,$K$5+ROW()-26+$H$21,MATCH($F$21,'Raw Pressure Data'!$1:$1,0))+$G$21))),"")</f>
        <v/>
      </c>
      <c r="AE151" s="26">
        <f>IFERROR(IF($F$22="","",IF($K$5+ROW()-26&gt;$K$6,"",IF(INDEX('Raw Pressure Data'!$A:$ZZ,$K$5+ROW()-26+$H$22,MATCH($F$22,'Raw Pressure Data'!$1:$1,0))=-999,"",INDEX('Raw Pressure Data'!$A:$ZZ,$K$5+ROW()-26+$H$22,MATCH($F$22,'Raw Pressure Data'!$1:$1,0))+$G$22))),"")</f>
        <v/>
      </c>
    </row>
    <row r="152" ht="15" customHeight="1">
      <c r="A152" s="23">
        <f>IFERROR(IF($K$5+ROW()-26&gt;$K$6,"",IF(INDEX('Raw Flow Data'!$A:$A,$K$5+ROW()-26)="","",INDEX('Raw Flow Data'!$A:$A,$K$5+ROW()-26))),"")</f>
        <v/>
      </c>
      <c r="B152" s="24">
        <f>IFERROR(IF($B$3="","",IF($K$5+ROW()-26&gt;$K$6,"",IF(INDEX('Raw Flow Data'!$A:$ZZ,$K$5+ROW()-26+$D$3,MATCH($B$3,'Raw Flow Data'!$1:$1,0))=-999,"",INDEX('Raw Flow Data'!$A:$ZZ,$K$5+ROW()-26+$D$3,MATCH($B$3,'Raw Flow Data'!$1:$1,0))*$C$3))),"")</f>
        <v/>
      </c>
      <c r="C152" s="24">
        <f>IFERROR(IF($B$4="","",IF($K$5+ROW()-26&gt;$K$6,"",IF(INDEX('Raw Flow Data'!$A:$ZZ,$K$5+ROW()-26+$D$4,MATCH($B$4,'Raw Flow Data'!$1:$1,0))=-999,"",INDEX('Raw Flow Data'!$A:$ZZ,$K$5+ROW()-26+$D$4,MATCH($B$4,'Raw Flow Data'!$1:$1,0))*$C$4))),"")</f>
        <v/>
      </c>
      <c r="D152" s="24">
        <f>IFERROR(IF($B$5="","",IF($K$5+ROW()-26&gt;$K$6,"",IF(INDEX('Raw Flow Data'!$A:$ZZ,$K$5+ROW()-26+$D$5,MATCH($B$5,'Raw Flow Data'!$1:$1,0))=-999,"",INDEX('Raw Flow Data'!$A:$ZZ,$K$5+ROW()-26+$D$5,MATCH($B$5,'Raw Flow Data'!$1:$1,0))*$C$5))),"")</f>
        <v/>
      </c>
      <c r="E152" s="24">
        <f>IFERROR(IF($B$6="","",IF($K$5+ROW()-26&gt;$K$6,"",IF(INDEX('Raw Flow Data'!$A:$ZZ,$K$5+ROW()-26+$D$6,MATCH($B$6,'Raw Flow Data'!$1:$1,0))=-999,"",INDEX('Raw Flow Data'!$A:$ZZ,$K$5+ROW()-26+$D$6,MATCH($B$6,'Raw Flow Data'!$1:$1,0))*$C$6))),"")</f>
        <v/>
      </c>
      <c r="F152" s="24">
        <f>IFERROR(IF($B$7="","",IF($K$5+ROW()-26&gt;$K$6,"",IF(INDEX('Raw Flow Data'!$A:$ZZ,$K$5+ROW()-26+$D$7,MATCH($B$7,'Raw Flow Data'!$1:$1,0))=-999,"",INDEX('Raw Flow Data'!$A:$ZZ,$K$5+ROW()-26+$D$7,MATCH($B$7,'Raw Flow Data'!$1:$1,0))*$C$7))),"")</f>
        <v/>
      </c>
      <c r="G152" s="24">
        <f>IFERROR(IF($B$8="","",IF($K$5+ROW()-26&gt;$K$6,"",IF(INDEX('Raw Flow Data'!$A:$ZZ,$K$5+ROW()-26+$D$8,MATCH($B$8,'Raw Flow Data'!$1:$1,0))=-999,"",INDEX('Raw Flow Data'!$A:$ZZ,$K$5+ROW()-26+$D$8,MATCH($B$8,'Raw Flow Data'!$1:$1,0))*$C$8))),"")</f>
        <v/>
      </c>
      <c r="H152" s="24">
        <f>IFERROR(IF($B$9="","",IF($K$5+ROW()-26&gt;$K$6,"",IF(INDEX('Raw Flow Data'!$A:$ZZ,$K$5+ROW()-26+$D$9,MATCH($B$9,'Raw Flow Data'!$1:$1,0))=-999,"",INDEX('Raw Flow Data'!$A:$ZZ,$K$5+ROW()-26+$D$9,MATCH($B$9,'Raw Flow Data'!$1:$1,0))*$C$9))),"")</f>
        <v/>
      </c>
      <c r="I152" s="24">
        <f>IFERROR(IF($B$10="","",IF($K$5+ROW()-26&gt;$K$6,"",IF(INDEX('Raw Flow Data'!$A:$ZZ,$K$5+ROW()-26+$D$10,MATCH($B$10,'Raw Flow Data'!$1:$1,0))=-999,"",INDEX('Raw Flow Data'!$A:$ZZ,$K$5+ROW()-26+$D$10,MATCH($B$10,'Raw Flow Data'!$1:$1,0))*$C$10))),"")</f>
        <v/>
      </c>
      <c r="J152" s="24">
        <f>IFERROR(IF($B$11="","",IF($K$5+ROW()-26&gt;$K$6,"",IF(INDEX('Raw Flow Data'!$A:$ZZ,$K$5+ROW()-26+$D$11,MATCH($B$11,'Raw Flow Data'!$1:$1,0))=-999,"",INDEX('Raw Flow Data'!$A:$ZZ,$K$5+ROW()-26+$D$11,MATCH($B$11,'Raw Flow Data'!$1:$1,0))*$C$11))),"")</f>
        <v/>
      </c>
      <c r="K152" s="24">
        <f>IFERROR(IF($B$12="","",IF($K$5+ROW()-26&gt;$K$6,"",IF(INDEX('Raw Flow Data'!$A:$ZZ,$K$5+ROW()-26+$D$12,MATCH($B$12,'Raw Flow Data'!$1:$1,0))=-999,"",INDEX('Raw Flow Data'!$A:$ZZ,$K$5+ROW()-26+$D$12,MATCH($B$12,'Raw Flow Data'!$1:$1,0))*$C$12))),"")</f>
        <v/>
      </c>
      <c r="L152" s="24">
        <f>IFERROR(IF($F$3="","",IF($K$5+ROW()-26&gt;$K$6,"",IF(INDEX('Raw Pressure Data'!$A:$ZZ,$K$5+ROW()-26+$H$3,MATCH($F$3,'Raw Pressure Data'!$1:$1,0))=-999,"",INDEX('Raw Pressure Data'!$A:$ZZ,$K$5+ROW()-26+$H$3,MATCH($F$3,'Raw Pressure Data'!$1:$1,0))+$G$3))),"")</f>
        <v/>
      </c>
      <c r="M152" s="24">
        <f>IFERROR(IF($F$4="","",IF($K$5+ROW()-26&gt;$K$6,"",IF(INDEX('Raw Pressure Data'!$A:$ZZ,$K$5+ROW()-26+$H$4,MATCH($F$4,'Raw Pressure Data'!$1:$1,0))=-999,"",INDEX('Raw Pressure Data'!$A:$ZZ,$K$5+ROW()-26+$H$4,MATCH($F$4,'Raw Pressure Data'!$1:$1,0))+$G$4))),"")</f>
        <v/>
      </c>
      <c r="N152" s="24">
        <f>IFERROR(IF($F$5="","",IF($K$5+ROW()-26&gt;$K$6,"",IF(INDEX('Raw Pressure Data'!$A:$ZZ,$K$5+ROW()-26+$H$5,MATCH($F$5,'Raw Pressure Data'!$1:$1,0))=-999,"",INDEX('Raw Pressure Data'!$A:$ZZ,$K$5+ROW()-26+$H$5,MATCH($F$5,'Raw Pressure Data'!$1:$1,0))+$G$5))),"")</f>
        <v/>
      </c>
      <c r="O152" s="24">
        <f>IFERROR(IF($F$6="","",IF($K$5+ROW()-26&gt;$K$6,"",IF(INDEX('Raw Pressure Data'!$A:$ZZ,$K$5+ROW()-26+$H$6,MATCH($F$6,'Raw Pressure Data'!$1:$1,0))=-999,"",INDEX('Raw Pressure Data'!$A:$ZZ,$K$5+ROW()-26+$H$6,MATCH($F$6,'Raw Pressure Data'!$1:$1,0))+$G$6))),"")</f>
        <v/>
      </c>
      <c r="P152" s="24">
        <f>IFERROR(IF($F$7="","",IF($K$5+ROW()-26&gt;$K$6,"",IF(INDEX('Raw Pressure Data'!$A:$ZZ,$K$5+ROW()-26+$H$7,MATCH($F$7,'Raw Pressure Data'!$1:$1,0))=-999,"",INDEX('Raw Pressure Data'!$A:$ZZ,$K$5+ROW()-26+$H$7,MATCH($F$7,'Raw Pressure Data'!$1:$1,0))+$G$7))),"")</f>
        <v/>
      </c>
      <c r="Q152" s="24">
        <f>IFERROR(IF($F$8="","",IF($K$5+ROW()-26&gt;$K$6,"",IF(INDEX('Raw Pressure Data'!$A:$ZZ,$K$5+ROW()-26+$H$8,MATCH($F$8,'Raw Pressure Data'!$1:$1,0))=-999,"",INDEX('Raw Pressure Data'!$A:$ZZ,$K$5+ROW()-26+$H$8,MATCH($F$8,'Raw Pressure Data'!$1:$1,0))+$G$8))),"")</f>
        <v/>
      </c>
      <c r="R152" s="24">
        <f>IFERROR(IF($F$9="","",IF($K$5+ROW()-26&gt;$K$6,"",IF(INDEX('Raw Pressure Data'!$A:$ZZ,$K$5+ROW()-26+$H$9,MATCH($F$9,'Raw Pressure Data'!$1:$1,0))=-999,"",INDEX('Raw Pressure Data'!$A:$ZZ,$K$5+ROW()-26+$H$9,MATCH($F$9,'Raw Pressure Data'!$1:$1,0))+$G$9))),"")</f>
        <v/>
      </c>
      <c r="S152" s="24">
        <f>IFERROR(IF($F$10="","",IF($K$5+ROW()-26&gt;$K$6,"",IF(INDEX('Raw Pressure Data'!$A:$ZZ,$K$5+ROW()-26+$H$10,MATCH($F$10,'Raw Pressure Data'!$1:$1,0))=-999,"",INDEX('Raw Pressure Data'!$A:$ZZ,$K$5+ROW()-26+$H$10,MATCH($F$10,'Raw Pressure Data'!$1:$1,0))+$G$10))),"")</f>
        <v/>
      </c>
      <c r="T152" s="24">
        <f>IFERROR(IF($F$11="","",IF($K$5+ROW()-26&gt;$K$6,"",IF(INDEX('Raw Pressure Data'!$A:$ZZ,$K$5+ROW()-26+$H$11,MATCH($F$11,'Raw Pressure Data'!$1:$1,0))=-999,"",INDEX('Raw Pressure Data'!$A:$ZZ,$K$5+ROW()-26+$H$11,MATCH($F$11,'Raw Pressure Data'!$1:$1,0))+$G$11))),"")</f>
        <v/>
      </c>
      <c r="U152" s="24">
        <f>IFERROR(IF($F$12="","",IF($K$5+ROW()-26&gt;$K$6,"",IF(INDEX('Raw Pressure Data'!$A:$ZZ,$K$5+ROW()-26+$H$12,MATCH($F$12,'Raw Pressure Data'!$1:$1,0))=-999,"",INDEX('Raw Pressure Data'!$A:$ZZ,$K$5+ROW()-26+$H$12,MATCH($F$12,'Raw Pressure Data'!$1:$1,0))+$G$12))),"")</f>
        <v/>
      </c>
      <c r="V152" s="24">
        <f>IFERROR(IF($F$13="","",IF($K$5+ROW()-26&gt;$K$6,"",IF(INDEX('Raw Pressure Data'!$A:$ZZ,$K$5+ROW()-26+$H$13,MATCH($F$13,'Raw Pressure Data'!$1:$1,0))=-999,"",INDEX('Raw Pressure Data'!$A:$ZZ,$K$5+ROW()-26+$H$13,MATCH($F$13,'Raw Pressure Data'!$1:$1,0))+$G$13))),"")</f>
        <v/>
      </c>
      <c r="W152" s="24">
        <f>IFERROR(IF($F$14="","",IF($K$5+ROW()-26&gt;$K$6,"",IF(INDEX('Raw Pressure Data'!$A:$ZZ,$K$5+ROW()-26+$H$14,MATCH($F$14,'Raw Pressure Data'!$1:$1,0))=-999,"",INDEX('Raw Pressure Data'!$A:$ZZ,$K$5+ROW()-26+$H$14,MATCH($F$14,'Raw Pressure Data'!$1:$1,0))+$G$14))),"")</f>
        <v/>
      </c>
      <c r="X152" s="24">
        <f>IFERROR(IF($F$15="","",IF($K$5+ROW()-26&gt;$K$6,"",IF(INDEX('Raw Pressure Data'!$A:$ZZ,$K$5+ROW()-26+$H$15,MATCH($F$15,'Raw Pressure Data'!$1:$1,0))=-999,"",INDEX('Raw Pressure Data'!$A:$ZZ,$K$5+ROW()-26+$H$15,MATCH($F$15,'Raw Pressure Data'!$1:$1,0))+$G$15))),"")</f>
        <v/>
      </c>
      <c r="Y152" s="24">
        <f>IFERROR(IF($F$16="","",IF($K$5+ROW()-26&gt;$K$6,"",IF(INDEX('Raw Pressure Data'!$A:$ZZ,$K$5+ROW()-26+$H$16,MATCH($F$16,'Raw Pressure Data'!$1:$1,0))=-999,"",INDEX('Raw Pressure Data'!$A:$ZZ,$K$5+ROW()-26+$H$16,MATCH($F$16,'Raw Pressure Data'!$1:$1,0))+$G$16))),"")</f>
        <v/>
      </c>
      <c r="Z152" s="24">
        <f>IFERROR(IF($F$17="","",IF($K$5+ROW()-26&gt;$K$6,"",IF(INDEX('Raw Pressure Data'!$A:$ZZ,$K$5+ROW()-26+$H$17,MATCH($F$17,'Raw Pressure Data'!$1:$1,0))=-999,"",INDEX('Raw Pressure Data'!$A:$ZZ,$K$5+ROW()-26+$H$17,MATCH($F$17,'Raw Pressure Data'!$1:$1,0))+$G$17))),"")</f>
        <v/>
      </c>
      <c r="AA152" s="24">
        <f>IFERROR(IF($F$18="","",IF($K$5+ROW()-26&gt;$K$6,"",IF(INDEX('Raw Pressure Data'!$A:$ZZ,$K$5+ROW()-26+$H$18,MATCH($F$18,'Raw Pressure Data'!$1:$1,0))=-999,"",INDEX('Raw Pressure Data'!$A:$ZZ,$K$5+ROW()-26+$H$18,MATCH($F$18,'Raw Pressure Data'!$1:$1,0))+$G$18))),"")</f>
        <v/>
      </c>
      <c r="AB152" s="24">
        <f>IFERROR(IF($F$19="","",IF($K$5+ROW()-26&gt;$K$6,"",IF(INDEX('Raw Pressure Data'!$A:$ZZ,$K$5+ROW()-26+$H$19,MATCH($F$19,'Raw Pressure Data'!$1:$1,0))=-999,"",INDEX('Raw Pressure Data'!$A:$ZZ,$K$5+ROW()-26+$H$19,MATCH($F$19,'Raw Pressure Data'!$1:$1,0))+$G$19))),"")</f>
        <v/>
      </c>
      <c r="AC152" s="24">
        <f>IFERROR(IF($F$20="","",IF($K$5+ROW()-26&gt;$K$6,"",IF(INDEX('Raw Pressure Data'!$A:$ZZ,$K$5+ROW()-26+$H$20,MATCH($F$20,'Raw Pressure Data'!$1:$1,0))=-999,"",INDEX('Raw Pressure Data'!$A:$ZZ,$K$5+ROW()-26+$H$20,MATCH($F$20,'Raw Pressure Data'!$1:$1,0))+$G$20))),"")</f>
        <v/>
      </c>
      <c r="AD152" s="24">
        <f>IFERROR(IF($F$21="","",IF($K$5+ROW()-26&gt;$K$6,"",IF(INDEX('Raw Pressure Data'!$A:$ZZ,$K$5+ROW()-26+$H$21,MATCH($F$21,'Raw Pressure Data'!$1:$1,0))=-999,"",INDEX('Raw Pressure Data'!$A:$ZZ,$K$5+ROW()-26+$H$21,MATCH($F$21,'Raw Pressure Data'!$1:$1,0))+$G$21))),"")</f>
        <v/>
      </c>
      <c r="AE152" s="24">
        <f>IFERROR(IF($F$22="","",IF($K$5+ROW()-26&gt;$K$6,"",IF(INDEX('Raw Pressure Data'!$A:$ZZ,$K$5+ROW()-26+$H$22,MATCH($F$22,'Raw Pressure Data'!$1:$1,0))=-999,"",INDEX('Raw Pressure Data'!$A:$ZZ,$K$5+ROW()-26+$H$22,MATCH($F$22,'Raw Pressure Data'!$1:$1,0))+$G$22))),"")</f>
        <v/>
      </c>
    </row>
    <row r="153" ht="15" customHeight="1">
      <c r="A153" s="25">
        <f>IFERROR(IF($K$5+ROW()-26&gt;$K$6,"",IF(INDEX('Raw Flow Data'!$A:$A,$K$5+ROW()-26)="","",INDEX('Raw Flow Data'!$A:$A,$K$5+ROW()-26))),"")</f>
        <v/>
      </c>
      <c r="B153" s="26">
        <f>IFERROR(IF($B$3="","",IF($K$5+ROW()-26&gt;$K$6,"",IF(INDEX('Raw Flow Data'!$A:$ZZ,$K$5+ROW()-26+$D$3,MATCH($B$3,'Raw Flow Data'!$1:$1,0))=-999,"",INDEX('Raw Flow Data'!$A:$ZZ,$K$5+ROW()-26+$D$3,MATCH($B$3,'Raw Flow Data'!$1:$1,0))*$C$3))),"")</f>
        <v/>
      </c>
      <c r="C153" s="26">
        <f>IFERROR(IF($B$4="","",IF($K$5+ROW()-26&gt;$K$6,"",IF(INDEX('Raw Flow Data'!$A:$ZZ,$K$5+ROW()-26+$D$4,MATCH($B$4,'Raw Flow Data'!$1:$1,0))=-999,"",INDEX('Raw Flow Data'!$A:$ZZ,$K$5+ROW()-26+$D$4,MATCH($B$4,'Raw Flow Data'!$1:$1,0))*$C$4))),"")</f>
        <v/>
      </c>
      <c r="D153" s="26">
        <f>IFERROR(IF($B$5="","",IF($K$5+ROW()-26&gt;$K$6,"",IF(INDEX('Raw Flow Data'!$A:$ZZ,$K$5+ROW()-26+$D$5,MATCH($B$5,'Raw Flow Data'!$1:$1,0))=-999,"",INDEX('Raw Flow Data'!$A:$ZZ,$K$5+ROW()-26+$D$5,MATCH($B$5,'Raw Flow Data'!$1:$1,0))*$C$5))),"")</f>
        <v/>
      </c>
      <c r="E153" s="26">
        <f>IFERROR(IF($B$6="","",IF($K$5+ROW()-26&gt;$K$6,"",IF(INDEX('Raw Flow Data'!$A:$ZZ,$K$5+ROW()-26+$D$6,MATCH($B$6,'Raw Flow Data'!$1:$1,0))=-999,"",INDEX('Raw Flow Data'!$A:$ZZ,$K$5+ROW()-26+$D$6,MATCH($B$6,'Raw Flow Data'!$1:$1,0))*$C$6))),"")</f>
        <v/>
      </c>
      <c r="F153" s="26">
        <f>IFERROR(IF($B$7="","",IF($K$5+ROW()-26&gt;$K$6,"",IF(INDEX('Raw Flow Data'!$A:$ZZ,$K$5+ROW()-26+$D$7,MATCH($B$7,'Raw Flow Data'!$1:$1,0))=-999,"",INDEX('Raw Flow Data'!$A:$ZZ,$K$5+ROW()-26+$D$7,MATCH($B$7,'Raw Flow Data'!$1:$1,0))*$C$7))),"")</f>
        <v/>
      </c>
      <c r="G153" s="26">
        <f>IFERROR(IF($B$8="","",IF($K$5+ROW()-26&gt;$K$6,"",IF(INDEX('Raw Flow Data'!$A:$ZZ,$K$5+ROW()-26+$D$8,MATCH($B$8,'Raw Flow Data'!$1:$1,0))=-999,"",INDEX('Raw Flow Data'!$A:$ZZ,$K$5+ROW()-26+$D$8,MATCH($B$8,'Raw Flow Data'!$1:$1,0))*$C$8))),"")</f>
        <v/>
      </c>
      <c r="H153" s="26">
        <f>IFERROR(IF($B$9="","",IF($K$5+ROW()-26&gt;$K$6,"",IF(INDEX('Raw Flow Data'!$A:$ZZ,$K$5+ROW()-26+$D$9,MATCH($B$9,'Raw Flow Data'!$1:$1,0))=-999,"",INDEX('Raw Flow Data'!$A:$ZZ,$K$5+ROW()-26+$D$9,MATCH($B$9,'Raw Flow Data'!$1:$1,0))*$C$9))),"")</f>
        <v/>
      </c>
      <c r="I153" s="26">
        <f>IFERROR(IF($B$10="","",IF($K$5+ROW()-26&gt;$K$6,"",IF(INDEX('Raw Flow Data'!$A:$ZZ,$K$5+ROW()-26+$D$10,MATCH($B$10,'Raw Flow Data'!$1:$1,0))=-999,"",INDEX('Raw Flow Data'!$A:$ZZ,$K$5+ROW()-26+$D$10,MATCH($B$10,'Raw Flow Data'!$1:$1,0))*$C$10))),"")</f>
        <v/>
      </c>
      <c r="J153" s="26">
        <f>IFERROR(IF($B$11="","",IF($K$5+ROW()-26&gt;$K$6,"",IF(INDEX('Raw Flow Data'!$A:$ZZ,$K$5+ROW()-26+$D$11,MATCH($B$11,'Raw Flow Data'!$1:$1,0))=-999,"",INDEX('Raw Flow Data'!$A:$ZZ,$K$5+ROW()-26+$D$11,MATCH($B$11,'Raw Flow Data'!$1:$1,0))*$C$11))),"")</f>
        <v/>
      </c>
      <c r="K153" s="26">
        <f>IFERROR(IF($B$12="","",IF($K$5+ROW()-26&gt;$K$6,"",IF(INDEX('Raw Flow Data'!$A:$ZZ,$K$5+ROW()-26+$D$12,MATCH($B$12,'Raw Flow Data'!$1:$1,0))=-999,"",INDEX('Raw Flow Data'!$A:$ZZ,$K$5+ROW()-26+$D$12,MATCH($B$12,'Raw Flow Data'!$1:$1,0))*$C$12))),"")</f>
        <v/>
      </c>
      <c r="L153" s="26">
        <f>IFERROR(IF($F$3="","",IF($K$5+ROW()-26&gt;$K$6,"",IF(INDEX('Raw Pressure Data'!$A:$ZZ,$K$5+ROW()-26+$H$3,MATCH($F$3,'Raw Pressure Data'!$1:$1,0))=-999,"",INDEX('Raw Pressure Data'!$A:$ZZ,$K$5+ROW()-26+$H$3,MATCH($F$3,'Raw Pressure Data'!$1:$1,0))+$G$3))),"")</f>
        <v/>
      </c>
      <c r="M153" s="26">
        <f>IFERROR(IF($F$4="","",IF($K$5+ROW()-26&gt;$K$6,"",IF(INDEX('Raw Pressure Data'!$A:$ZZ,$K$5+ROW()-26+$H$4,MATCH($F$4,'Raw Pressure Data'!$1:$1,0))=-999,"",INDEX('Raw Pressure Data'!$A:$ZZ,$K$5+ROW()-26+$H$4,MATCH($F$4,'Raw Pressure Data'!$1:$1,0))+$G$4))),"")</f>
        <v/>
      </c>
      <c r="N153" s="26">
        <f>IFERROR(IF($F$5="","",IF($K$5+ROW()-26&gt;$K$6,"",IF(INDEX('Raw Pressure Data'!$A:$ZZ,$K$5+ROW()-26+$H$5,MATCH($F$5,'Raw Pressure Data'!$1:$1,0))=-999,"",INDEX('Raw Pressure Data'!$A:$ZZ,$K$5+ROW()-26+$H$5,MATCH($F$5,'Raw Pressure Data'!$1:$1,0))+$G$5))),"")</f>
        <v/>
      </c>
      <c r="O153" s="26">
        <f>IFERROR(IF($F$6="","",IF($K$5+ROW()-26&gt;$K$6,"",IF(INDEX('Raw Pressure Data'!$A:$ZZ,$K$5+ROW()-26+$H$6,MATCH($F$6,'Raw Pressure Data'!$1:$1,0))=-999,"",INDEX('Raw Pressure Data'!$A:$ZZ,$K$5+ROW()-26+$H$6,MATCH($F$6,'Raw Pressure Data'!$1:$1,0))+$G$6))),"")</f>
        <v/>
      </c>
      <c r="P153" s="26">
        <f>IFERROR(IF($F$7="","",IF($K$5+ROW()-26&gt;$K$6,"",IF(INDEX('Raw Pressure Data'!$A:$ZZ,$K$5+ROW()-26+$H$7,MATCH($F$7,'Raw Pressure Data'!$1:$1,0))=-999,"",INDEX('Raw Pressure Data'!$A:$ZZ,$K$5+ROW()-26+$H$7,MATCH($F$7,'Raw Pressure Data'!$1:$1,0))+$G$7))),"")</f>
        <v/>
      </c>
      <c r="Q153" s="26">
        <f>IFERROR(IF($F$8="","",IF($K$5+ROW()-26&gt;$K$6,"",IF(INDEX('Raw Pressure Data'!$A:$ZZ,$K$5+ROW()-26+$H$8,MATCH($F$8,'Raw Pressure Data'!$1:$1,0))=-999,"",INDEX('Raw Pressure Data'!$A:$ZZ,$K$5+ROW()-26+$H$8,MATCH($F$8,'Raw Pressure Data'!$1:$1,0))+$G$8))),"")</f>
        <v/>
      </c>
      <c r="R153" s="26">
        <f>IFERROR(IF($F$9="","",IF($K$5+ROW()-26&gt;$K$6,"",IF(INDEX('Raw Pressure Data'!$A:$ZZ,$K$5+ROW()-26+$H$9,MATCH($F$9,'Raw Pressure Data'!$1:$1,0))=-999,"",INDEX('Raw Pressure Data'!$A:$ZZ,$K$5+ROW()-26+$H$9,MATCH($F$9,'Raw Pressure Data'!$1:$1,0))+$G$9))),"")</f>
        <v/>
      </c>
      <c r="S153" s="26">
        <f>IFERROR(IF($F$10="","",IF($K$5+ROW()-26&gt;$K$6,"",IF(INDEX('Raw Pressure Data'!$A:$ZZ,$K$5+ROW()-26+$H$10,MATCH($F$10,'Raw Pressure Data'!$1:$1,0))=-999,"",INDEX('Raw Pressure Data'!$A:$ZZ,$K$5+ROW()-26+$H$10,MATCH($F$10,'Raw Pressure Data'!$1:$1,0))+$G$10))),"")</f>
        <v/>
      </c>
      <c r="T153" s="26">
        <f>IFERROR(IF($F$11="","",IF($K$5+ROW()-26&gt;$K$6,"",IF(INDEX('Raw Pressure Data'!$A:$ZZ,$K$5+ROW()-26+$H$11,MATCH($F$11,'Raw Pressure Data'!$1:$1,0))=-999,"",INDEX('Raw Pressure Data'!$A:$ZZ,$K$5+ROW()-26+$H$11,MATCH($F$11,'Raw Pressure Data'!$1:$1,0))+$G$11))),"")</f>
        <v/>
      </c>
      <c r="U153" s="26">
        <f>IFERROR(IF($F$12="","",IF($K$5+ROW()-26&gt;$K$6,"",IF(INDEX('Raw Pressure Data'!$A:$ZZ,$K$5+ROW()-26+$H$12,MATCH($F$12,'Raw Pressure Data'!$1:$1,0))=-999,"",INDEX('Raw Pressure Data'!$A:$ZZ,$K$5+ROW()-26+$H$12,MATCH($F$12,'Raw Pressure Data'!$1:$1,0))+$G$12))),"")</f>
        <v/>
      </c>
      <c r="V153" s="26">
        <f>IFERROR(IF($F$13="","",IF($K$5+ROW()-26&gt;$K$6,"",IF(INDEX('Raw Pressure Data'!$A:$ZZ,$K$5+ROW()-26+$H$13,MATCH($F$13,'Raw Pressure Data'!$1:$1,0))=-999,"",INDEX('Raw Pressure Data'!$A:$ZZ,$K$5+ROW()-26+$H$13,MATCH($F$13,'Raw Pressure Data'!$1:$1,0))+$G$13))),"")</f>
        <v/>
      </c>
      <c r="W153" s="26">
        <f>IFERROR(IF($F$14="","",IF($K$5+ROW()-26&gt;$K$6,"",IF(INDEX('Raw Pressure Data'!$A:$ZZ,$K$5+ROW()-26+$H$14,MATCH($F$14,'Raw Pressure Data'!$1:$1,0))=-999,"",INDEX('Raw Pressure Data'!$A:$ZZ,$K$5+ROW()-26+$H$14,MATCH($F$14,'Raw Pressure Data'!$1:$1,0))+$G$14))),"")</f>
        <v/>
      </c>
      <c r="X153" s="26">
        <f>IFERROR(IF($F$15="","",IF($K$5+ROW()-26&gt;$K$6,"",IF(INDEX('Raw Pressure Data'!$A:$ZZ,$K$5+ROW()-26+$H$15,MATCH($F$15,'Raw Pressure Data'!$1:$1,0))=-999,"",INDEX('Raw Pressure Data'!$A:$ZZ,$K$5+ROW()-26+$H$15,MATCH($F$15,'Raw Pressure Data'!$1:$1,0))+$G$15))),"")</f>
        <v/>
      </c>
      <c r="Y153" s="26">
        <f>IFERROR(IF($F$16="","",IF($K$5+ROW()-26&gt;$K$6,"",IF(INDEX('Raw Pressure Data'!$A:$ZZ,$K$5+ROW()-26+$H$16,MATCH($F$16,'Raw Pressure Data'!$1:$1,0))=-999,"",INDEX('Raw Pressure Data'!$A:$ZZ,$K$5+ROW()-26+$H$16,MATCH($F$16,'Raw Pressure Data'!$1:$1,0))+$G$16))),"")</f>
        <v/>
      </c>
      <c r="Z153" s="26">
        <f>IFERROR(IF($F$17="","",IF($K$5+ROW()-26&gt;$K$6,"",IF(INDEX('Raw Pressure Data'!$A:$ZZ,$K$5+ROW()-26+$H$17,MATCH($F$17,'Raw Pressure Data'!$1:$1,0))=-999,"",INDEX('Raw Pressure Data'!$A:$ZZ,$K$5+ROW()-26+$H$17,MATCH($F$17,'Raw Pressure Data'!$1:$1,0))+$G$17))),"")</f>
        <v/>
      </c>
      <c r="AA153" s="26">
        <f>IFERROR(IF($F$18="","",IF($K$5+ROW()-26&gt;$K$6,"",IF(INDEX('Raw Pressure Data'!$A:$ZZ,$K$5+ROW()-26+$H$18,MATCH($F$18,'Raw Pressure Data'!$1:$1,0))=-999,"",INDEX('Raw Pressure Data'!$A:$ZZ,$K$5+ROW()-26+$H$18,MATCH($F$18,'Raw Pressure Data'!$1:$1,0))+$G$18))),"")</f>
        <v/>
      </c>
      <c r="AB153" s="26">
        <f>IFERROR(IF($F$19="","",IF($K$5+ROW()-26&gt;$K$6,"",IF(INDEX('Raw Pressure Data'!$A:$ZZ,$K$5+ROW()-26+$H$19,MATCH($F$19,'Raw Pressure Data'!$1:$1,0))=-999,"",INDEX('Raw Pressure Data'!$A:$ZZ,$K$5+ROW()-26+$H$19,MATCH($F$19,'Raw Pressure Data'!$1:$1,0))+$G$19))),"")</f>
        <v/>
      </c>
      <c r="AC153" s="26">
        <f>IFERROR(IF($F$20="","",IF($K$5+ROW()-26&gt;$K$6,"",IF(INDEX('Raw Pressure Data'!$A:$ZZ,$K$5+ROW()-26+$H$20,MATCH($F$20,'Raw Pressure Data'!$1:$1,0))=-999,"",INDEX('Raw Pressure Data'!$A:$ZZ,$K$5+ROW()-26+$H$20,MATCH($F$20,'Raw Pressure Data'!$1:$1,0))+$G$20))),"")</f>
        <v/>
      </c>
      <c r="AD153" s="26">
        <f>IFERROR(IF($F$21="","",IF($K$5+ROW()-26&gt;$K$6,"",IF(INDEX('Raw Pressure Data'!$A:$ZZ,$K$5+ROW()-26+$H$21,MATCH($F$21,'Raw Pressure Data'!$1:$1,0))=-999,"",INDEX('Raw Pressure Data'!$A:$ZZ,$K$5+ROW()-26+$H$21,MATCH($F$21,'Raw Pressure Data'!$1:$1,0))+$G$21))),"")</f>
        <v/>
      </c>
      <c r="AE153" s="26">
        <f>IFERROR(IF($F$22="","",IF($K$5+ROW()-26&gt;$K$6,"",IF(INDEX('Raw Pressure Data'!$A:$ZZ,$K$5+ROW()-26+$H$22,MATCH($F$22,'Raw Pressure Data'!$1:$1,0))=-999,"",INDEX('Raw Pressure Data'!$A:$ZZ,$K$5+ROW()-26+$H$22,MATCH($F$22,'Raw Pressure Data'!$1:$1,0))+$G$22))),"")</f>
        <v/>
      </c>
    </row>
    <row r="154" ht="15" customHeight="1">
      <c r="A154" s="23">
        <f>IFERROR(IF($K$5+ROW()-26&gt;$K$6,"",IF(INDEX('Raw Flow Data'!$A:$A,$K$5+ROW()-26)="","",INDEX('Raw Flow Data'!$A:$A,$K$5+ROW()-26))),"")</f>
        <v/>
      </c>
      <c r="B154" s="24">
        <f>IFERROR(IF($B$3="","",IF($K$5+ROW()-26&gt;$K$6,"",IF(INDEX('Raw Flow Data'!$A:$ZZ,$K$5+ROW()-26+$D$3,MATCH($B$3,'Raw Flow Data'!$1:$1,0))=-999,"",INDEX('Raw Flow Data'!$A:$ZZ,$K$5+ROW()-26+$D$3,MATCH($B$3,'Raw Flow Data'!$1:$1,0))*$C$3))),"")</f>
        <v/>
      </c>
      <c r="C154" s="24">
        <f>IFERROR(IF($B$4="","",IF($K$5+ROW()-26&gt;$K$6,"",IF(INDEX('Raw Flow Data'!$A:$ZZ,$K$5+ROW()-26+$D$4,MATCH($B$4,'Raw Flow Data'!$1:$1,0))=-999,"",INDEX('Raw Flow Data'!$A:$ZZ,$K$5+ROW()-26+$D$4,MATCH($B$4,'Raw Flow Data'!$1:$1,0))*$C$4))),"")</f>
        <v/>
      </c>
      <c r="D154" s="24">
        <f>IFERROR(IF($B$5="","",IF($K$5+ROW()-26&gt;$K$6,"",IF(INDEX('Raw Flow Data'!$A:$ZZ,$K$5+ROW()-26+$D$5,MATCH($B$5,'Raw Flow Data'!$1:$1,0))=-999,"",INDEX('Raw Flow Data'!$A:$ZZ,$K$5+ROW()-26+$D$5,MATCH($B$5,'Raw Flow Data'!$1:$1,0))*$C$5))),"")</f>
        <v/>
      </c>
      <c r="E154" s="24">
        <f>IFERROR(IF($B$6="","",IF($K$5+ROW()-26&gt;$K$6,"",IF(INDEX('Raw Flow Data'!$A:$ZZ,$K$5+ROW()-26+$D$6,MATCH($B$6,'Raw Flow Data'!$1:$1,0))=-999,"",INDEX('Raw Flow Data'!$A:$ZZ,$K$5+ROW()-26+$D$6,MATCH($B$6,'Raw Flow Data'!$1:$1,0))*$C$6))),"")</f>
        <v/>
      </c>
      <c r="F154" s="24">
        <f>IFERROR(IF($B$7="","",IF($K$5+ROW()-26&gt;$K$6,"",IF(INDEX('Raw Flow Data'!$A:$ZZ,$K$5+ROW()-26+$D$7,MATCH($B$7,'Raw Flow Data'!$1:$1,0))=-999,"",INDEX('Raw Flow Data'!$A:$ZZ,$K$5+ROW()-26+$D$7,MATCH($B$7,'Raw Flow Data'!$1:$1,0))*$C$7))),"")</f>
        <v/>
      </c>
      <c r="G154" s="24">
        <f>IFERROR(IF($B$8="","",IF($K$5+ROW()-26&gt;$K$6,"",IF(INDEX('Raw Flow Data'!$A:$ZZ,$K$5+ROW()-26+$D$8,MATCH($B$8,'Raw Flow Data'!$1:$1,0))=-999,"",INDEX('Raw Flow Data'!$A:$ZZ,$K$5+ROW()-26+$D$8,MATCH($B$8,'Raw Flow Data'!$1:$1,0))*$C$8))),"")</f>
        <v/>
      </c>
      <c r="H154" s="24">
        <f>IFERROR(IF($B$9="","",IF($K$5+ROW()-26&gt;$K$6,"",IF(INDEX('Raw Flow Data'!$A:$ZZ,$K$5+ROW()-26+$D$9,MATCH($B$9,'Raw Flow Data'!$1:$1,0))=-999,"",INDEX('Raw Flow Data'!$A:$ZZ,$K$5+ROW()-26+$D$9,MATCH($B$9,'Raw Flow Data'!$1:$1,0))*$C$9))),"")</f>
        <v/>
      </c>
      <c r="I154" s="24">
        <f>IFERROR(IF($B$10="","",IF($K$5+ROW()-26&gt;$K$6,"",IF(INDEX('Raw Flow Data'!$A:$ZZ,$K$5+ROW()-26+$D$10,MATCH($B$10,'Raw Flow Data'!$1:$1,0))=-999,"",INDEX('Raw Flow Data'!$A:$ZZ,$K$5+ROW()-26+$D$10,MATCH($B$10,'Raw Flow Data'!$1:$1,0))*$C$10))),"")</f>
        <v/>
      </c>
      <c r="J154" s="24">
        <f>IFERROR(IF($B$11="","",IF($K$5+ROW()-26&gt;$K$6,"",IF(INDEX('Raw Flow Data'!$A:$ZZ,$K$5+ROW()-26+$D$11,MATCH($B$11,'Raw Flow Data'!$1:$1,0))=-999,"",INDEX('Raw Flow Data'!$A:$ZZ,$K$5+ROW()-26+$D$11,MATCH($B$11,'Raw Flow Data'!$1:$1,0))*$C$11))),"")</f>
        <v/>
      </c>
      <c r="K154" s="24">
        <f>IFERROR(IF($B$12="","",IF($K$5+ROW()-26&gt;$K$6,"",IF(INDEX('Raw Flow Data'!$A:$ZZ,$K$5+ROW()-26+$D$12,MATCH($B$12,'Raw Flow Data'!$1:$1,0))=-999,"",INDEX('Raw Flow Data'!$A:$ZZ,$K$5+ROW()-26+$D$12,MATCH($B$12,'Raw Flow Data'!$1:$1,0))*$C$12))),"")</f>
        <v/>
      </c>
      <c r="L154" s="24">
        <f>IFERROR(IF($F$3="","",IF($K$5+ROW()-26&gt;$K$6,"",IF(INDEX('Raw Pressure Data'!$A:$ZZ,$K$5+ROW()-26+$H$3,MATCH($F$3,'Raw Pressure Data'!$1:$1,0))=-999,"",INDEX('Raw Pressure Data'!$A:$ZZ,$K$5+ROW()-26+$H$3,MATCH($F$3,'Raw Pressure Data'!$1:$1,0))+$G$3))),"")</f>
        <v/>
      </c>
      <c r="M154" s="24">
        <f>IFERROR(IF($F$4="","",IF($K$5+ROW()-26&gt;$K$6,"",IF(INDEX('Raw Pressure Data'!$A:$ZZ,$K$5+ROW()-26+$H$4,MATCH($F$4,'Raw Pressure Data'!$1:$1,0))=-999,"",INDEX('Raw Pressure Data'!$A:$ZZ,$K$5+ROW()-26+$H$4,MATCH($F$4,'Raw Pressure Data'!$1:$1,0))+$G$4))),"")</f>
        <v/>
      </c>
      <c r="N154" s="24">
        <f>IFERROR(IF($F$5="","",IF($K$5+ROW()-26&gt;$K$6,"",IF(INDEX('Raw Pressure Data'!$A:$ZZ,$K$5+ROW()-26+$H$5,MATCH($F$5,'Raw Pressure Data'!$1:$1,0))=-999,"",INDEX('Raw Pressure Data'!$A:$ZZ,$K$5+ROW()-26+$H$5,MATCH($F$5,'Raw Pressure Data'!$1:$1,0))+$G$5))),"")</f>
        <v/>
      </c>
      <c r="O154" s="24">
        <f>IFERROR(IF($F$6="","",IF($K$5+ROW()-26&gt;$K$6,"",IF(INDEX('Raw Pressure Data'!$A:$ZZ,$K$5+ROW()-26+$H$6,MATCH($F$6,'Raw Pressure Data'!$1:$1,0))=-999,"",INDEX('Raw Pressure Data'!$A:$ZZ,$K$5+ROW()-26+$H$6,MATCH($F$6,'Raw Pressure Data'!$1:$1,0))+$G$6))),"")</f>
        <v/>
      </c>
      <c r="P154" s="24">
        <f>IFERROR(IF($F$7="","",IF($K$5+ROW()-26&gt;$K$6,"",IF(INDEX('Raw Pressure Data'!$A:$ZZ,$K$5+ROW()-26+$H$7,MATCH($F$7,'Raw Pressure Data'!$1:$1,0))=-999,"",INDEX('Raw Pressure Data'!$A:$ZZ,$K$5+ROW()-26+$H$7,MATCH($F$7,'Raw Pressure Data'!$1:$1,0))+$G$7))),"")</f>
        <v/>
      </c>
      <c r="Q154" s="24">
        <f>IFERROR(IF($F$8="","",IF($K$5+ROW()-26&gt;$K$6,"",IF(INDEX('Raw Pressure Data'!$A:$ZZ,$K$5+ROW()-26+$H$8,MATCH($F$8,'Raw Pressure Data'!$1:$1,0))=-999,"",INDEX('Raw Pressure Data'!$A:$ZZ,$K$5+ROW()-26+$H$8,MATCH($F$8,'Raw Pressure Data'!$1:$1,0))+$G$8))),"")</f>
        <v/>
      </c>
      <c r="R154" s="24">
        <f>IFERROR(IF($F$9="","",IF($K$5+ROW()-26&gt;$K$6,"",IF(INDEX('Raw Pressure Data'!$A:$ZZ,$K$5+ROW()-26+$H$9,MATCH($F$9,'Raw Pressure Data'!$1:$1,0))=-999,"",INDEX('Raw Pressure Data'!$A:$ZZ,$K$5+ROW()-26+$H$9,MATCH($F$9,'Raw Pressure Data'!$1:$1,0))+$G$9))),"")</f>
        <v/>
      </c>
      <c r="S154" s="24">
        <f>IFERROR(IF($F$10="","",IF($K$5+ROW()-26&gt;$K$6,"",IF(INDEX('Raw Pressure Data'!$A:$ZZ,$K$5+ROW()-26+$H$10,MATCH($F$10,'Raw Pressure Data'!$1:$1,0))=-999,"",INDEX('Raw Pressure Data'!$A:$ZZ,$K$5+ROW()-26+$H$10,MATCH($F$10,'Raw Pressure Data'!$1:$1,0))+$G$10))),"")</f>
        <v/>
      </c>
      <c r="T154" s="24">
        <f>IFERROR(IF($F$11="","",IF($K$5+ROW()-26&gt;$K$6,"",IF(INDEX('Raw Pressure Data'!$A:$ZZ,$K$5+ROW()-26+$H$11,MATCH($F$11,'Raw Pressure Data'!$1:$1,0))=-999,"",INDEX('Raw Pressure Data'!$A:$ZZ,$K$5+ROW()-26+$H$11,MATCH($F$11,'Raw Pressure Data'!$1:$1,0))+$G$11))),"")</f>
        <v/>
      </c>
      <c r="U154" s="24">
        <f>IFERROR(IF($F$12="","",IF($K$5+ROW()-26&gt;$K$6,"",IF(INDEX('Raw Pressure Data'!$A:$ZZ,$K$5+ROW()-26+$H$12,MATCH($F$12,'Raw Pressure Data'!$1:$1,0))=-999,"",INDEX('Raw Pressure Data'!$A:$ZZ,$K$5+ROW()-26+$H$12,MATCH($F$12,'Raw Pressure Data'!$1:$1,0))+$G$12))),"")</f>
        <v/>
      </c>
      <c r="V154" s="24">
        <f>IFERROR(IF($F$13="","",IF($K$5+ROW()-26&gt;$K$6,"",IF(INDEX('Raw Pressure Data'!$A:$ZZ,$K$5+ROW()-26+$H$13,MATCH($F$13,'Raw Pressure Data'!$1:$1,0))=-999,"",INDEX('Raw Pressure Data'!$A:$ZZ,$K$5+ROW()-26+$H$13,MATCH($F$13,'Raw Pressure Data'!$1:$1,0))+$G$13))),"")</f>
        <v/>
      </c>
      <c r="W154" s="24">
        <f>IFERROR(IF($F$14="","",IF($K$5+ROW()-26&gt;$K$6,"",IF(INDEX('Raw Pressure Data'!$A:$ZZ,$K$5+ROW()-26+$H$14,MATCH($F$14,'Raw Pressure Data'!$1:$1,0))=-999,"",INDEX('Raw Pressure Data'!$A:$ZZ,$K$5+ROW()-26+$H$14,MATCH($F$14,'Raw Pressure Data'!$1:$1,0))+$G$14))),"")</f>
        <v/>
      </c>
      <c r="X154" s="24">
        <f>IFERROR(IF($F$15="","",IF($K$5+ROW()-26&gt;$K$6,"",IF(INDEX('Raw Pressure Data'!$A:$ZZ,$K$5+ROW()-26+$H$15,MATCH($F$15,'Raw Pressure Data'!$1:$1,0))=-999,"",INDEX('Raw Pressure Data'!$A:$ZZ,$K$5+ROW()-26+$H$15,MATCH($F$15,'Raw Pressure Data'!$1:$1,0))+$G$15))),"")</f>
        <v/>
      </c>
      <c r="Y154" s="24">
        <f>IFERROR(IF($F$16="","",IF($K$5+ROW()-26&gt;$K$6,"",IF(INDEX('Raw Pressure Data'!$A:$ZZ,$K$5+ROW()-26+$H$16,MATCH($F$16,'Raw Pressure Data'!$1:$1,0))=-999,"",INDEX('Raw Pressure Data'!$A:$ZZ,$K$5+ROW()-26+$H$16,MATCH($F$16,'Raw Pressure Data'!$1:$1,0))+$G$16))),"")</f>
        <v/>
      </c>
      <c r="Z154" s="24">
        <f>IFERROR(IF($F$17="","",IF($K$5+ROW()-26&gt;$K$6,"",IF(INDEX('Raw Pressure Data'!$A:$ZZ,$K$5+ROW()-26+$H$17,MATCH($F$17,'Raw Pressure Data'!$1:$1,0))=-999,"",INDEX('Raw Pressure Data'!$A:$ZZ,$K$5+ROW()-26+$H$17,MATCH($F$17,'Raw Pressure Data'!$1:$1,0))+$G$17))),"")</f>
        <v/>
      </c>
      <c r="AA154" s="24">
        <f>IFERROR(IF($F$18="","",IF($K$5+ROW()-26&gt;$K$6,"",IF(INDEX('Raw Pressure Data'!$A:$ZZ,$K$5+ROW()-26+$H$18,MATCH($F$18,'Raw Pressure Data'!$1:$1,0))=-999,"",INDEX('Raw Pressure Data'!$A:$ZZ,$K$5+ROW()-26+$H$18,MATCH($F$18,'Raw Pressure Data'!$1:$1,0))+$G$18))),"")</f>
        <v/>
      </c>
      <c r="AB154" s="24">
        <f>IFERROR(IF($F$19="","",IF($K$5+ROW()-26&gt;$K$6,"",IF(INDEX('Raw Pressure Data'!$A:$ZZ,$K$5+ROW()-26+$H$19,MATCH($F$19,'Raw Pressure Data'!$1:$1,0))=-999,"",INDEX('Raw Pressure Data'!$A:$ZZ,$K$5+ROW()-26+$H$19,MATCH($F$19,'Raw Pressure Data'!$1:$1,0))+$G$19))),"")</f>
        <v/>
      </c>
      <c r="AC154" s="24">
        <f>IFERROR(IF($F$20="","",IF($K$5+ROW()-26&gt;$K$6,"",IF(INDEX('Raw Pressure Data'!$A:$ZZ,$K$5+ROW()-26+$H$20,MATCH($F$20,'Raw Pressure Data'!$1:$1,0))=-999,"",INDEX('Raw Pressure Data'!$A:$ZZ,$K$5+ROW()-26+$H$20,MATCH($F$20,'Raw Pressure Data'!$1:$1,0))+$G$20))),"")</f>
        <v/>
      </c>
      <c r="AD154" s="24">
        <f>IFERROR(IF($F$21="","",IF($K$5+ROW()-26&gt;$K$6,"",IF(INDEX('Raw Pressure Data'!$A:$ZZ,$K$5+ROW()-26+$H$21,MATCH($F$21,'Raw Pressure Data'!$1:$1,0))=-999,"",INDEX('Raw Pressure Data'!$A:$ZZ,$K$5+ROW()-26+$H$21,MATCH($F$21,'Raw Pressure Data'!$1:$1,0))+$G$21))),"")</f>
        <v/>
      </c>
      <c r="AE154" s="24">
        <f>IFERROR(IF($F$22="","",IF($K$5+ROW()-26&gt;$K$6,"",IF(INDEX('Raw Pressure Data'!$A:$ZZ,$K$5+ROW()-26+$H$22,MATCH($F$22,'Raw Pressure Data'!$1:$1,0))=-999,"",INDEX('Raw Pressure Data'!$A:$ZZ,$K$5+ROW()-26+$H$22,MATCH($F$22,'Raw Pressure Data'!$1:$1,0))+$G$22))),"")</f>
        <v/>
      </c>
    </row>
    <row r="155" ht="15" customHeight="1">
      <c r="A155" s="25">
        <f>IFERROR(IF($K$5+ROW()-26&gt;$K$6,"",IF(INDEX('Raw Flow Data'!$A:$A,$K$5+ROW()-26)="","",INDEX('Raw Flow Data'!$A:$A,$K$5+ROW()-26))),"")</f>
        <v/>
      </c>
      <c r="B155" s="26">
        <f>IFERROR(IF($B$3="","",IF($K$5+ROW()-26&gt;$K$6,"",IF(INDEX('Raw Flow Data'!$A:$ZZ,$K$5+ROW()-26+$D$3,MATCH($B$3,'Raw Flow Data'!$1:$1,0))=-999,"",INDEX('Raw Flow Data'!$A:$ZZ,$K$5+ROW()-26+$D$3,MATCH($B$3,'Raw Flow Data'!$1:$1,0))*$C$3))),"")</f>
        <v/>
      </c>
      <c r="C155" s="26">
        <f>IFERROR(IF($B$4="","",IF($K$5+ROW()-26&gt;$K$6,"",IF(INDEX('Raw Flow Data'!$A:$ZZ,$K$5+ROW()-26+$D$4,MATCH($B$4,'Raw Flow Data'!$1:$1,0))=-999,"",INDEX('Raw Flow Data'!$A:$ZZ,$K$5+ROW()-26+$D$4,MATCH($B$4,'Raw Flow Data'!$1:$1,0))*$C$4))),"")</f>
        <v/>
      </c>
      <c r="D155" s="26">
        <f>IFERROR(IF($B$5="","",IF($K$5+ROW()-26&gt;$K$6,"",IF(INDEX('Raw Flow Data'!$A:$ZZ,$K$5+ROW()-26+$D$5,MATCH($B$5,'Raw Flow Data'!$1:$1,0))=-999,"",INDEX('Raw Flow Data'!$A:$ZZ,$K$5+ROW()-26+$D$5,MATCH($B$5,'Raw Flow Data'!$1:$1,0))*$C$5))),"")</f>
        <v/>
      </c>
      <c r="E155" s="26">
        <f>IFERROR(IF($B$6="","",IF($K$5+ROW()-26&gt;$K$6,"",IF(INDEX('Raw Flow Data'!$A:$ZZ,$K$5+ROW()-26+$D$6,MATCH($B$6,'Raw Flow Data'!$1:$1,0))=-999,"",INDEX('Raw Flow Data'!$A:$ZZ,$K$5+ROW()-26+$D$6,MATCH($B$6,'Raw Flow Data'!$1:$1,0))*$C$6))),"")</f>
        <v/>
      </c>
      <c r="F155" s="26">
        <f>IFERROR(IF($B$7="","",IF($K$5+ROW()-26&gt;$K$6,"",IF(INDEX('Raw Flow Data'!$A:$ZZ,$K$5+ROW()-26+$D$7,MATCH($B$7,'Raw Flow Data'!$1:$1,0))=-999,"",INDEX('Raw Flow Data'!$A:$ZZ,$K$5+ROW()-26+$D$7,MATCH($B$7,'Raw Flow Data'!$1:$1,0))*$C$7))),"")</f>
        <v/>
      </c>
      <c r="G155" s="26">
        <f>IFERROR(IF($B$8="","",IF($K$5+ROW()-26&gt;$K$6,"",IF(INDEX('Raw Flow Data'!$A:$ZZ,$K$5+ROW()-26+$D$8,MATCH($B$8,'Raw Flow Data'!$1:$1,0))=-999,"",INDEX('Raw Flow Data'!$A:$ZZ,$K$5+ROW()-26+$D$8,MATCH($B$8,'Raw Flow Data'!$1:$1,0))*$C$8))),"")</f>
        <v/>
      </c>
      <c r="H155" s="26">
        <f>IFERROR(IF($B$9="","",IF($K$5+ROW()-26&gt;$K$6,"",IF(INDEX('Raw Flow Data'!$A:$ZZ,$K$5+ROW()-26+$D$9,MATCH($B$9,'Raw Flow Data'!$1:$1,0))=-999,"",INDEX('Raw Flow Data'!$A:$ZZ,$K$5+ROW()-26+$D$9,MATCH($B$9,'Raw Flow Data'!$1:$1,0))*$C$9))),"")</f>
        <v/>
      </c>
      <c r="I155" s="26">
        <f>IFERROR(IF($B$10="","",IF($K$5+ROW()-26&gt;$K$6,"",IF(INDEX('Raw Flow Data'!$A:$ZZ,$K$5+ROW()-26+$D$10,MATCH($B$10,'Raw Flow Data'!$1:$1,0))=-999,"",INDEX('Raw Flow Data'!$A:$ZZ,$K$5+ROW()-26+$D$10,MATCH($B$10,'Raw Flow Data'!$1:$1,0))*$C$10))),"")</f>
        <v/>
      </c>
      <c r="J155" s="26">
        <f>IFERROR(IF($B$11="","",IF($K$5+ROW()-26&gt;$K$6,"",IF(INDEX('Raw Flow Data'!$A:$ZZ,$K$5+ROW()-26+$D$11,MATCH($B$11,'Raw Flow Data'!$1:$1,0))=-999,"",INDEX('Raw Flow Data'!$A:$ZZ,$K$5+ROW()-26+$D$11,MATCH($B$11,'Raw Flow Data'!$1:$1,0))*$C$11))),"")</f>
        <v/>
      </c>
      <c r="K155" s="26">
        <f>IFERROR(IF($B$12="","",IF($K$5+ROW()-26&gt;$K$6,"",IF(INDEX('Raw Flow Data'!$A:$ZZ,$K$5+ROW()-26+$D$12,MATCH($B$12,'Raw Flow Data'!$1:$1,0))=-999,"",INDEX('Raw Flow Data'!$A:$ZZ,$K$5+ROW()-26+$D$12,MATCH($B$12,'Raw Flow Data'!$1:$1,0))*$C$12))),"")</f>
        <v/>
      </c>
      <c r="L155" s="26">
        <f>IFERROR(IF($F$3="","",IF($K$5+ROW()-26&gt;$K$6,"",IF(INDEX('Raw Pressure Data'!$A:$ZZ,$K$5+ROW()-26+$H$3,MATCH($F$3,'Raw Pressure Data'!$1:$1,0))=-999,"",INDEX('Raw Pressure Data'!$A:$ZZ,$K$5+ROW()-26+$H$3,MATCH($F$3,'Raw Pressure Data'!$1:$1,0))+$G$3))),"")</f>
        <v/>
      </c>
      <c r="M155" s="26">
        <f>IFERROR(IF($F$4="","",IF($K$5+ROW()-26&gt;$K$6,"",IF(INDEX('Raw Pressure Data'!$A:$ZZ,$K$5+ROW()-26+$H$4,MATCH($F$4,'Raw Pressure Data'!$1:$1,0))=-999,"",INDEX('Raw Pressure Data'!$A:$ZZ,$K$5+ROW()-26+$H$4,MATCH($F$4,'Raw Pressure Data'!$1:$1,0))+$G$4))),"")</f>
        <v/>
      </c>
      <c r="N155" s="26">
        <f>IFERROR(IF($F$5="","",IF($K$5+ROW()-26&gt;$K$6,"",IF(INDEX('Raw Pressure Data'!$A:$ZZ,$K$5+ROW()-26+$H$5,MATCH($F$5,'Raw Pressure Data'!$1:$1,0))=-999,"",INDEX('Raw Pressure Data'!$A:$ZZ,$K$5+ROW()-26+$H$5,MATCH($F$5,'Raw Pressure Data'!$1:$1,0))+$G$5))),"")</f>
        <v/>
      </c>
      <c r="O155" s="26">
        <f>IFERROR(IF($F$6="","",IF($K$5+ROW()-26&gt;$K$6,"",IF(INDEX('Raw Pressure Data'!$A:$ZZ,$K$5+ROW()-26+$H$6,MATCH($F$6,'Raw Pressure Data'!$1:$1,0))=-999,"",INDEX('Raw Pressure Data'!$A:$ZZ,$K$5+ROW()-26+$H$6,MATCH($F$6,'Raw Pressure Data'!$1:$1,0))+$G$6))),"")</f>
        <v/>
      </c>
      <c r="P155" s="26">
        <f>IFERROR(IF($F$7="","",IF($K$5+ROW()-26&gt;$K$6,"",IF(INDEX('Raw Pressure Data'!$A:$ZZ,$K$5+ROW()-26+$H$7,MATCH($F$7,'Raw Pressure Data'!$1:$1,0))=-999,"",INDEX('Raw Pressure Data'!$A:$ZZ,$K$5+ROW()-26+$H$7,MATCH($F$7,'Raw Pressure Data'!$1:$1,0))+$G$7))),"")</f>
        <v/>
      </c>
      <c r="Q155" s="26">
        <f>IFERROR(IF($F$8="","",IF($K$5+ROW()-26&gt;$K$6,"",IF(INDEX('Raw Pressure Data'!$A:$ZZ,$K$5+ROW()-26+$H$8,MATCH($F$8,'Raw Pressure Data'!$1:$1,0))=-999,"",INDEX('Raw Pressure Data'!$A:$ZZ,$K$5+ROW()-26+$H$8,MATCH($F$8,'Raw Pressure Data'!$1:$1,0))+$G$8))),"")</f>
        <v/>
      </c>
      <c r="R155" s="26">
        <f>IFERROR(IF($F$9="","",IF($K$5+ROW()-26&gt;$K$6,"",IF(INDEX('Raw Pressure Data'!$A:$ZZ,$K$5+ROW()-26+$H$9,MATCH($F$9,'Raw Pressure Data'!$1:$1,0))=-999,"",INDEX('Raw Pressure Data'!$A:$ZZ,$K$5+ROW()-26+$H$9,MATCH($F$9,'Raw Pressure Data'!$1:$1,0))+$G$9))),"")</f>
        <v/>
      </c>
      <c r="S155" s="26">
        <f>IFERROR(IF($F$10="","",IF($K$5+ROW()-26&gt;$K$6,"",IF(INDEX('Raw Pressure Data'!$A:$ZZ,$K$5+ROW()-26+$H$10,MATCH($F$10,'Raw Pressure Data'!$1:$1,0))=-999,"",INDEX('Raw Pressure Data'!$A:$ZZ,$K$5+ROW()-26+$H$10,MATCH($F$10,'Raw Pressure Data'!$1:$1,0))+$G$10))),"")</f>
        <v/>
      </c>
      <c r="T155" s="26">
        <f>IFERROR(IF($F$11="","",IF($K$5+ROW()-26&gt;$K$6,"",IF(INDEX('Raw Pressure Data'!$A:$ZZ,$K$5+ROW()-26+$H$11,MATCH($F$11,'Raw Pressure Data'!$1:$1,0))=-999,"",INDEX('Raw Pressure Data'!$A:$ZZ,$K$5+ROW()-26+$H$11,MATCH($F$11,'Raw Pressure Data'!$1:$1,0))+$G$11))),"")</f>
        <v/>
      </c>
      <c r="U155" s="26">
        <f>IFERROR(IF($F$12="","",IF($K$5+ROW()-26&gt;$K$6,"",IF(INDEX('Raw Pressure Data'!$A:$ZZ,$K$5+ROW()-26+$H$12,MATCH($F$12,'Raw Pressure Data'!$1:$1,0))=-999,"",INDEX('Raw Pressure Data'!$A:$ZZ,$K$5+ROW()-26+$H$12,MATCH($F$12,'Raw Pressure Data'!$1:$1,0))+$G$12))),"")</f>
        <v/>
      </c>
      <c r="V155" s="26">
        <f>IFERROR(IF($F$13="","",IF($K$5+ROW()-26&gt;$K$6,"",IF(INDEX('Raw Pressure Data'!$A:$ZZ,$K$5+ROW()-26+$H$13,MATCH($F$13,'Raw Pressure Data'!$1:$1,0))=-999,"",INDEX('Raw Pressure Data'!$A:$ZZ,$K$5+ROW()-26+$H$13,MATCH($F$13,'Raw Pressure Data'!$1:$1,0))+$G$13))),"")</f>
        <v/>
      </c>
      <c r="W155" s="26">
        <f>IFERROR(IF($F$14="","",IF($K$5+ROW()-26&gt;$K$6,"",IF(INDEX('Raw Pressure Data'!$A:$ZZ,$K$5+ROW()-26+$H$14,MATCH($F$14,'Raw Pressure Data'!$1:$1,0))=-999,"",INDEX('Raw Pressure Data'!$A:$ZZ,$K$5+ROW()-26+$H$14,MATCH($F$14,'Raw Pressure Data'!$1:$1,0))+$G$14))),"")</f>
        <v/>
      </c>
      <c r="X155" s="26">
        <f>IFERROR(IF($F$15="","",IF($K$5+ROW()-26&gt;$K$6,"",IF(INDEX('Raw Pressure Data'!$A:$ZZ,$K$5+ROW()-26+$H$15,MATCH($F$15,'Raw Pressure Data'!$1:$1,0))=-999,"",INDEX('Raw Pressure Data'!$A:$ZZ,$K$5+ROW()-26+$H$15,MATCH($F$15,'Raw Pressure Data'!$1:$1,0))+$G$15))),"")</f>
        <v/>
      </c>
      <c r="Y155" s="26">
        <f>IFERROR(IF($F$16="","",IF($K$5+ROW()-26&gt;$K$6,"",IF(INDEX('Raw Pressure Data'!$A:$ZZ,$K$5+ROW()-26+$H$16,MATCH($F$16,'Raw Pressure Data'!$1:$1,0))=-999,"",INDEX('Raw Pressure Data'!$A:$ZZ,$K$5+ROW()-26+$H$16,MATCH($F$16,'Raw Pressure Data'!$1:$1,0))+$G$16))),"")</f>
        <v/>
      </c>
      <c r="Z155" s="26">
        <f>IFERROR(IF($F$17="","",IF($K$5+ROW()-26&gt;$K$6,"",IF(INDEX('Raw Pressure Data'!$A:$ZZ,$K$5+ROW()-26+$H$17,MATCH($F$17,'Raw Pressure Data'!$1:$1,0))=-999,"",INDEX('Raw Pressure Data'!$A:$ZZ,$K$5+ROW()-26+$H$17,MATCH($F$17,'Raw Pressure Data'!$1:$1,0))+$G$17))),"")</f>
        <v/>
      </c>
      <c r="AA155" s="26">
        <f>IFERROR(IF($F$18="","",IF($K$5+ROW()-26&gt;$K$6,"",IF(INDEX('Raw Pressure Data'!$A:$ZZ,$K$5+ROW()-26+$H$18,MATCH($F$18,'Raw Pressure Data'!$1:$1,0))=-999,"",INDEX('Raw Pressure Data'!$A:$ZZ,$K$5+ROW()-26+$H$18,MATCH($F$18,'Raw Pressure Data'!$1:$1,0))+$G$18))),"")</f>
        <v/>
      </c>
      <c r="AB155" s="26">
        <f>IFERROR(IF($F$19="","",IF($K$5+ROW()-26&gt;$K$6,"",IF(INDEX('Raw Pressure Data'!$A:$ZZ,$K$5+ROW()-26+$H$19,MATCH($F$19,'Raw Pressure Data'!$1:$1,0))=-999,"",INDEX('Raw Pressure Data'!$A:$ZZ,$K$5+ROW()-26+$H$19,MATCH($F$19,'Raw Pressure Data'!$1:$1,0))+$G$19))),"")</f>
        <v/>
      </c>
      <c r="AC155" s="26">
        <f>IFERROR(IF($F$20="","",IF($K$5+ROW()-26&gt;$K$6,"",IF(INDEX('Raw Pressure Data'!$A:$ZZ,$K$5+ROW()-26+$H$20,MATCH($F$20,'Raw Pressure Data'!$1:$1,0))=-999,"",INDEX('Raw Pressure Data'!$A:$ZZ,$K$5+ROW()-26+$H$20,MATCH($F$20,'Raw Pressure Data'!$1:$1,0))+$G$20))),"")</f>
        <v/>
      </c>
      <c r="AD155" s="26">
        <f>IFERROR(IF($F$21="","",IF($K$5+ROW()-26&gt;$K$6,"",IF(INDEX('Raw Pressure Data'!$A:$ZZ,$K$5+ROW()-26+$H$21,MATCH($F$21,'Raw Pressure Data'!$1:$1,0))=-999,"",INDEX('Raw Pressure Data'!$A:$ZZ,$K$5+ROW()-26+$H$21,MATCH($F$21,'Raw Pressure Data'!$1:$1,0))+$G$21))),"")</f>
        <v/>
      </c>
      <c r="AE155" s="26">
        <f>IFERROR(IF($F$22="","",IF($K$5+ROW()-26&gt;$K$6,"",IF(INDEX('Raw Pressure Data'!$A:$ZZ,$K$5+ROW()-26+$H$22,MATCH($F$22,'Raw Pressure Data'!$1:$1,0))=-999,"",INDEX('Raw Pressure Data'!$A:$ZZ,$K$5+ROW()-26+$H$22,MATCH($F$22,'Raw Pressure Data'!$1:$1,0))+$G$22))),"")</f>
        <v/>
      </c>
    </row>
    <row r="156" ht="15" customHeight="1">
      <c r="A156" s="23">
        <f>IFERROR(IF($K$5+ROW()-26&gt;$K$6,"",IF(INDEX('Raw Flow Data'!$A:$A,$K$5+ROW()-26)="","",INDEX('Raw Flow Data'!$A:$A,$K$5+ROW()-26))),"")</f>
        <v/>
      </c>
      <c r="B156" s="24">
        <f>IFERROR(IF($B$3="","",IF($K$5+ROW()-26&gt;$K$6,"",IF(INDEX('Raw Flow Data'!$A:$ZZ,$K$5+ROW()-26+$D$3,MATCH($B$3,'Raw Flow Data'!$1:$1,0))=-999,"",INDEX('Raw Flow Data'!$A:$ZZ,$K$5+ROW()-26+$D$3,MATCH($B$3,'Raw Flow Data'!$1:$1,0))*$C$3))),"")</f>
        <v/>
      </c>
      <c r="C156" s="24">
        <f>IFERROR(IF($B$4="","",IF($K$5+ROW()-26&gt;$K$6,"",IF(INDEX('Raw Flow Data'!$A:$ZZ,$K$5+ROW()-26+$D$4,MATCH($B$4,'Raw Flow Data'!$1:$1,0))=-999,"",INDEX('Raw Flow Data'!$A:$ZZ,$K$5+ROW()-26+$D$4,MATCH($B$4,'Raw Flow Data'!$1:$1,0))*$C$4))),"")</f>
        <v/>
      </c>
      <c r="D156" s="24">
        <f>IFERROR(IF($B$5="","",IF($K$5+ROW()-26&gt;$K$6,"",IF(INDEX('Raw Flow Data'!$A:$ZZ,$K$5+ROW()-26+$D$5,MATCH($B$5,'Raw Flow Data'!$1:$1,0))=-999,"",INDEX('Raw Flow Data'!$A:$ZZ,$K$5+ROW()-26+$D$5,MATCH($B$5,'Raw Flow Data'!$1:$1,0))*$C$5))),"")</f>
        <v/>
      </c>
      <c r="E156" s="24">
        <f>IFERROR(IF($B$6="","",IF($K$5+ROW()-26&gt;$K$6,"",IF(INDEX('Raw Flow Data'!$A:$ZZ,$K$5+ROW()-26+$D$6,MATCH($B$6,'Raw Flow Data'!$1:$1,0))=-999,"",INDEX('Raw Flow Data'!$A:$ZZ,$K$5+ROW()-26+$D$6,MATCH($B$6,'Raw Flow Data'!$1:$1,0))*$C$6))),"")</f>
        <v/>
      </c>
      <c r="F156" s="24">
        <f>IFERROR(IF($B$7="","",IF($K$5+ROW()-26&gt;$K$6,"",IF(INDEX('Raw Flow Data'!$A:$ZZ,$K$5+ROW()-26+$D$7,MATCH($B$7,'Raw Flow Data'!$1:$1,0))=-999,"",INDEX('Raw Flow Data'!$A:$ZZ,$K$5+ROW()-26+$D$7,MATCH($B$7,'Raw Flow Data'!$1:$1,0))*$C$7))),"")</f>
        <v/>
      </c>
      <c r="G156" s="24">
        <f>IFERROR(IF($B$8="","",IF($K$5+ROW()-26&gt;$K$6,"",IF(INDEX('Raw Flow Data'!$A:$ZZ,$K$5+ROW()-26+$D$8,MATCH($B$8,'Raw Flow Data'!$1:$1,0))=-999,"",INDEX('Raw Flow Data'!$A:$ZZ,$K$5+ROW()-26+$D$8,MATCH($B$8,'Raw Flow Data'!$1:$1,0))*$C$8))),"")</f>
        <v/>
      </c>
      <c r="H156" s="24">
        <f>IFERROR(IF($B$9="","",IF($K$5+ROW()-26&gt;$K$6,"",IF(INDEX('Raw Flow Data'!$A:$ZZ,$K$5+ROW()-26+$D$9,MATCH($B$9,'Raw Flow Data'!$1:$1,0))=-999,"",INDEX('Raw Flow Data'!$A:$ZZ,$K$5+ROW()-26+$D$9,MATCH($B$9,'Raw Flow Data'!$1:$1,0))*$C$9))),"")</f>
        <v/>
      </c>
      <c r="I156" s="24">
        <f>IFERROR(IF($B$10="","",IF($K$5+ROW()-26&gt;$K$6,"",IF(INDEX('Raw Flow Data'!$A:$ZZ,$K$5+ROW()-26+$D$10,MATCH($B$10,'Raw Flow Data'!$1:$1,0))=-999,"",INDEX('Raw Flow Data'!$A:$ZZ,$K$5+ROW()-26+$D$10,MATCH($B$10,'Raw Flow Data'!$1:$1,0))*$C$10))),"")</f>
        <v/>
      </c>
      <c r="J156" s="24">
        <f>IFERROR(IF($B$11="","",IF($K$5+ROW()-26&gt;$K$6,"",IF(INDEX('Raw Flow Data'!$A:$ZZ,$K$5+ROW()-26+$D$11,MATCH($B$11,'Raw Flow Data'!$1:$1,0))=-999,"",INDEX('Raw Flow Data'!$A:$ZZ,$K$5+ROW()-26+$D$11,MATCH($B$11,'Raw Flow Data'!$1:$1,0))*$C$11))),"")</f>
        <v/>
      </c>
      <c r="K156" s="24">
        <f>IFERROR(IF($B$12="","",IF($K$5+ROW()-26&gt;$K$6,"",IF(INDEX('Raw Flow Data'!$A:$ZZ,$K$5+ROW()-26+$D$12,MATCH($B$12,'Raw Flow Data'!$1:$1,0))=-999,"",INDEX('Raw Flow Data'!$A:$ZZ,$K$5+ROW()-26+$D$12,MATCH($B$12,'Raw Flow Data'!$1:$1,0))*$C$12))),"")</f>
        <v/>
      </c>
      <c r="L156" s="24">
        <f>IFERROR(IF($F$3="","",IF($K$5+ROW()-26&gt;$K$6,"",IF(INDEX('Raw Pressure Data'!$A:$ZZ,$K$5+ROW()-26+$H$3,MATCH($F$3,'Raw Pressure Data'!$1:$1,0))=-999,"",INDEX('Raw Pressure Data'!$A:$ZZ,$K$5+ROW()-26+$H$3,MATCH($F$3,'Raw Pressure Data'!$1:$1,0))+$G$3))),"")</f>
        <v/>
      </c>
      <c r="M156" s="24">
        <f>IFERROR(IF($F$4="","",IF($K$5+ROW()-26&gt;$K$6,"",IF(INDEX('Raw Pressure Data'!$A:$ZZ,$K$5+ROW()-26+$H$4,MATCH($F$4,'Raw Pressure Data'!$1:$1,0))=-999,"",INDEX('Raw Pressure Data'!$A:$ZZ,$K$5+ROW()-26+$H$4,MATCH($F$4,'Raw Pressure Data'!$1:$1,0))+$G$4))),"")</f>
        <v/>
      </c>
      <c r="N156" s="24">
        <f>IFERROR(IF($F$5="","",IF($K$5+ROW()-26&gt;$K$6,"",IF(INDEX('Raw Pressure Data'!$A:$ZZ,$K$5+ROW()-26+$H$5,MATCH($F$5,'Raw Pressure Data'!$1:$1,0))=-999,"",INDEX('Raw Pressure Data'!$A:$ZZ,$K$5+ROW()-26+$H$5,MATCH($F$5,'Raw Pressure Data'!$1:$1,0))+$G$5))),"")</f>
        <v/>
      </c>
      <c r="O156" s="24">
        <f>IFERROR(IF($F$6="","",IF($K$5+ROW()-26&gt;$K$6,"",IF(INDEX('Raw Pressure Data'!$A:$ZZ,$K$5+ROW()-26+$H$6,MATCH($F$6,'Raw Pressure Data'!$1:$1,0))=-999,"",INDEX('Raw Pressure Data'!$A:$ZZ,$K$5+ROW()-26+$H$6,MATCH($F$6,'Raw Pressure Data'!$1:$1,0))+$G$6))),"")</f>
        <v/>
      </c>
      <c r="P156" s="24">
        <f>IFERROR(IF($F$7="","",IF($K$5+ROW()-26&gt;$K$6,"",IF(INDEX('Raw Pressure Data'!$A:$ZZ,$K$5+ROW()-26+$H$7,MATCH($F$7,'Raw Pressure Data'!$1:$1,0))=-999,"",INDEX('Raw Pressure Data'!$A:$ZZ,$K$5+ROW()-26+$H$7,MATCH($F$7,'Raw Pressure Data'!$1:$1,0))+$G$7))),"")</f>
        <v/>
      </c>
      <c r="Q156" s="24">
        <f>IFERROR(IF($F$8="","",IF($K$5+ROW()-26&gt;$K$6,"",IF(INDEX('Raw Pressure Data'!$A:$ZZ,$K$5+ROW()-26+$H$8,MATCH($F$8,'Raw Pressure Data'!$1:$1,0))=-999,"",INDEX('Raw Pressure Data'!$A:$ZZ,$K$5+ROW()-26+$H$8,MATCH($F$8,'Raw Pressure Data'!$1:$1,0))+$G$8))),"")</f>
        <v/>
      </c>
      <c r="R156" s="24">
        <f>IFERROR(IF($F$9="","",IF($K$5+ROW()-26&gt;$K$6,"",IF(INDEX('Raw Pressure Data'!$A:$ZZ,$K$5+ROW()-26+$H$9,MATCH($F$9,'Raw Pressure Data'!$1:$1,0))=-999,"",INDEX('Raw Pressure Data'!$A:$ZZ,$K$5+ROW()-26+$H$9,MATCH($F$9,'Raw Pressure Data'!$1:$1,0))+$G$9))),"")</f>
        <v/>
      </c>
      <c r="S156" s="24">
        <f>IFERROR(IF($F$10="","",IF($K$5+ROW()-26&gt;$K$6,"",IF(INDEX('Raw Pressure Data'!$A:$ZZ,$K$5+ROW()-26+$H$10,MATCH($F$10,'Raw Pressure Data'!$1:$1,0))=-999,"",INDEX('Raw Pressure Data'!$A:$ZZ,$K$5+ROW()-26+$H$10,MATCH($F$10,'Raw Pressure Data'!$1:$1,0))+$G$10))),"")</f>
        <v/>
      </c>
      <c r="T156" s="24">
        <f>IFERROR(IF($F$11="","",IF($K$5+ROW()-26&gt;$K$6,"",IF(INDEX('Raw Pressure Data'!$A:$ZZ,$K$5+ROW()-26+$H$11,MATCH($F$11,'Raw Pressure Data'!$1:$1,0))=-999,"",INDEX('Raw Pressure Data'!$A:$ZZ,$K$5+ROW()-26+$H$11,MATCH($F$11,'Raw Pressure Data'!$1:$1,0))+$G$11))),"")</f>
        <v/>
      </c>
      <c r="U156" s="24">
        <f>IFERROR(IF($F$12="","",IF($K$5+ROW()-26&gt;$K$6,"",IF(INDEX('Raw Pressure Data'!$A:$ZZ,$K$5+ROW()-26+$H$12,MATCH($F$12,'Raw Pressure Data'!$1:$1,0))=-999,"",INDEX('Raw Pressure Data'!$A:$ZZ,$K$5+ROW()-26+$H$12,MATCH($F$12,'Raw Pressure Data'!$1:$1,0))+$G$12))),"")</f>
        <v/>
      </c>
      <c r="V156" s="24">
        <f>IFERROR(IF($F$13="","",IF($K$5+ROW()-26&gt;$K$6,"",IF(INDEX('Raw Pressure Data'!$A:$ZZ,$K$5+ROW()-26+$H$13,MATCH($F$13,'Raw Pressure Data'!$1:$1,0))=-999,"",INDEX('Raw Pressure Data'!$A:$ZZ,$K$5+ROW()-26+$H$13,MATCH($F$13,'Raw Pressure Data'!$1:$1,0))+$G$13))),"")</f>
        <v/>
      </c>
      <c r="W156" s="24">
        <f>IFERROR(IF($F$14="","",IF($K$5+ROW()-26&gt;$K$6,"",IF(INDEX('Raw Pressure Data'!$A:$ZZ,$K$5+ROW()-26+$H$14,MATCH($F$14,'Raw Pressure Data'!$1:$1,0))=-999,"",INDEX('Raw Pressure Data'!$A:$ZZ,$K$5+ROW()-26+$H$14,MATCH($F$14,'Raw Pressure Data'!$1:$1,0))+$G$14))),"")</f>
        <v/>
      </c>
      <c r="X156" s="24">
        <f>IFERROR(IF($F$15="","",IF($K$5+ROW()-26&gt;$K$6,"",IF(INDEX('Raw Pressure Data'!$A:$ZZ,$K$5+ROW()-26+$H$15,MATCH($F$15,'Raw Pressure Data'!$1:$1,0))=-999,"",INDEX('Raw Pressure Data'!$A:$ZZ,$K$5+ROW()-26+$H$15,MATCH($F$15,'Raw Pressure Data'!$1:$1,0))+$G$15))),"")</f>
        <v/>
      </c>
      <c r="Y156" s="24">
        <f>IFERROR(IF($F$16="","",IF($K$5+ROW()-26&gt;$K$6,"",IF(INDEX('Raw Pressure Data'!$A:$ZZ,$K$5+ROW()-26+$H$16,MATCH($F$16,'Raw Pressure Data'!$1:$1,0))=-999,"",INDEX('Raw Pressure Data'!$A:$ZZ,$K$5+ROW()-26+$H$16,MATCH($F$16,'Raw Pressure Data'!$1:$1,0))+$G$16))),"")</f>
        <v/>
      </c>
      <c r="Z156" s="24">
        <f>IFERROR(IF($F$17="","",IF($K$5+ROW()-26&gt;$K$6,"",IF(INDEX('Raw Pressure Data'!$A:$ZZ,$K$5+ROW()-26+$H$17,MATCH($F$17,'Raw Pressure Data'!$1:$1,0))=-999,"",INDEX('Raw Pressure Data'!$A:$ZZ,$K$5+ROW()-26+$H$17,MATCH($F$17,'Raw Pressure Data'!$1:$1,0))+$G$17))),"")</f>
        <v/>
      </c>
      <c r="AA156" s="24">
        <f>IFERROR(IF($F$18="","",IF($K$5+ROW()-26&gt;$K$6,"",IF(INDEX('Raw Pressure Data'!$A:$ZZ,$K$5+ROW()-26+$H$18,MATCH($F$18,'Raw Pressure Data'!$1:$1,0))=-999,"",INDEX('Raw Pressure Data'!$A:$ZZ,$K$5+ROW()-26+$H$18,MATCH($F$18,'Raw Pressure Data'!$1:$1,0))+$G$18))),"")</f>
        <v/>
      </c>
      <c r="AB156" s="24">
        <f>IFERROR(IF($F$19="","",IF($K$5+ROW()-26&gt;$K$6,"",IF(INDEX('Raw Pressure Data'!$A:$ZZ,$K$5+ROW()-26+$H$19,MATCH($F$19,'Raw Pressure Data'!$1:$1,0))=-999,"",INDEX('Raw Pressure Data'!$A:$ZZ,$K$5+ROW()-26+$H$19,MATCH($F$19,'Raw Pressure Data'!$1:$1,0))+$G$19))),"")</f>
        <v/>
      </c>
      <c r="AC156" s="24">
        <f>IFERROR(IF($F$20="","",IF($K$5+ROW()-26&gt;$K$6,"",IF(INDEX('Raw Pressure Data'!$A:$ZZ,$K$5+ROW()-26+$H$20,MATCH($F$20,'Raw Pressure Data'!$1:$1,0))=-999,"",INDEX('Raw Pressure Data'!$A:$ZZ,$K$5+ROW()-26+$H$20,MATCH($F$20,'Raw Pressure Data'!$1:$1,0))+$G$20))),"")</f>
        <v/>
      </c>
      <c r="AD156" s="24">
        <f>IFERROR(IF($F$21="","",IF($K$5+ROW()-26&gt;$K$6,"",IF(INDEX('Raw Pressure Data'!$A:$ZZ,$K$5+ROW()-26+$H$21,MATCH($F$21,'Raw Pressure Data'!$1:$1,0))=-999,"",INDEX('Raw Pressure Data'!$A:$ZZ,$K$5+ROW()-26+$H$21,MATCH($F$21,'Raw Pressure Data'!$1:$1,0))+$G$21))),"")</f>
        <v/>
      </c>
      <c r="AE156" s="24">
        <f>IFERROR(IF($F$22="","",IF($K$5+ROW()-26&gt;$K$6,"",IF(INDEX('Raw Pressure Data'!$A:$ZZ,$K$5+ROW()-26+$H$22,MATCH($F$22,'Raw Pressure Data'!$1:$1,0))=-999,"",INDEX('Raw Pressure Data'!$A:$ZZ,$K$5+ROW()-26+$H$22,MATCH($F$22,'Raw Pressure Data'!$1:$1,0))+$G$22))),"")</f>
        <v/>
      </c>
    </row>
    <row r="157" ht="15" customHeight="1">
      <c r="A157" s="25">
        <f>IFERROR(IF($K$5+ROW()-26&gt;$K$6,"",IF(INDEX('Raw Flow Data'!$A:$A,$K$5+ROW()-26)="","",INDEX('Raw Flow Data'!$A:$A,$K$5+ROW()-26))),"")</f>
        <v/>
      </c>
      <c r="B157" s="26">
        <f>IFERROR(IF($B$3="","",IF($K$5+ROW()-26&gt;$K$6,"",IF(INDEX('Raw Flow Data'!$A:$ZZ,$K$5+ROW()-26+$D$3,MATCH($B$3,'Raw Flow Data'!$1:$1,0))=-999,"",INDEX('Raw Flow Data'!$A:$ZZ,$K$5+ROW()-26+$D$3,MATCH($B$3,'Raw Flow Data'!$1:$1,0))*$C$3))),"")</f>
        <v/>
      </c>
      <c r="C157" s="26">
        <f>IFERROR(IF($B$4="","",IF($K$5+ROW()-26&gt;$K$6,"",IF(INDEX('Raw Flow Data'!$A:$ZZ,$K$5+ROW()-26+$D$4,MATCH($B$4,'Raw Flow Data'!$1:$1,0))=-999,"",INDEX('Raw Flow Data'!$A:$ZZ,$K$5+ROW()-26+$D$4,MATCH($B$4,'Raw Flow Data'!$1:$1,0))*$C$4))),"")</f>
        <v/>
      </c>
      <c r="D157" s="26">
        <f>IFERROR(IF($B$5="","",IF($K$5+ROW()-26&gt;$K$6,"",IF(INDEX('Raw Flow Data'!$A:$ZZ,$K$5+ROW()-26+$D$5,MATCH($B$5,'Raw Flow Data'!$1:$1,0))=-999,"",INDEX('Raw Flow Data'!$A:$ZZ,$K$5+ROW()-26+$D$5,MATCH($B$5,'Raw Flow Data'!$1:$1,0))*$C$5))),"")</f>
        <v/>
      </c>
      <c r="E157" s="26">
        <f>IFERROR(IF($B$6="","",IF($K$5+ROW()-26&gt;$K$6,"",IF(INDEX('Raw Flow Data'!$A:$ZZ,$K$5+ROW()-26+$D$6,MATCH($B$6,'Raw Flow Data'!$1:$1,0))=-999,"",INDEX('Raw Flow Data'!$A:$ZZ,$K$5+ROW()-26+$D$6,MATCH($B$6,'Raw Flow Data'!$1:$1,0))*$C$6))),"")</f>
        <v/>
      </c>
      <c r="F157" s="26">
        <f>IFERROR(IF($B$7="","",IF($K$5+ROW()-26&gt;$K$6,"",IF(INDEX('Raw Flow Data'!$A:$ZZ,$K$5+ROW()-26+$D$7,MATCH($B$7,'Raw Flow Data'!$1:$1,0))=-999,"",INDEX('Raw Flow Data'!$A:$ZZ,$K$5+ROW()-26+$D$7,MATCH($B$7,'Raw Flow Data'!$1:$1,0))*$C$7))),"")</f>
        <v/>
      </c>
      <c r="G157" s="26">
        <f>IFERROR(IF($B$8="","",IF($K$5+ROW()-26&gt;$K$6,"",IF(INDEX('Raw Flow Data'!$A:$ZZ,$K$5+ROW()-26+$D$8,MATCH($B$8,'Raw Flow Data'!$1:$1,0))=-999,"",INDEX('Raw Flow Data'!$A:$ZZ,$K$5+ROW()-26+$D$8,MATCH($B$8,'Raw Flow Data'!$1:$1,0))*$C$8))),"")</f>
        <v/>
      </c>
      <c r="H157" s="26">
        <f>IFERROR(IF($B$9="","",IF($K$5+ROW()-26&gt;$K$6,"",IF(INDEX('Raw Flow Data'!$A:$ZZ,$K$5+ROW()-26+$D$9,MATCH($B$9,'Raw Flow Data'!$1:$1,0))=-999,"",INDEX('Raw Flow Data'!$A:$ZZ,$K$5+ROW()-26+$D$9,MATCH($B$9,'Raw Flow Data'!$1:$1,0))*$C$9))),"")</f>
        <v/>
      </c>
      <c r="I157" s="26">
        <f>IFERROR(IF($B$10="","",IF($K$5+ROW()-26&gt;$K$6,"",IF(INDEX('Raw Flow Data'!$A:$ZZ,$K$5+ROW()-26+$D$10,MATCH($B$10,'Raw Flow Data'!$1:$1,0))=-999,"",INDEX('Raw Flow Data'!$A:$ZZ,$K$5+ROW()-26+$D$10,MATCH($B$10,'Raw Flow Data'!$1:$1,0))*$C$10))),"")</f>
        <v/>
      </c>
      <c r="J157" s="26">
        <f>IFERROR(IF($B$11="","",IF($K$5+ROW()-26&gt;$K$6,"",IF(INDEX('Raw Flow Data'!$A:$ZZ,$K$5+ROW()-26+$D$11,MATCH($B$11,'Raw Flow Data'!$1:$1,0))=-999,"",INDEX('Raw Flow Data'!$A:$ZZ,$K$5+ROW()-26+$D$11,MATCH($B$11,'Raw Flow Data'!$1:$1,0))*$C$11))),"")</f>
        <v/>
      </c>
      <c r="K157" s="26">
        <f>IFERROR(IF($B$12="","",IF($K$5+ROW()-26&gt;$K$6,"",IF(INDEX('Raw Flow Data'!$A:$ZZ,$K$5+ROW()-26+$D$12,MATCH($B$12,'Raw Flow Data'!$1:$1,0))=-999,"",INDEX('Raw Flow Data'!$A:$ZZ,$K$5+ROW()-26+$D$12,MATCH($B$12,'Raw Flow Data'!$1:$1,0))*$C$12))),"")</f>
        <v/>
      </c>
      <c r="L157" s="26">
        <f>IFERROR(IF($F$3="","",IF($K$5+ROW()-26&gt;$K$6,"",IF(INDEX('Raw Pressure Data'!$A:$ZZ,$K$5+ROW()-26+$H$3,MATCH($F$3,'Raw Pressure Data'!$1:$1,0))=-999,"",INDEX('Raw Pressure Data'!$A:$ZZ,$K$5+ROW()-26+$H$3,MATCH($F$3,'Raw Pressure Data'!$1:$1,0))+$G$3))),"")</f>
        <v/>
      </c>
      <c r="M157" s="26">
        <f>IFERROR(IF($F$4="","",IF($K$5+ROW()-26&gt;$K$6,"",IF(INDEX('Raw Pressure Data'!$A:$ZZ,$K$5+ROW()-26+$H$4,MATCH($F$4,'Raw Pressure Data'!$1:$1,0))=-999,"",INDEX('Raw Pressure Data'!$A:$ZZ,$K$5+ROW()-26+$H$4,MATCH($F$4,'Raw Pressure Data'!$1:$1,0))+$G$4))),"")</f>
        <v/>
      </c>
      <c r="N157" s="26">
        <f>IFERROR(IF($F$5="","",IF($K$5+ROW()-26&gt;$K$6,"",IF(INDEX('Raw Pressure Data'!$A:$ZZ,$K$5+ROW()-26+$H$5,MATCH($F$5,'Raw Pressure Data'!$1:$1,0))=-999,"",INDEX('Raw Pressure Data'!$A:$ZZ,$K$5+ROW()-26+$H$5,MATCH($F$5,'Raw Pressure Data'!$1:$1,0))+$G$5))),"")</f>
        <v/>
      </c>
      <c r="O157" s="26">
        <f>IFERROR(IF($F$6="","",IF($K$5+ROW()-26&gt;$K$6,"",IF(INDEX('Raw Pressure Data'!$A:$ZZ,$K$5+ROW()-26+$H$6,MATCH($F$6,'Raw Pressure Data'!$1:$1,0))=-999,"",INDEX('Raw Pressure Data'!$A:$ZZ,$K$5+ROW()-26+$H$6,MATCH($F$6,'Raw Pressure Data'!$1:$1,0))+$G$6))),"")</f>
        <v/>
      </c>
      <c r="P157" s="26">
        <f>IFERROR(IF($F$7="","",IF($K$5+ROW()-26&gt;$K$6,"",IF(INDEX('Raw Pressure Data'!$A:$ZZ,$K$5+ROW()-26+$H$7,MATCH($F$7,'Raw Pressure Data'!$1:$1,0))=-999,"",INDEX('Raw Pressure Data'!$A:$ZZ,$K$5+ROW()-26+$H$7,MATCH($F$7,'Raw Pressure Data'!$1:$1,0))+$G$7))),"")</f>
        <v/>
      </c>
      <c r="Q157" s="26">
        <f>IFERROR(IF($F$8="","",IF($K$5+ROW()-26&gt;$K$6,"",IF(INDEX('Raw Pressure Data'!$A:$ZZ,$K$5+ROW()-26+$H$8,MATCH($F$8,'Raw Pressure Data'!$1:$1,0))=-999,"",INDEX('Raw Pressure Data'!$A:$ZZ,$K$5+ROW()-26+$H$8,MATCH($F$8,'Raw Pressure Data'!$1:$1,0))+$G$8))),"")</f>
        <v/>
      </c>
      <c r="R157" s="26">
        <f>IFERROR(IF($F$9="","",IF($K$5+ROW()-26&gt;$K$6,"",IF(INDEX('Raw Pressure Data'!$A:$ZZ,$K$5+ROW()-26+$H$9,MATCH($F$9,'Raw Pressure Data'!$1:$1,0))=-999,"",INDEX('Raw Pressure Data'!$A:$ZZ,$K$5+ROW()-26+$H$9,MATCH($F$9,'Raw Pressure Data'!$1:$1,0))+$G$9))),"")</f>
        <v/>
      </c>
      <c r="S157" s="26">
        <f>IFERROR(IF($F$10="","",IF($K$5+ROW()-26&gt;$K$6,"",IF(INDEX('Raw Pressure Data'!$A:$ZZ,$K$5+ROW()-26+$H$10,MATCH($F$10,'Raw Pressure Data'!$1:$1,0))=-999,"",INDEX('Raw Pressure Data'!$A:$ZZ,$K$5+ROW()-26+$H$10,MATCH($F$10,'Raw Pressure Data'!$1:$1,0))+$G$10))),"")</f>
        <v/>
      </c>
      <c r="T157" s="26">
        <f>IFERROR(IF($F$11="","",IF($K$5+ROW()-26&gt;$K$6,"",IF(INDEX('Raw Pressure Data'!$A:$ZZ,$K$5+ROW()-26+$H$11,MATCH($F$11,'Raw Pressure Data'!$1:$1,0))=-999,"",INDEX('Raw Pressure Data'!$A:$ZZ,$K$5+ROW()-26+$H$11,MATCH($F$11,'Raw Pressure Data'!$1:$1,0))+$G$11))),"")</f>
        <v/>
      </c>
      <c r="U157" s="26">
        <f>IFERROR(IF($F$12="","",IF($K$5+ROW()-26&gt;$K$6,"",IF(INDEX('Raw Pressure Data'!$A:$ZZ,$K$5+ROW()-26+$H$12,MATCH($F$12,'Raw Pressure Data'!$1:$1,0))=-999,"",INDEX('Raw Pressure Data'!$A:$ZZ,$K$5+ROW()-26+$H$12,MATCH($F$12,'Raw Pressure Data'!$1:$1,0))+$G$12))),"")</f>
        <v/>
      </c>
      <c r="V157" s="26">
        <f>IFERROR(IF($F$13="","",IF($K$5+ROW()-26&gt;$K$6,"",IF(INDEX('Raw Pressure Data'!$A:$ZZ,$K$5+ROW()-26+$H$13,MATCH($F$13,'Raw Pressure Data'!$1:$1,0))=-999,"",INDEX('Raw Pressure Data'!$A:$ZZ,$K$5+ROW()-26+$H$13,MATCH($F$13,'Raw Pressure Data'!$1:$1,0))+$G$13))),"")</f>
        <v/>
      </c>
      <c r="W157" s="26">
        <f>IFERROR(IF($F$14="","",IF($K$5+ROW()-26&gt;$K$6,"",IF(INDEX('Raw Pressure Data'!$A:$ZZ,$K$5+ROW()-26+$H$14,MATCH($F$14,'Raw Pressure Data'!$1:$1,0))=-999,"",INDEX('Raw Pressure Data'!$A:$ZZ,$K$5+ROW()-26+$H$14,MATCH($F$14,'Raw Pressure Data'!$1:$1,0))+$G$14))),"")</f>
        <v/>
      </c>
      <c r="X157" s="26">
        <f>IFERROR(IF($F$15="","",IF($K$5+ROW()-26&gt;$K$6,"",IF(INDEX('Raw Pressure Data'!$A:$ZZ,$K$5+ROW()-26+$H$15,MATCH($F$15,'Raw Pressure Data'!$1:$1,0))=-999,"",INDEX('Raw Pressure Data'!$A:$ZZ,$K$5+ROW()-26+$H$15,MATCH($F$15,'Raw Pressure Data'!$1:$1,0))+$G$15))),"")</f>
        <v/>
      </c>
      <c r="Y157" s="26">
        <f>IFERROR(IF($F$16="","",IF($K$5+ROW()-26&gt;$K$6,"",IF(INDEX('Raw Pressure Data'!$A:$ZZ,$K$5+ROW()-26+$H$16,MATCH($F$16,'Raw Pressure Data'!$1:$1,0))=-999,"",INDEX('Raw Pressure Data'!$A:$ZZ,$K$5+ROW()-26+$H$16,MATCH($F$16,'Raw Pressure Data'!$1:$1,0))+$G$16))),"")</f>
        <v/>
      </c>
      <c r="Z157" s="26">
        <f>IFERROR(IF($F$17="","",IF($K$5+ROW()-26&gt;$K$6,"",IF(INDEX('Raw Pressure Data'!$A:$ZZ,$K$5+ROW()-26+$H$17,MATCH($F$17,'Raw Pressure Data'!$1:$1,0))=-999,"",INDEX('Raw Pressure Data'!$A:$ZZ,$K$5+ROW()-26+$H$17,MATCH($F$17,'Raw Pressure Data'!$1:$1,0))+$G$17))),"")</f>
        <v/>
      </c>
      <c r="AA157" s="26">
        <f>IFERROR(IF($F$18="","",IF($K$5+ROW()-26&gt;$K$6,"",IF(INDEX('Raw Pressure Data'!$A:$ZZ,$K$5+ROW()-26+$H$18,MATCH($F$18,'Raw Pressure Data'!$1:$1,0))=-999,"",INDEX('Raw Pressure Data'!$A:$ZZ,$K$5+ROW()-26+$H$18,MATCH($F$18,'Raw Pressure Data'!$1:$1,0))+$G$18))),"")</f>
        <v/>
      </c>
      <c r="AB157" s="26">
        <f>IFERROR(IF($F$19="","",IF($K$5+ROW()-26&gt;$K$6,"",IF(INDEX('Raw Pressure Data'!$A:$ZZ,$K$5+ROW()-26+$H$19,MATCH($F$19,'Raw Pressure Data'!$1:$1,0))=-999,"",INDEX('Raw Pressure Data'!$A:$ZZ,$K$5+ROW()-26+$H$19,MATCH($F$19,'Raw Pressure Data'!$1:$1,0))+$G$19))),"")</f>
        <v/>
      </c>
      <c r="AC157" s="26">
        <f>IFERROR(IF($F$20="","",IF($K$5+ROW()-26&gt;$K$6,"",IF(INDEX('Raw Pressure Data'!$A:$ZZ,$K$5+ROW()-26+$H$20,MATCH($F$20,'Raw Pressure Data'!$1:$1,0))=-999,"",INDEX('Raw Pressure Data'!$A:$ZZ,$K$5+ROW()-26+$H$20,MATCH($F$20,'Raw Pressure Data'!$1:$1,0))+$G$20))),"")</f>
        <v/>
      </c>
      <c r="AD157" s="26">
        <f>IFERROR(IF($F$21="","",IF($K$5+ROW()-26&gt;$K$6,"",IF(INDEX('Raw Pressure Data'!$A:$ZZ,$K$5+ROW()-26+$H$21,MATCH($F$21,'Raw Pressure Data'!$1:$1,0))=-999,"",INDEX('Raw Pressure Data'!$A:$ZZ,$K$5+ROW()-26+$H$21,MATCH($F$21,'Raw Pressure Data'!$1:$1,0))+$G$21))),"")</f>
        <v/>
      </c>
      <c r="AE157" s="26">
        <f>IFERROR(IF($F$22="","",IF($K$5+ROW()-26&gt;$K$6,"",IF(INDEX('Raw Pressure Data'!$A:$ZZ,$K$5+ROW()-26+$H$22,MATCH($F$22,'Raw Pressure Data'!$1:$1,0))=-999,"",INDEX('Raw Pressure Data'!$A:$ZZ,$K$5+ROW()-26+$H$22,MATCH($F$22,'Raw Pressure Data'!$1:$1,0))+$G$22))),"")</f>
        <v/>
      </c>
    </row>
    <row r="158" ht="15" customHeight="1">
      <c r="A158" s="23">
        <f>IFERROR(IF($K$5+ROW()-26&gt;$K$6,"",IF(INDEX('Raw Flow Data'!$A:$A,$K$5+ROW()-26)="","",INDEX('Raw Flow Data'!$A:$A,$K$5+ROW()-26))),"")</f>
        <v/>
      </c>
      <c r="B158" s="24">
        <f>IFERROR(IF($B$3="","",IF($K$5+ROW()-26&gt;$K$6,"",IF(INDEX('Raw Flow Data'!$A:$ZZ,$K$5+ROW()-26+$D$3,MATCH($B$3,'Raw Flow Data'!$1:$1,0))=-999,"",INDEX('Raw Flow Data'!$A:$ZZ,$K$5+ROW()-26+$D$3,MATCH($B$3,'Raw Flow Data'!$1:$1,0))*$C$3))),"")</f>
        <v/>
      </c>
      <c r="C158" s="24">
        <f>IFERROR(IF($B$4="","",IF($K$5+ROW()-26&gt;$K$6,"",IF(INDEX('Raw Flow Data'!$A:$ZZ,$K$5+ROW()-26+$D$4,MATCH($B$4,'Raw Flow Data'!$1:$1,0))=-999,"",INDEX('Raw Flow Data'!$A:$ZZ,$K$5+ROW()-26+$D$4,MATCH($B$4,'Raw Flow Data'!$1:$1,0))*$C$4))),"")</f>
        <v/>
      </c>
      <c r="D158" s="24">
        <f>IFERROR(IF($B$5="","",IF($K$5+ROW()-26&gt;$K$6,"",IF(INDEX('Raw Flow Data'!$A:$ZZ,$K$5+ROW()-26+$D$5,MATCH($B$5,'Raw Flow Data'!$1:$1,0))=-999,"",INDEX('Raw Flow Data'!$A:$ZZ,$K$5+ROW()-26+$D$5,MATCH($B$5,'Raw Flow Data'!$1:$1,0))*$C$5))),"")</f>
        <v/>
      </c>
      <c r="E158" s="24">
        <f>IFERROR(IF($B$6="","",IF($K$5+ROW()-26&gt;$K$6,"",IF(INDEX('Raw Flow Data'!$A:$ZZ,$K$5+ROW()-26+$D$6,MATCH($B$6,'Raw Flow Data'!$1:$1,0))=-999,"",INDEX('Raw Flow Data'!$A:$ZZ,$K$5+ROW()-26+$D$6,MATCH($B$6,'Raw Flow Data'!$1:$1,0))*$C$6))),"")</f>
        <v/>
      </c>
      <c r="F158" s="24">
        <f>IFERROR(IF($B$7="","",IF($K$5+ROW()-26&gt;$K$6,"",IF(INDEX('Raw Flow Data'!$A:$ZZ,$K$5+ROW()-26+$D$7,MATCH($B$7,'Raw Flow Data'!$1:$1,0))=-999,"",INDEX('Raw Flow Data'!$A:$ZZ,$K$5+ROW()-26+$D$7,MATCH($B$7,'Raw Flow Data'!$1:$1,0))*$C$7))),"")</f>
        <v/>
      </c>
      <c r="G158" s="24">
        <f>IFERROR(IF($B$8="","",IF($K$5+ROW()-26&gt;$K$6,"",IF(INDEX('Raw Flow Data'!$A:$ZZ,$K$5+ROW()-26+$D$8,MATCH($B$8,'Raw Flow Data'!$1:$1,0))=-999,"",INDEX('Raw Flow Data'!$A:$ZZ,$K$5+ROW()-26+$D$8,MATCH($B$8,'Raw Flow Data'!$1:$1,0))*$C$8))),"")</f>
        <v/>
      </c>
      <c r="H158" s="24">
        <f>IFERROR(IF($B$9="","",IF($K$5+ROW()-26&gt;$K$6,"",IF(INDEX('Raw Flow Data'!$A:$ZZ,$K$5+ROW()-26+$D$9,MATCH($B$9,'Raw Flow Data'!$1:$1,0))=-999,"",INDEX('Raw Flow Data'!$A:$ZZ,$K$5+ROW()-26+$D$9,MATCH($B$9,'Raw Flow Data'!$1:$1,0))*$C$9))),"")</f>
        <v/>
      </c>
      <c r="I158" s="24">
        <f>IFERROR(IF($B$10="","",IF($K$5+ROW()-26&gt;$K$6,"",IF(INDEX('Raw Flow Data'!$A:$ZZ,$K$5+ROW()-26+$D$10,MATCH($B$10,'Raw Flow Data'!$1:$1,0))=-999,"",INDEX('Raw Flow Data'!$A:$ZZ,$K$5+ROW()-26+$D$10,MATCH($B$10,'Raw Flow Data'!$1:$1,0))*$C$10))),"")</f>
        <v/>
      </c>
      <c r="J158" s="24">
        <f>IFERROR(IF($B$11="","",IF($K$5+ROW()-26&gt;$K$6,"",IF(INDEX('Raw Flow Data'!$A:$ZZ,$K$5+ROW()-26+$D$11,MATCH($B$11,'Raw Flow Data'!$1:$1,0))=-999,"",INDEX('Raw Flow Data'!$A:$ZZ,$K$5+ROW()-26+$D$11,MATCH($B$11,'Raw Flow Data'!$1:$1,0))*$C$11))),"")</f>
        <v/>
      </c>
      <c r="K158" s="24">
        <f>IFERROR(IF($B$12="","",IF($K$5+ROW()-26&gt;$K$6,"",IF(INDEX('Raw Flow Data'!$A:$ZZ,$K$5+ROW()-26+$D$12,MATCH($B$12,'Raw Flow Data'!$1:$1,0))=-999,"",INDEX('Raw Flow Data'!$A:$ZZ,$K$5+ROW()-26+$D$12,MATCH($B$12,'Raw Flow Data'!$1:$1,0))*$C$12))),"")</f>
        <v/>
      </c>
      <c r="L158" s="24">
        <f>IFERROR(IF($F$3="","",IF($K$5+ROW()-26&gt;$K$6,"",IF(INDEX('Raw Pressure Data'!$A:$ZZ,$K$5+ROW()-26+$H$3,MATCH($F$3,'Raw Pressure Data'!$1:$1,0))=-999,"",INDEX('Raw Pressure Data'!$A:$ZZ,$K$5+ROW()-26+$H$3,MATCH($F$3,'Raw Pressure Data'!$1:$1,0))+$G$3))),"")</f>
        <v/>
      </c>
      <c r="M158" s="24">
        <f>IFERROR(IF($F$4="","",IF($K$5+ROW()-26&gt;$K$6,"",IF(INDEX('Raw Pressure Data'!$A:$ZZ,$K$5+ROW()-26+$H$4,MATCH($F$4,'Raw Pressure Data'!$1:$1,0))=-999,"",INDEX('Raw Pressure Data'!$A:$ZZ,$K$5+ROW()-26+$H$4,MATCH($F$4,'Raw Pressure Data'!$1:$1,0))+$G$4))),"")</f>
        <v/>
      </c>
      <c r="N158" s="24">
        <f>IFERROR(IF($F$5="","",IF($K$5+ROW()-26&gt;$K$6,"",IF(INDEX('Raw Pressure Data'!$A:$ZZ,$K$5+ROW()-26+$H$5,MATCH($F$5,'Raw Pressure Data'!$1:$1,0))=-999,"",INDEX('Raw Pressure Data'!$A:$ZZ,$K$5+ROW()-26+$H$5,MATCH($F$5,'Raw Pressure Data'!$1:$1,0))+$G$5))),"")</f>
        <v/>
      </c>
      <c r="O158" s="24">
        <f>IFERROR(IF($F$6="","",IF($K$5+ROW()-26&gt;$K$6,"",IF(INDEX('Raw Pressure Data'!$A:$ZZ,$K$5+ROW()-26+$H$6,MATCH($F$6,'Raw Pressure Data'!$1:$1,0))=-999,"",INDEX('Raw Pressure Data'!$A:$ZZ,$K$5+ROW()-26+$H$6,MATCH($F$6,'Raw Pressure Data'!$1:$1,0))+$G$6))),"")</f>
        <v/>
      </c>
      <c r="P158" s="24">
        <f>IFERROR(IF($F$7="","",IF($K$5+ROW()-26&gt;$K$6,"",IF(INDEX('Raw Pressure Data'!$A:$ZZ,$K$5+ROW()-26+$H$7,MATCH($F$7,'Raw Pressure Data'!$1:$1,0))=-999,"",INDEX('Raw Pressure Data'!$A:$ZZ,$K$5+ROW()-26+$H$7,MATCH($F$7,'Raw Pressure Data'!$1:$1,0))+$G$7))),"")</f>
        <v/>
      </c>
      <c r="Q158" s="24">
        <f>IFERROR(IF($F$8="","",IF($K$5+ROW()-26&gt;$K$6,"",IF(INDEX('Raw Pressure Data'!$A:$ZZ,$K$5+ROW()-26+$H$8,MATCH($F$8,'Raw Pressure Data'!$1:$1,0))=-999,"",INDEX('Raw Pressure Data'!$A:$ZZ,$K$5+ROW()-26+$H$8,MATCH($F$8,'Raw Pressure Data'!$1:$1,0))+$G$8))),"")</f>
        <v/>
      </c>
      <c r="R158" s="24">
        <f>IFERROR(IF($F$9="","",IF($K$5+ROW()-26&gt;$K$6,"",IF(INDEX('Raw Pressure Data'!$A:$ZZ,$K$5+ROW()-26+$H$9,MATCH($F$9,'Raw Pressure Data'!$1:$1,0))=-999,"",INDEX('Raw Pressure Data'!$A:$ZZ,$K$5+ROW()-26+$H$9,MATCH($F$9,'Raw Pressure Data'!$1:$1,0))+$G$9))),"")</f>
        <v/>
      </c>
      <c r="S158" s="24">
        <f>IFERROR(IF($F$10="","",IF($K$5+ROW()-26&gt;$K$6,"",IF(INDEX('Raw Pressure Data'!$A:$ZZ,$K$5+ROW()-26+$H$10,MATCH($F$10,'Raw Pressure Data'!$1:$1,0))=-999,"",INDEX('Raw Pressure Data'!$A:$ZZ,$K$5+ROW()-26+$H$10,MATCH($F$10,'Raw Pressure Data'!$1:$1,0))+$G$10))),"")</f>
        <v/>
      </c>
      <c r="T158" s="24">
        <f>IFERROR(IF($F$11="","",IF($K$5+ROW()-26&gt;$K$6,"",IF(INDEX('Raw Pressure Data'!$A:$ZZ,$K$5+ROW()-26+$H$11,MATCH($F$11,'Raw Pressure Data'!$1:$1,0))=-999,"",INDEX('Raw Pressure Data'!$A:$ZZ,$K$5+ROW()-26+$H$11,MATCH($F$11,'Raw Pressure Data'!$1:$1,0))+$G$11))),"")</f>
        <v/>
      </c>
      <c r="U158" s="24">
        <f>IFERROR(IF($F$12="","",IF($K$5+ROW()-26&gt;$K$6,"",IF(INDEX('Raw Pressure Data'!$A:$ZZ,$K$5+ROW()-26+$H$12,MATCH($F$12,'Raw Pressure Data'!$1:$1,0))=-999,"",INDEX('Raw Pressure Data'!$A:$ZZ,$K$5+ROW()-26+$H$12,MATCH($F$12,'Raw Pressure Data'!$1:$1,0))+$G$12))),"")</f>
        <v/>
      </c>
      <c r="V158" s="24">
        <f>IFERROR(IF($F$13="","",IF($K$5+ROW()-26&gt;$K$6,"",IF(INDEX('Raw Pressure Data'!$A:$ZZ,$K$5+ROW()-26+$H$13,MATCH($F$13,'Raw Pressure Data'!$1:$1,0))=-999,"",INDEX('Raw Pressure Data'!$A:$ZZ,$K$5+ROW()-26+$H$13,MATCH($F$13,'Raw Pressure Data'!$1:$1,0))+$G$13))),"")</f>
        <v/>
      </c>
      <c r="W158" s="24">
        <f>IFERROR(IF($F$14="","",IF($K$5+ROW()-26&gt;$K$6,"",IF(INDEX('Raw Pressure Data'!$A:$ZZ,$K$5+ROW()-26+$H$14,MATCH($F$14,'Raw Pressure Data'!$1:$1,0))=-999,"",INDEX('Raw Pressure Data'!$A:$ZZ,$K$5+ROW()-26+$H$14,MATCH($F$14,'Raw Pressure Data'!$1:$1,0))+$G$14))),"")</f>
        <v/>
      </c>
      <c r="X158" s="24">
        <f>IFERROR(IF($F$15="","",IF($K$5+ROW()-26&gt;$K$6,"",IF(INDEX('Raw Pressure Data'!$A:$ZZ,$K$5+ROW()-26+$H$15,MATCH($F$15,'Raw Pressure Data'!$1:$1,0))=-999,"",INDEX('Raw Pressure Data'!$A:$ZZ,$K$5+ROW()-26+$H$15,MATCH($F$15,'Raw Pressure Data'!$1:$1,0))+$G$15))),"")</f>
        <v/>
      </c>
      <c r="Y158" s="24">
        <f>IFERROR(IF($F$16="","",IF($K$5+ROW()-26&gt;$K$6,"",IF(INDEX('Raw Pressure Data'!$A:$ZZ,$K$5+ROW()-26+$H$16,MATCH($F$16,'Raw Pressure Data'!$1:$1,0))=-999,"",INDEX('Raw Pressure Data'!$A:$ZZ,$K$5+ROW()-26+$H$16,MATCH($F$16,'Raw Pressure Data'!$1:$1,0))+$G$16))),"")</f>
        <v/>
      </c>
      <c r="Z158" s="24">
        <f>IFERROR(IF($F$17="","",IF($K$5+ROW()-26&gt;$K$6,"",IF(INDEX('Raw Pressure Data'!$A:$ZZ,$K$5+ROW()-26+$H$17,MATCH($F$17,'Raw Pressure Data'!$1:$1,0))=-999,"",INDEX('Raw Pressure Data'!$A:$ZZ,$K$5+ROW()-26+$H$17,MATCH($F$17,'Raw Pressure Data'!$1:$1,0))+$G$17))),"")</f>
        <v/>
      </c>
      <c r="AA158" s="24">
        <f>IFERROR(IF($F$18="","",IF($K$5+ROW()-26&gt;$K$6,"",IF(INDEX('Raw Pressure Data'!$A:$ZZ,$K$5+ROW()-26+$H$18,MATCH($F$18,'Raw Pressure Data'!$1:$1,0))=-999,"",INDEX('Raw Pressure Data'!$A:$ZZ,$K$5+ROW()-26+$H$18,MATCH($F$18,'Raw Pressure Data'!$1:$1,0))+$G$18))),"")</f>
        <v/>
      </c>
      <c r="AB158" s="24">
        <f>IFERROR(IF($F$19="","",IF($K$5+ROW()-26&gt;$K$6,"",IF(INDEX('Raw Pressure Data'!$A:$ZZ,$K$5+ROW()-26+$H$19,MATCH($F$19,'Raw Pressure Data'!$1:$1,0))=-999,"",INDEX('Raw Pressure Data'!$A:$ZZ,$K$5+ROW()-26+$H$19,MATCH($F$19,'Raw Pressure Data'!$1:$1,0))+$G$19))),"")</f>
        <v/>
      </c>
      <c r="AC158" s="24">
        <f>IFERROR(IF($F$20="","",IF($K$5+ROW()-26&gt;$K$6,"",IF(INDEX('Raw Pressure Data'!$A:$ZZ,$K$5+ROW()-26+$H$20,MATCH($F$20,'Raw Pressure Data'!$1:$1,0))=-999,"",INDEX('Raw Pressure Data'!$A:$ZZ,$K$5+ROW()-26+$H$20,MATCH($F$20,'Raw Pressure Data'!$1:$1,0))+$G$20))),"")</f>
        <v/>
      </c>
      <c r="AD158" s="24">
        <f>IFERROR(IF($F$21="","",IF($K$5+ROW()-26&gt;$K$6,"",IF(INDEX('Raw Pressure Data'!$A:$ZZ,$K$5+ROW()-26+$H$21,MATCH($F$21,'Raw Pressure Data'!$1:$1,0))=-999,"",INDEX('Raw Pressure Data'!$A:$ZZ,$K$5+ROW()-26+$H$21,MATCH($F$21,'Raw Pressure Data'!$1:$1,0))+$G$21))),"")</f>
        <v/>
      </c>
      <c r="AE158" s="24">
        <f>IFERROR(IF($F$22="","",IF($K$5+ROW()-26&gt;$K$6,"",IF(INDEX('Raw Pressure Data'!$A:$ZZ,$K$5+ROW()-26+$H$22,MATCH($F$22,'Raw Pressure Data'!$1:$1,0))=-999,"",INDEX('Raw Pressure Data'!$A:$ZZ,$K$5+ROW()-26+$H$22,MATCH($F$22,'Raw Pressure Data'!$1:$1,0))+$G$22))),"")</f>
        <v/>
      </c>
    </row>
    <row r="159" ht="15" customHeight="1">
      <c r="A159" s="25">
        <f>IFERROR(IF($K$5+ROW()-26&gt;$K$6,"",IF(INDEX('Raw Flow Data'!$A:$A,$K$5+ROW()-26)="","",INDEX('Raw Flow Data'!$A:$A,$K$5+ROW()-26))),"")</f>
        <v/>
      </c>
      <c r="B159" s="26">
        <f>IFERROR(IF($B$3="","",IF($K$5+ROW()-26&gt;$K$6,"",IF(INDEX('Raw Flow Data'!$A:$ZZ,$K$5+ROW()-26+$D$3,MATCH($B$3,'Raw Flow Data'!$1:$1,0))=-999,"",INDEX('Raw Flow Data'!$A:$ZZ,$K$5+ROW()-26+$D$3,MATCH($B$3,'Raw Flow Data'!$1:$1,0))*$C$3))),"")</f>
        <v/>
      </c>
      <c r="C159" s="26">
        <f>IFERROR(IF($B$4="","",IF($K$5+ROW()-26&gt;$K$6,"",IF(INDEX('Raw Flow Data'!$A:$ZZ,$K$5+ROW()-26+$D$4,MATCH($B$4,'Raw Flow Data'!$1:$1,0))=-999,"",INDEX('Raw Flow Data'!$A:$ZZ,$K$5+ROW()-26+$D$4,MATCH($B$4,'Raw Flow Data'!$1:$1,0))*$C$4))),"")</f>
        <v/>
      </c>
      <c r="D159" s="26">
        <f>IFERROR(IF($B$5="","",IF($K$5+ROW()-26&gt;$K$6,"",IF(INDEX('Raw Flow Data'!$A:$ZZ,$K$5+ROW()-26+$D$5,MATCH($B$5,'Raw Flow Data'!$1:$1,0))=-999,"",INDEX('Raw Flow Data'!$A:$ZZ,$K$5+ROW()-26+$D$5,MATCH($B$5,'Raw Flow Data'!$1:$1,0))*$C$5))),"")</f>
        <v/>
      </c>
      <c r="E159" s="26">
        <f>IFERROR(IF($B$6="","",IF($K$5+ROW()-26&gt;$K$6,"",IF(INDEX('Raw Flow Data'!$A:$ZZ,$K$5+ROW()-26+$D$6,MATCH($B$6,'Raw Flow Data'!$1:$1,0))=-999,"",INDEX('Raw Flow Data'!$A:$ZZ,$K$5+ROW()-26+$D$6,MATCH($B$6,'Raw Flow Data'!$1:$1,0))*$C$6))),"")</f>
        <v/>
      </c>
      <c r="F159" s="26">
        <f>IFERROR(IF($B$7="","",IF($K$5+ROW()-26&gt;$K$6,"",IF(INDEX('Raw Flow Data'!$A:$ZZ,$K$5+ROW()-26+$D$7,MATCH($B$7,'Raw Flow Data'!$1:$1,0))=-999,"",INDEX('Raw Flow Data'!$A:$ZZ,$K$5+ROW()-26+$D$7,MATCH($B$7,'Raw Flow Data'!$1:$1,0))*$C$7))),"")</f>
        <v/>
      </c>
      <c r="G159" s="26">
        <f>IFERROR(IF($B$8="","",IF($K$5+ROW()-26&gt;$K$6,"",IF(INDEX('Raw Flow Data'!$A:$ZZ,$K$5+ROW()-26+$D$8,MATCH($B$8,'Raw Flow Data'!$1:$1,0))=-999,"",INDEX('Raw Flow Data'!$A:$ZZ,$K$5+ROW()-26+$D$8,MATCH($B$8,'Raw Flow Data'!$1:$1,0))*$C$8))),"")</f>
        <v/>
      </c>
      <c r="H159" s="26">
        <f>IFERROR(IF($B$9="","",IF($K$5+ROW()-26&gt;$K$6,"",IF(INDEX('Raw Flow Data'!$A:$ZZ,$K$5+ROW()-26+$D$9,MATCH($B$9,'Raw Flow Data'!$1:$1,0))=-999,"",INDEX('Raw Flow Data'!$A:$ZZ,$K$5+ROW()-26+$D$9,MATCH($B$9,'Raw Flow Data'!$1:$1,0))*$C$9))),"")</f>
        <v/>
      </c>
      <c r="I159" s="26">
        <f>IFERROR(IF($B$10="","",IF($K$5+ROW()-26&gt;$K$6,"",IF(INDEX('Raw Flow Data'!$A:$ZZ,$K$5+ROW()-26+$D$10,MATCH($B$10,'Raw Flow Data'!$1:$1,0))=-999,"",INDEX('Raw Flow Data'!$A:$ZZ,$K$5+ROW()-26+$D$10,MATCH($B$10,'Raw Flow Data'!$1:$1,0))*$C$10))),"")</f>
        <v/>
      </c>
      <c r="J159" s="26">
        <f>IFERROR(IF($B$11="","",IF($K$5+ROW()-26&gt;$K$6,"",IF(INDEX('Raw Flow Data'!$A:$ZZ,$K$5+ROW()-26+$D$11,MATCH($B$11,'Raw Flow Data'!$1:$1,0))=-999,"",INDEX('Raw Flow Data'!$A:$ZZ,$K$5+ROW()-26+$D$11,MATCH($B$11,'Raw Flow Data'!$1:$1,0))*$C$11))),"")</f>
        <v/>
      </c>
      <c r="K159" s="26">
        <f>IFERROR(IF($B$12="","",IF($K$5+ROW()-26&gt;$K$6,"",IF(INDEX('Raw Flow Data'!$A:$ZZ,$K$5+ROW()-26+$D$12,MATCH($B$12,'Raw Flow Data'!$1:$1,0))=-999,"",INDEX('Raw Flow Data'!$A:$ZZ,$K$5+ROW()-26+$D$12,MATCH($B$12,'Raw Flow Data'!$1:$1,0))*$C$12))),"")</f>
        <v/>
      </c>
      <c r="L159" s="26">
        <f>IFERROR(IF($F$3="","",IF($K$5+ROW()-26&gt;$K$6,"",IF(INDEX('Raw Pressure Data'!$A:$ZZ,$K$5+ROW()-26+$H$3,MATCH($F$3,'Raw Pressure Data'!$1:$1,0))=-999,"",INDEX('Raw Pressure Data'!$A:$ZZ,$K$5+ROW()-26+$H$3,MATCH($F$3,'Raw Pressure Data'!$1:$1,0))+$G$3))),"")</f>
        <v/>
      </c>
      <c r="M159" s="26">
        <f>IFERROR(IF($F$4="","",IF($K$5+ROW()-26&gt;$K$6,"",IF(INDEX('Raw Pressure Data'!$A:$ZZ,$K$5+ROW()-26+$H$4,MATCH($F$4,'Raw Pressure Data'!$1:$1,0))=-999,"",INDEX('Raw Pressure Data'!$A:$ZZ,$K$5+ROW()-26+$H$4,MATCH($F$4,'Raw Pressure Data'!$1:$1,0))+$G$4))),"")</f>
        <v/>
      </c>
      <c r="N159" s="26">
        <f>IFERROR(IF($F$5="","",IF($K$5+ROW()-26&gt;$K$6,"",IF(INDEX('Raw Pressure Data'!$A:$ZZ,$K$5+ROW()-26+$H$5,MATCH($F$5,'Raw Pressure Data'!$1:$1,0))=-999,"",INDEX('Raw Pressure Data'!$A:$ZZ,$K$5+ROW()-26+$H$5,MATCH($F$5,'Raw Pressure Data'!$1:$1,0))+$G$5))),"")</f>
        <v/>
      </c>
      <c r="O159" s="26">
        <f>IFERROR(IF($F$6="","",IF($K$5+ROW()-26&gt;$K$6,"",IF(INDEX('Raw Pressure Data'!$A:$ZZ,$K$5+ROW()-26+$H$6,MATCH($F$6,'Raw Pressure Data'!$1:$1,0))=-999,"",INDEX('Raw Pressure Data'!$A:$ZZ,$K$5+ROW()-26+$H$6,MATCH($F$6,'Raw Pressure Data'!$1:$1,0))+$G$6))),"")</f>
        <v/>
      </c>
      <c r="P159" s="26">
        <f>IFERROR(IF($F$7="","",IF($K$5+ROW()-26&gt;$K$6,"",IF(INDEX('Raw Pressure Data'!$A:$ZZ,$K$5+ROW()-26+$H$7,MATCH($F$7,'Raw Pressure Data'!$1:$1,0))=-999,"",INDEX('Raw Pressure Data'!$A:$ZZ,$K$5+ROW()-26+$H$7,MATCH($F$7,'Raw Pressure Data'!$1:$1,0))+$G$7))),"")</f>
        <v/>
      </c>
      <c r="Q159" s="26">
        <f>IFERROR(IF($F$8="","",IF($K$5+ROW()-26&gt;$K$6,"",IF(INDEX('Raw Pressure Data'!$A:$ZZ,$K$5+ROW()-26+$H$8,MATCH($F$8,'Raw Pressure Data'!$1:$1,0))=-999,"",INDEX('Raw Pressure Data'!$A:$ZZ,$K$5+ROW()-26+$H$8,MATCH($F$8,'Raw Pressure Data'!$1:$1,0))+$G$8))),"")</f>
        <v/>
      </c>
      <c r="R159" s="26">
        <f>IFERROR(IF($F$9="","",IF($K$5+ROW()-26&gt;$K$6,"",IF(INDEX('Raw Pressure Data'!$A:$ZZ,$K$5+ROW()-26+$H$9,MATCH($F$9,'Raw Pressure Data'!$1:$1,0))=-999,"",INDEX('Raw Pressure Data'!$A:$ZZ,$K$5+ROW()-26+$H$9,MATCH($F$9,'Raw Pressure Data'!$1:$1,0))+$G$9))),"")</f>
        <v/>
      </c>
      <c r="S159" s="26">
        <f>IFERROR(IF($F$10="","",IF($K$5+ROW()-26&gt;$K$6,"",IF(INDEX('Raw Pressure Data'!$A:$ZZ,$K$5+ROW()-26+$H$10,MATCH($F$10,'Raw Pressure Data'!$1:$1,0))=-999,"",INDEX('Raw Pressure Data'!$A:$ZZ,$K$5+ROW()-26+$H$10,MATCH($F$10,'Raw Pressure Data'!$1:$1,0))+$G$10))),"")</f>
        <v/>
      </c>
      <c r="T159" s="26">
        <f>IFERROR(IF($F$11="","",IF($K$5+ROW()-26&gt;$K$6,"",IF(INDEX('Raw Pressure Data'!$A:$ZZ,$K$5+ROW()-26+$H$11,MATCH($F$11,'Raw Pressure Data'!$1:$1,0))=-999,"",INDEX('Raw Pressure Data'!$A:$ZZ,$K$5+ROW()-26+$H$11,MATCH($F$11,'Raw Pressure Data'!$1:$1,0))+$G$11))),"")</f>
        <v/>
      </c>
      <c r="U159" s="26">
        <f>IFERROR(IF($F$12="","",IF($K$5+ROW()-26&gt;$K$6,"",IF(INDEX('Raw Pressure Data'!$A:$ZZ,$K$5+ROW()-26+$H$12,MATCH($F$12,'Raw Pressure Data'!$1:$1,0))=-999,"",INDEX('Raw Pressure Data'!$A:$ZZ,$K$5+ROW()-26+$H$12,MATCH($F$12,'Raw Pressure Data'!$1:$1,0))+$G$12))),"")</f>
        <v/>
      </c>
      <c r="V159" s="26">
        <f>IFERROR(IF($F$13="","",IF($K$5+ROW()-26&gt;$K$6,"",IF(INDEX('Raw Pressure Data'!$A:$ZZ,$K$5+ROW()-26+$H$13,MATCH($F$13,'Raw Pressure Data'!$1:$1,0))=-999,"",INDEX('Raw Pressure Data'!$A:$ZZ,$K$5+ROW()-26+$H$13,MATCH($F$13,'Raw Pressure Data'!$1:$1,0))+$G$13))),"")</f>
        <v/>
      </c>
      <c r="W159" s="26">
        <f>IFERROR(IF($F$14="","",IF($K$5+ROW()-26&gt;$K$6,"",IF(INDEX('Raw Pressure Data'!$A:$ZZ,$K$5+ROW()-26+$H$14,MATCH($F$14,'Raw Pressure Data'!$1:$1,0))=-999,"",INDEX('Raw Pressure Data'!$A:$ZZ,$K$5+ROW()-26+$H$14,MATCH($F$14,'Raw Pressure Data'!$1:$1,0))+$G$14))),"")</f>
        <v/>
      </c>
      <c r="X159" s="26">
        <f>IFERROR(IF($F$15="","",IF($K$5+ROW()-26&gt;$K$6,"",IF(INDEX('Raw Pressure Data'!$A:$ZZ,$K$5+ROW()-26+$H$15,MATCH($F$15,'Raw Pressure Data'!$1:$1,0))=-999,"",INDEX('Raw Pressure Data'!$A:$ZZ,$K$5+ROW()-26+$H$15,MATCH($F$15,'Raw Pressure Data'!$1:$1,0))+$G$15))),"")</f>
        <v/>
      </c>
      <c r="Y159" s="26">
        <f>IFERROR(IF($F$16="","",IF($K$5+ROW()-26&gt;$K$6,"",IF(INDEX('Raw Pressure Data'!$A:$ZZ,$K$5+ROW()-26+$H$16,MATCH($F$16,'Raw Pressure Data'!$1:$1,0))=-999,"",INDEX('Raw Pressure Data'!$A:$ZZ,$K$5+ROW()-26+$H$16,MATCH($F$16,'Raw Pressure Data'!$1:$1,0))+$G$16))),"")</f>
        <v/>
      </c>
      <c r="Z159" s="26">
        <f>IFERROR(IF($F$17="","",IF($K$5+ROW()-26&gt;$K$6,"",IF(INDEX('Raw Pressure Data'!$A:$ZZ,$K$5+ROW()-26+$H$17,MATCH($F$17,'Raw Pressure Data'!$1:$1,0))=-999,"",INDEX('Raw Pressure Data'!$A:$ZZ,$K$5+ROW()-26+$H$17,MATCH($F$17,'Raw Pressure Data'!$1:$1,0))+$G$17))),"")</f>
        <v/>
      </c>
      <c r="AA159" s="26">
        <f>IFERROR(IF($F$18="","",IF($K$5+ROW()-26&gt;$K$6,"",IF(INDEX('Raw Pressure Data'!$A:$ZZ,$K$5+ROW()-26+$H$18,MATCH($F$18,'Raw Pressure Data'!$1:$1,0))=-999,"",INDEX('Raw Pressure Data'!$A:$ZZ,$K$5+ROW()-26+$H$18,MATCH($F$18,'Raw Pressure Data'!$1:$1,0))+$G$18))),"")</f>
        <v/>
      </c>
      <c r="AB159" s="26">
        <f>IFERROR(IF($F$19="","",IF($K$5+ROW()-26&gt;$K$6,"",IF(INDEX('Raw Pressure Data'!$A:$ZZ,$K$5+ROW()-26+$H$19,MATCH($F$19,'Raw Pressure Data'!$1:$1,0))=-999,"",INDEX('Raw Pressure Data'!$A:$ZZ,$K$5+ROW()-26+$H$19,MATCH($F$19,'Raw Pressure Data'!$1:$1,0))+$G$19))),"")</f>
        <v/>
      </c>
      <c r="AC159" s="26">
        <f>IFERROR(IF($F$20="","",IF($K$5+ROW()-26&gt;$K$6,"",IF(INDEX('Raw Pressure Data'!$A:$ZZ,$K$5+ROW()-26+$H$20,MATCH($F$20,'Raw Pressure Data'!$1:$1,0))=-999,"",INDEX('Raw Pressure Data'!$A:$ZZ,$K$5+ROW()-26+$H$20,MATCH($F$20,'Raw Pressure Data'!$1:$1,0))+$G$20))),"")</f>
        <v/>
      </c>
      <c r="AD159" s="26">
        <f>IFERROR(IF($F$21="","",IF($K$5+ROW()-26&gt;$K$6,"",IF(INDEX('Raw Pressure Data'!$A:$ZZ,$K$5+ROW()-26+$H$21,MATCH($F$21,'Raw Pressure Data'!$1:$1,0))=-999,"",INDEX('Raw Pressure Data'!$A:$ZZ,$K$5+ROW()-26+$H$21,MATCH($F$21,'Raw Pressure Data'!$1:$1,0))+$G$21))),"")</f>
        <v/>
      </c>
      <c r="AE159" s="26">
        <f>IFERROR(IF($F$22="","",IF($K$5+ROW()-26&gt;$K$6,"",IF(INDEX('Raw Pressure Data'!$A:$ZZ,$K$5+ROW()-26+$H$22,MATCH($F$22,'Raw Pressure Data'!$1:$1,0))=-999,"",INDEX('Raw Pressure Data'!$A:$ZZ,$K$5+ROW()-26+$H$22,MATCH($F$22,'Raw Pressure Data'!$1:$1,0))+$G$22))),"")</f>
        <v/>
      </c>
    </row>
    <row r="160" ht="15" customHeight="1">
      <c r="A160" s="23">
        <f>IFERROR(IF($K$5+ROW()-26&gt;$K$6,"",IF(INDEX('Raw Flow Data'!$A:$A,$K$5+ROW()-26)="","",INDEX('Raw Flow Data'!$A:$A,$K$5+ROW()-26))),"")</f>
        <v/>
      </c>
      <c r="B160" s="24">
        <f>IFERROR(IF($B$3="","",IF($K$5+ROW()-26&gt;$K$6,"",IF(INDEX('Raw Flow Data'!$A:$ZZ,$K$5+ROW()-26+$D$3,MATCH($B$3,'Raw Flow Data'!$1:$1,0))=-999,"",INDEX('Raw Flow Data'!$A:$ZZ,$K$5+ROW()-26+$D$3,MATCH($B$3,'Raw Flow Data'!$1:$1,0))*$C$3))),"")</f>
        <v/>
      </c>
      <c r="C160" s="24">
        <f>IFERROR(IF($B$4="","",IF($K$5+ROW()-26&gt;$K$6,"",IF(INDEX('Raw Flow Data'!$A:$ZZ,$K$5+ROW()-26+$D$4,MATCH($B$4,'Raw Flow Data'!$1:$1,0))=-999,"",INDEX('Raw Flow Data'!$A:$ZZ,$K$5+ROW()-26+$D$4,MATCH($B$4,'Raw Flow Data'!$1:$1,0))*$C$4))),"")</f>
        <v/>
      </c>
      <c r="D160" s="24">
        <f>IFERROR(IF($B$5="","",IF($K$5+ROW()-26&gt;$K$6,"",IF(INDEX('Raw Flow Data'!$A:$ZZ,$K$5+ROW()-26+$D$5,MATCH($B$5,'Raw Flow Data'!$1:$1,0))=-999,"",INDEX('Raw Flow Data'!$A:$ZZ,$K$5+ROW()-26+$D$5,MATCH($B$5,'Raw Flow Data'!$1:$1,0))*$C$5))),"")</f>
        <v/>
      </c>
      <c r="E160" s="24">
        <f>IFERROR(IF($B$6="","",IF($K$5+ROW()-26&gt;$K$6,"",IF(INDEX('Raw Flow Data'!$A:$ZZ,$K$5+ROW()-26+$D$6,MATCH($B$6,'Raw Flow Data'!$1:$1,0))=-999,"",INDEX('Raw Flow Data'!$A:$ZZ,$K$5+ROW()-26+$D$6,MATCH($B$6,'Raw Flow Data'!$1:$1,0))*$C$6))),"")</f>
        <v/>
      </c>
      <c r="F160" s="24">
        <f>IFERROR(IF($B$7="","",IF($K$5+ROW()-26&gt;$K$6,"",IF(INDEX('Raw Flow Data'!$A:$ZZ,$K$5+ROW()-26+$D$7,MATCH($B$7,'Raw Flow Data'!$1:$1,0))=-999,"",INDEX('Raw Flow Data'!$A:$ZZ,$K$5+ROW()-26+$D$7,MATCH($B$7,'Raw Flow Data'!$1:$1,0))*$C$7))),"")</f>
        <v/>
      </c>
      <c r="G160" s="24">
        <f>IFERROR(IF($B$8="","",IF($K$5+ROW()-26&gt;$K$6,"",IF(INDEX('Raw Flow Data'!$A:$ZZ,$K$5+ROW()-26+$D$8,MATCH($B$8,'Raw Flow Data'!$1:$1,0))=-999,"",INDEX('Raw Flow Data'!$A:$ZZ,$K$5+ROW()-26+$D$8,MATCH($B$8,'Raw Flow Data'!$1:$1,0))*$C$8))),"")</f>
        <v/>
      </c>
      <c r="H160" s="24">
        <f>IFERROR(IF($B$9="","",IF($K$5+ROW()-26&gt;$K$6,"",IF(INDEX('Raw Flow Data'!$A:$ZZ,$K$5+ROW()-26+$D$9,MATCH($B$9,'Raw Flow Data'!$1:$1,0))=-999,"",INDEX('Raw Flow Data'!$A:$ZZ,$K$5+ROW()-26+$D$9,MATCH($B$9,'Raw Flow Data'!$1:$1,0))*$C$9))),"")</f>
        <v/>
      </c>
      <c r="I160" s="24">
        <f>IFERROR(IF($B$10="","",IF($K$5+ROW()-26&gt;$K$6,"",IF(INDEX('Raw Flow Data'!$A:$ZZ,$K$5+ROW()-26+$D$10,MATCH($B$10,'Raw Flow Data'!$1:$1,0))=-999,"",INDEX('Raw Flow Data'!$A:$ZZ,$K$5+ROW()-26+$D$10,MATCH($B$10,'Raw Flow Data'!$1:$1,0))*$C$10))),"")</f>
        <v/>
      </c>
      <c r="J160" s="24">
        <f>IFERROR(IF($B$11="","",IF($K$5+ROW()-26&gt;$K$6,"",IF(INDEX('Raw Flow Data'!$A:$ZZ,$K$5+ROW()-26+$D$11,MATCH($B$11,'Raw Flow Data'!$1:$1,0))=-999,"",INDEX('Raw Flow Data'!$A:$ZZ,$K$5+ROW()-26+$D$11,MATCH($B$11,'Raw Flow Data'!$1:$1,0))*$C$11))),"")</f>
        <v/>
      </c>
      <c r="K160" s="24">
        <f>IFERROR(IF($B$12="","",IF($K$5+ROW()-26&gt;$K$6,"",IF(INDEX('Raw Flow Data'!$A:$ZZ,$K$5+ROW()-26+$D$12,MATCH($B$12,'Raw Flow Data'!$1:$1,0))=-999,"",INDEX('Raw Flow Data'!$A:$ZZ,$K$5+ROW()-26+$D$12,MATCH($B$12,'Raw Flow Data'!$1:$1,0))*$C$12))),"")</f>
        <v/>
      </c>
      <c r="L160" s="24">
        <f>IFERROR(IF($F$3="","",IF($K$5+ROW()-26&gt;$K$6,"",IF(INDEX('Raw Pressure Data'!$A:$ZZ,$K$5+ROW()-26+$H$3,MATCH($F$3,'Raw Pressure Data'!$1:$1,0))=-999,"",INDEX('Raw Pressure Data'!$A:$ZZ,$K$5+ROW()-26+$H$3,MATCH($F$3,'Raw Pressure Data'!$1:$1,0))+$G$3))),"")</f>
        <v/>
      </c>
      <c r="M160" s="24">
        <f>IFERROR(IF($F$4="","",IF($K$5+ROW()-26&gt;$K$6,"",IF(INDEX('Raw Pressure Data'!$A:$ZZ,$K$5+ROW()-26+$H$4,MATCH($F$4,'Raw Pressure Data'!$1:$1,0))=-999,"",INDEX('Raw Pressure Data'!$A:$ZZ,$K$5+ROW()-26+$H$4,MATCH($F$4,'Raw Pressure Data'!$1:$1,0))+$G$4))),"")</f>
        <v/>
      </c>
      <c r="N160" s="24">
        <f>IFERROR(IF($F$5="","",IF($K$5+ROW()-26&gt;$K$6,"",IF(INDEX('Raw Pressure Data'!$A:$ZZ,$K$5+ROW()-26+$H$5,MATCH($F$5,'Raw Pressure Data'!$1:$1,0))=-999,"",INDEX('Raw Pressure Data'!$A:$ZZ,$K$5+ROW()-26+$H$5,MATCH($F$5,'Raw Pressure Data'!$1:$1,0))+$G$5))),"")</f>
        <v/>
      </c>
      <c r="O160" s="24">
        <f>IFERROR(IF($F$6="","",IF($K$5+ROW()-26&gt;$K$6,"",IF(INDEX('Raw Pressure Data'!$A:$ZZ,$K$5+ROW()-26+$H$6,MATCH($F$6,'Raw Pressure Data'!$1:$1,0))=-999,"",INDEX('Raw Pressure Data'!$A:$ZZ,$K$5+ROW()-26+$H$6,MATCH($F$6,'Raw Pressure Data'!$1:$1,0))+$G$6))),"")</f>
        <v/>
      </c>
      <c r="P160" s="24">
        <f>IFERROR(IF($F$7="","",IF($K$5+ROW()-26&gt;$K$6,"",IF(INDEX('Raw Pressure Data'!$A:$ZZ,$K$5+ROW()-26+$H$7,MATCH($F$7,'Raw Pressure Data'!$1:$1,0))=-999,"",INDEX('Raw Pressure Data'!$A:$ZZ,$K$5+ROW()-26+$H$7,MATCH($F$7,'Raw Pressure Data'!$1:$1,0))+$G$7))),"")</f>
        <v/>
      </c>
      <c r="Q160" s="24">
        <f>IFERROR(IF($F$8="","",IF($K$5+ROW()-26&gt;$K$6,"",IF(INDEX('Raw Pressure Data'!$A:$ZZ,$K$5+ROW()-26+$H$8,MATCH($F$8,'Raw Pressure Data'!$1:$1,0))=-999,"",INDEX('Raw Pressure Data'!$A:$ZZ,$K$5+ROW()-26+$H$8,MATCH($F$8,'Raw Pressure Data'!$1:$1,0))+$G$8))),"")</f>
        <v/>
      </c>
      <c r="R160" s="24">
        <f>IFERROR(IF($F$9="","",IF($K$5+ROW()-26&gt;$K$6,"",IF(INDEX('Raw Pressure Data'!$A:$ZZ,$K$5+ROW()-26+$H$9,MATCH($F$9,'Raw Pressure Data'!$1:$1,0))=-999,"",INDEX('Raw Pressure Data'!$A:$ZZ,$K$5+ROW()-26+$H$9,MATCH($F$9,'Raw Pressure Data'!$1:$1,0))+$G$9))),"")</f>
        <v/>
      </c>
      <c r="S160" s="24">
        <f>IFERROR(IF($F$10="","",IF($K$5+ROW()-26&gt;$K$6,"",IF(INDEX('Raw Pressure Data'!$A:$ZZ,$K$5+ROW()-26+$H$10,MATCH($F$10,'Raw Pressure Data'!$1:$1,0))=-999,"",INDEX('Raw Pressure Data'!$A:$ZZ,$K$5+ROW()-26+$H$10,MATCH($F$10,'Raw Pressure Data'!$1:$1,0))+$G$10))),"")</f>
        <v/>
      </c>
      <c r="T160" s="24">
        <f>IFERROR(IF($F$11="","",IF($K$5+ROW()-26&gt;$K$6,"",IF(INDEX('Raw Pressure Data'!$A:$ZZ,$K$5+ROW()-26+$H$11,MATCH($F$11,'Raw Pressure Data'!$1:$1,0))=-999,"",INDEX('Raw Pressure Data'!$A:$ZZ,$K$5+ROW()-26+$H$11,MATCH($F$11,'Raw Pressure Data'!$1:$1,0))+$G$11))),"")</f>
        <v/>
      </c>
      <c r="U160" s="24">
        <f>IFERROR(IF($F$12="","",IF($K$5+ROW()-26&gt;$K$6,"",IF(INDEX('Raw Pressure Data'!$A:$ZZ,$K$5+ROW()-26+$H$12,MATCH($F$12,'Raw Pressure Data'!$1:$1,0))=-999,"",INDEX('Raw Pressure Data'!$A:$ZZ,$K$5+ROW()-26+$H$12,MATCH($F$12,'Raw Pressure Data'!$1:$1,0))+$G$12))),"")</f>
        <v/>
      </c>
      <c r="V160" s="24">
        <f>IFERROR(IF($F$13="","",IF($K$5+ROW()-26&gt;$K$6,"",IF(INDEX('Raw Pressure Data'!$A:$ZZ,$K$5+ROW()-26+$H$13,MATCH($F$13,'Raw Pressure Data'!$1:$1,0))=-999,"",INDEX('Raw Pressure Data'!$A:$ZZ,$K$5+ROW()-26+$H$13,MATCH($F$13,'Raw Pressure Data'!$1:$1,0))+$G$13))),"")</f>
        <v/>
      </c>
      <c r="W160" s="24">
        <f>IFERROR(IF($F$14="","",IF($K$5+ROW()-26&gt;$K$6,"",IF(INDEX('Raw Pressure Data'!$A:$ZZ,$K$5+ROW()-26+$H$14,MATCH($F$14,'Raw Pressure Data'!$1:$1,0))=-999,"",INDEX('Raw Pressure Data'!$A:$ZZ,$K$5+ROW()-26+$H$14,MATCH($F$14,'Raw Pressure Data'!$1:$1,0))+$G$14))),"")</f>
        <v/>
      </c>
      <c r="X160" s="24">
        <f>IFERROR(IF($F$15="","",IF($K$5+ROW()-26&gt;$K$6,"",IF(INDEX('Raw Pressure Data'!$A:$ZZ,$K$5+ROW()-26+$H$15,MATCH($F$15,'Raw Pressure Data'!$1:$1,0))=-999,"",INDEX('Raw Pressure Data'!$A:$ZZ,$K$5+ROW()-26+$H$15,MATCH($F$15,'Raw Pressure Data'!$1:$1,0))+$G$15))),"")</f>
        <v/>
      </c>
      <c r="Y160" s="24">
        <f>IFERROR(IF($F$16="","",IF($K$5+ROW()-26&gt;$K$6,"",IF(INDEX('Raw Pressure Data'!$A:$ZZ,$K$5+ROW()-26+$H$16,MATCH($F$16,'Raw Pressure Data'!$1:$1,0))=-999,"",INDEX('Raw Pressure Data'!$A:$ZZ,$K$5+ROW()-26+$H$16,MATCH($F$16,'Raw Pressure Data'!$1:$1,0))+$G$16))),"")</f>
        <v/>
      </c>
      <c r="Z160" s="24">
        <f>IFERROR(IF($F$17="","",IF($K$5+ROW()-26&gt;$K$6,"",IF(INDEX('Raw Pressure Data'!$A:$ZZ,$K$5+ROW()-26+$H$17,MATCH($F$17,'Raw Pressure Data'!$1:$1,0))=-999,"",INDEX('Raw Pressure Data'!$A:$ZZ,$K$5+ROW()-26+$H$17,MATCH($F$17,'Raw Pressure Data'!$1:$1,0))+$G$17))),"")</f>
        <v/>
      </c>
      <c r="AA160" s="24">
        <f>IFERROR(IF($F$18="","",IF($K$5+ROW()-26&gt;$K$6,"",IF(INDEX('Raw Pressure Data'!$A:$ZZ,$K$5+ROW()-26+$H$18,MATCH($F$18,'Raw Pressure Data'!$1:$1,0))=-999,"",INDEX('Raw Pressure Data'!$A:$ZZ,$K$5+ROW()-26+$H$18,MATCH($F$18,'Raw Pressure Data'!$1:$1,0))+$G$18))),"")</f>
        <v/>
      </c>
      <c r="AB160" s="24">
        <f>IFERROR(IF($F$19="","",IF($K$5+ROW()-26&gt;$K$6,"",IF(INDEX('Raw Pressure Data'!$A:$ZZ,$K$5+ROW()-26+$H$19,MATCH($F$19,'Raw Pressure Data'!$1:$1,0))=-999,"",INDEX('Raw Pressure Data'!$A:$ZZ,$K$5+ROW()-26+$H$19,MATCH($F$19,'Raw Pressure Data'!$1:$1,0))+$G$19))),"")</f>
        <v/>
      </c>
      <c r="AC160" s="24">
        <f>IFERROR(IF($F$20="","",IF($K$5+ROW()-26&gt;$K$6,"",IF(INDEX('Raw Pressure Data'!$A:$ZZ,$K$5+ROW()-26+$H$20,MATCH($F$20,'Raw Pressure Data'!$1:$1,0))=-999,"",INDEX('Raw Pressure Data'!$A:$ZZ,$K$5+ROW()-26+$H$20,MATCH($F$20,'Raw Pressure Data'!$1:$1,0))+$G$20))),"")</f>
        <v/>
      </c>
      <c r="AD160" s="24">
        <f>IFERROR(IF($F$21="","",IF($K$5+ROW()-26&gt;$K$6,"",IF(INDEX('Raw Pressure Data'!$A:$ZZ,$K$5+ROW()-26+$H$21,MATCH($F$21,'Raw Pressure Data'!$1:$1,0))=-999,"",INDEX('Raw Pressure Data'!$A:$ZZ,$K$5+ROW()-26+$H$21,MATCH($F$21,'Raw Pressure Data'!$1:$1,0))+$G$21))),"")</f>
        <v/>
      </c>
      <c r="AE160" s="24">
        <f>IFERROR(IF($F$22="","",IF($K$5+ROW()-26&gt;$K$6,"",IF(INDEX('Raw Pressure Data'!$A:$ZZ,$K$5+ROW()-26+$H$22,MATCH($F$22,'Raw Pressure Data'!$1:$1,0))=-999,"",INDEX('Raw Pressure Data'!$A:$ZZ,$K$5+ROW()-26+$H$22,MATCH($F$22,'Raw Pressure Data'!$1:$1,0))+$G$22))),"")</f>
        <v/>
      </c>
    </row>
    <row r="161" ht="15" customHeight="1">
      <c r="A161" s="25">
        <f>IFERROR(IF($K$5+ROW()-26&gt;$K$6,"",IF(INDEX('Raw Flow Data'!$A:$A,$K$5+ROW()-26)="","",INDEX('Raw Flow Data'!$A:$A,$K$5+ROW()-26))),"")</f>
        <v/>
      </c>
      <c r="B161" s="26">
        <f>IFERROR(IF($B$3="","",IF($K$5+ROW()-26&gt;$K$6,"",IF(INDEX('Raw Flow Data'!$A:$ZZ,$K$5+ROW()-26+$D$3,MATCH($B$3,'Raw Flow Data'!$1:$1,0))=-999,"",INDEX('Raw Flow Data'!$A:$ZZ,$K$5+ROW()-26+$D$3,MATCH($B$3,'Raw Flow Data'!$1:$1,0))*$C$3))),"")</f>
        <v/>
      </c>
      <c r="C161" s="26">
        <f>IFERROR(IF($B$4="","",IF($K$5+ROW()-26&gt;$K$6,"",IF(INDEX('Raw Flow Data'!$A:$ZZ,$K$5+ROW()-26+$D$4,MATCH($B$4,'Raw Flow Data'!$1:$1,0))=-999,"",INDEX('Raw Flow Data'!$A:$ZZ,$K$5+ROW()-26+$D$4,MATCH($B$4,'Raw Flow Data'!$1:$1,0))*$C$4))),"")</f>
        <v/>
      </c>
      <c r="D161" s="26">
        <f>IFERROR(IF($B$5="","",IF($K$5+ROW()-26&gt;$K$6,"",IF(INDEX('Raw Flow Data'!$A:$ZZ,$K$5+ROW()-26+$D$5,MATCH($B$5,'Raw Flow Data'!$1:$1,0))=-999,"",INDEX('Raw Flow Data'!$A:$ZZ,$K$5+ROW()-26+$D$5,MATCH($B$5,'Raw Flow Data'!$1:$1,0))*$C$5))),"")</f>
        <v/>
      </c>
      <c r="E161" s="26">
        <f>IFERROR(IF($B$6="","",IF($K$5+ROW()-26&gt;$K$6,"",IF(INDEX('Raw Flow Data'!$A:$ZZ,$K$5+ROW()-26+$D$6,MATCH($B$6,'Raw Flow Data'!$1:$1,0))=-999,"",INDEX('Raw Flow Data'!$A:$ZZ,$K$5+ROW()-26+$D$6,MATCH($B$6,'Raw Flow Data'!$1:$1,0))*$C$6))),"")</f>
        <v/>
      </c>
      <c r="F161" s="26">
        <f>IFERROR(IF($B$7="","",IF($K$5+ROW()-26&gt;$K$6,"",IF(INDEX('Raw Flow Data'!$A:$ZZ,$K$5+ROW()-26+$D$7,MATCH($B$7,'Raw Flow Data'!$1:$1,0))=-999,"",INDEX('Raw Flow Data'!$A:$ZZ,$K$5+ROW()-26+$D$7,MATCH($B$7,'Raw Flow Data'!$1:$1,0))*$C$7))),"")</f>
        <v/>
      </c>
      <c r="G161" s="26">
        <f>IFERROR(IF($B$8="","",IF($K$5+ROW()-26&gt;$K$6,"",IF(INDEX('Raw Flow Data'!$A:$ZZ,$K$5+ROW()-26+$D$8,MATCH($B$8,'Raw Flow Data'!$1:$1,0))=-999,"",INDEX('Raw Flow Data'!$A:$ZZ,$K$5+ROW()-26+$D$8,MATCH($B$8,'Raw Flow Data'!$1:$1,0))*$C$8))),"")</f>
        <v/>
      </c>
      <c r="H161" s="26">
        <f>IFERROR(IF($B$9="","",IF($K$5+ROW()-26&gt;$K$6,"",IF(INDEX('Raw Flow Data'!$A:$ZZ,$K$5+ROW()-26+$D$9,MATCH($B$9,'Raw Flow Data'!$1:$1,0))=-999,"",INDEX('Raw Flow Data'!$A:$ZZ,$K$5+ROW()-26+$D$9,MATCH($B$9,'Raw Flow Data'!$1:$1,0))*$C$9))),"")</f>
        <v/>
      </c>
      <c r="I161" s="26">
        <f>IFERROR(IF($B$10="","",IF($K$5+ROW()-26&gt;$K$6,"",IF(INDEX('Raw Flow Data'!$A:$ZZ,$K$5+ROW()-26+$D$10,MATCH($B$10,'Raw Flow Data'!$1:$1,0))=-999,"",INDEX('Raw Flow Data'!$A:$ZZ,$K$5+ROW()-26+$D$10,MATCH($B$10,'Raw Flow Data'!$1:$1,0))*$C$10))),"")</f>
        <v/>
      </c>
      <c r="J161" s="26">
        <f>IFERROR(IF($B$11="","",IF($K$5+ROW()-26&gt;$K$6,"",IF(INDEX('Raw Flow Data'!$A:$ZZ,$K$5+ROW()-26+$D$11,MATCH($B$11,'Raw Flow Data'!$1:$1,0))=-999,"",INDEX('Raw Flow Data'!$A:$ZZ,$K$5+ROW()-26+$D$11,MATCH($B$11,'Raw Flow Data'!$1:$1,0))*$C$11))),"")</f>
        <v/>
      </c>
      <c r="K161" s="26">
        <f>IFERROR(IF($B$12="","",IF($K$5+ROW()-26&gt;$K$6,"",IF(INDEX('Raw Flow Data'!$A:$ZZ,$K$5+ROW()-26+$D$12,MATCH($B$12,'Raw Flow Data'!$1:$1,0))=-999,"",INDEX('Raw Flow Data'!$A:$ZZ,$K$5+ROW()-26+$D$12,MATCH($B$12,'Raw Flow Data'!$1:$1,0))*$C$12))),"")</f>
        <v/>
      </c>
      <c r="L161" s="26">
        <f>IFERROR(IF($F$3="","",IF($K$5+ROW()-26&gt;$K$6,"",IF(INDEX('Raw Pressure Data'!$A:$ZZ,$K$5+ROW()-26+$H$3,MATCH($F$3,'Raw Pressure Data'!$1:$1,0))=-999,"",INDEX('Raw Pressure Data'!$A:$ZZ,$K$5+ROW()-26+$H$3,MATCH($F$3,'Raw Pressure Data'!$1:$1,0))+$G$3))),"")</f>
        <v/>
      </c>
      <c r="M161" s="26">
        <f>IFERROR(IF($F$4="","",IF($K$5+ROW()-26&gt;$K$6,"",IF(INDEX('Raw Pressure Data'!$A:$ZZ,$K$5+ROW()-26+$H$4,MATCH($F$4,'Raw Pressure Data'!$1:$1,0))=-999,"",INDEX('Raw Pressure Data'!$A:$ZZ,$K$5+ROW()-26+$H$4,MATCH($F$4,'Raw Pressure Data'!$1:$1,0))+$G$4))),"")</f>
        <v/>
      </c>
      <c r="N161" s="26">
        <f>IFERROR(IF($F$5="","",IF($K$5+ROW()-26&gt;$K$6,"",IF(INDEX('Raw Pressure Data'!$A:$ZZ,$K$5+ROW()-26+$H$5,MATCH($F$5,'Raw Pressure Data'!$1:$1,0))=-999,"",INDEX('Raw Pressure Data'!$A:$ZZ,$K$5+ROW()-26+$H$5,MATCH($F$5,'Raw Pressure Data'!$1:$1,0))+$G$5))),"")</f>
        <v/>
      </c>
      <c r="O161" s="26">
        <f>IFERROR(IF($F$6="","",IF($K$5+ROW()-26&gt;$K$6,"",IF(INDEX('Raw Pressure Data'!$A:$ZZ,$K$5+ROW()-26+$H$6,MATCH($F$6,'Raw Pressure Data'!$1:$1,0))=-999,"",INDEX('Raw Pressure Data'!$A:$ZZ,$K$5+ROW()-26+$H$6,MATCH($F$6,'Raw Pressure Data'!$1:$1,0))+$G$6))),"")</f>
        <v/>
      </c>
      <c r="P161" s="26">
        <f>IFERROR(IF($F$7="","",IF($K$5+ROW()-26&gt;$K$6,"",IF(INDEX('Raw Pressure Data'!$A:$ZZ,$K$5+ROW()-26+$H$7,MATCH($F$7,'Raw Pressure Data'!$1:$1,0))=-999,"",INDEX('Raw Pressure Data'!$A:$ZZ,$K$5+ROW()-26+$H$7,MATCH($F$7,'Raw Pressure Data'!$1:$1,0))+$G$7))),"")</f>
        <v/>
      </c>
      <c r="Q161" s="26">
        <f>IFERROR(IF($F$8="","",IF($K$5+ROW()-26&gt;$K$6,"",IF(INDEX('Raw Pressure Data'!$A:$ZZ,$K$5+ROW()-26+$H$8,MATCH($F$8,'Raw Pressure Data'!$1:$1,0))=-999,"",INDEX('Raw Pressure Data'!$A:$ZZ,$K$5+ROW()-26+$H$8,MATCH($F$8,'Raw Pressure Data'!$1:$1,0))+$G$8))),"")</f>
        <v/>
      </c>
      <c r="R161" s="26">
        <f>IFERROR(IF($F$9="","",IF($K$5+ROW()-26&gt;$K$6,"",IF(INDEX('Raw Pressure Data'!$A:$ZZ,$K$5+ROW()-26+$H$9,MATCH($F$9,'Raw Pressure Data'!$1:$1,0))=-999,"",INDEX('Raw Pressure Data'!$A:$ZZ,$K$5+ROW()-26+$H$9,MATCH($F$9,'Raw Pressure Data'!$1:$1,0))+$G$9))),"")</f>
        <v/>
      </c>
      <c r="S161" s="26">
        <f>IFERROR(IF($F$10="","",IF($K$5+ROW()-26&gt;$K$6,"",IF(INDEX('Raw Pressure Data'!$A:$ZZ,$K$5+ROW()-26+$H$10,MATCH($F$10,'Raw Pressure Data'!$1:$1,0))=-999,"",INDEX('Raw Pressure Data'!$A:$ZZ,$K$5+ROW()-26+$H$10,MATCH($F$10,'Raw Pressure Data'!$1:$1,0))+$G$10))),"")</f>
        <v/>
      </c>
      <c r="T161" s="26">
        <f>IFERROR(IF($F$11="","",IF($K$5+ROW()-26&gt;$K$6,"",IF(INDEX('Raw Pressure Data'!$A:$ZZ,$K$5+ROW()-26+$H$11,MATCH($F$11,'Raw Pressure Data'!$1:$1,0))=-999,"",INDEX('Raw Pressure Data'!$A:$ZZ,$K$5+ROW()-26+$H$11,MATCH($F$11,'Raw Pressure Data'!$1:$1,0))+$G$11))),"")</f>
        <v/>
      </c>
      <c r="U161" s="26">
        <f>IFERROR(IF($F$12="","",IF($K$5+ROW()-26&gt;$K$6,"",IF(INDEX('Raw Pressure Data'!$A:$ZZ,$K$5+ROW()-26+$H$12,MATCH($F$12,'Raw Pressure Data'!$1:$1,0))=-999,"",INDEX('Raw Pressure Data'!$A:$ZZ,$K$5+ROW()-26+$H$12,MATCH($F$12,'Raw Pressure Data'!$1:$1,0))+$G$12))),"")</f>
        <v/>
      </c>
      <c r="V161" s="26">
        <f>IFERROR(IF($F$13="","",IF($K$5+ROW()-26&gt;$K$6,"",IF(INDEX('Raw Pressure Data'!$A:$ZZ,$K$5+ROW()-26+$H$13,MATCH($F$13,'Raw Pressure Data'!$1:$1,0))=-999,"",INDEX('Raw Pressure Data'!$A:$ZZ,$K$5+ROW()-26+$H$13,MATCH($F$13,'Raw Pressure Data'!$1:$1,0))+$G$13))),"")</f>
        <v/>
      </c>
      <c r="W161" s="26">
        <f>IFERROR(IF($F$14="","",IF($K$5+ROW()-26&gt;$K$6,"",IF(INDEX('Raw Pressure Data'!$A:$ZZ,$K$5+ROW()-26+$H$14,MATCH($F$14,'Raw Pressure Data'!$1:$1,0))=-999,"",INDEX('Raw Pressure Data'!$A:$ZZ,$K$5+ROW()-26+$H$14,MATCH($F$14,'Raw Pressure Data'!$1:$1,0))+$G$14))),"")</f>
        <v/>
      </c>
      <c r="X161" s="26">
        <f>IFERROR(IF($F$15="","",IF($K$5+ROW()-26&gt;$K$6,"",IF(INDEX('Raw Pressure Data'!$A:$ZZ,$K$5+ROW()-26+$H$15,MATCH($F$15,'Raw Pressure Data'!$1:$1,0))=-999,"",INDEX('Raw Pressure Data'!$A:$ZZ,$K$5+ROW()-26+$H$15,MATCH($F$15,'Raw Pressure Data'!$1:$1,0))+$G$15))),"")</f>
        <v/>
      </c>
      <c r="Y161" s="26">
        <f>IFERROR(IF($F$16="","",IF($K$5+ROW()-26&gt;$K$6,"",IF(INDEX('Raw Pressure Data'!$A:$ZZ,$K$5+ROW()-26+$H$16,MATCH($F$16,'Raw Pressure Data'!$1:$1,0))=-999,"",INDEX('Raw Pressure Data'!$A:$ZZ,$K$5+ROW()-26+$H$16,MATCH($F$16,'Raw Pressure Data'!$1:$1,0))+$G$16))),"")</f>
        <v/>
      </c>
      <c r="Z161" s="26">
        <f>IFERROR(IF($F$17="","",IF($K$5+ROW()-26&gt;$K$6,"",IF(INDEX('Raw Pressure Data'!$A:$ZZ,$K$5+ROW()-26+$H$17,MATCH($F$17,'Raw Pressure Data'!$1:$1,0))=-999,"",INDEX('Raw Pressure Data'!$A:$ZZ,$K$5+ROW()-26+$H$17,MATCH($F$17,'Raw Pressure Data'!$1:$1,0))+$G$17))),"")</f>
        <v/>
      </c>
      <c r="AA161" s="26">
        <f>IFERROR(IF($F$18="","",IF($K$5+ROW()-26&gt;$K$6,"",IF(INDEX('Raw Pressure Data'!$A:$ZZ,$K$5+ROW()-26+$H$18,MATCH($F$18,'Raw Pressure Data'!$1:$1,0))=-999,"",INDEX('Raw Pressure Data'!$A:$ZZ,$K$5+ROW()-26+$H$18,MATCH($F$18,'Raw Pressure Data'!$1:$1,0))+$G$18))),"")</f>
        <v/>
      </c>
      <c r="AB161" s="26">
        <f>IFERROR(IF($F$19="","",IF($K$5+ROW()-26&gt;$K$6,"",IF(INDEX('Raw Pressure Data'!$A:$ZZ,$K$5+ROW()-26+$H$19,MATCH($F$19,'Raw Pressure Data'!$1:$1,0))=-999,"",INDEX('Raw Pressure Data'!$A:$ZZ,$K$5+ROW()-26+$H$19,MATCH($F$19,'Raw Pressure Data'!$1:$1,0))+$G$19))),"")</f>
        <v/>
      </c>
      <c r="AC161" s="26">
        <f>IFERROR(IF($F$20="","",IF($K$5+ROW()-26&gt;$K$6,"",IF(INDEX('Raw Pressure Data'!$A:$ZZ,$K$5+ROW()-26+$H$20,MATCH($F$20,'Raw Pressure Data'!$1:$1,0))=-999,"",INDEX('Raw Pressure Data'!$A:$ZZ,$K$5+ROW()-26+$H$20,MATCH($F$20,'Raw Pressure Data'!$1:$1,0))+$G$20))),"")</f>
        <v/>
      </c>
      <c r="AD161" s="26">
        <f>IFERROR(IF($F$21="","",IF($K$5+ROW()-26&gt;$K$6,"",IF(INDEX('Raw Pressure Data'!$A:$ZZ,$K$5+ROW()-26+$H$21,MATCH($F$21,'Raw Pressure Data'!$1:$1,0))=-999,"",INDEX('Raw Pressure Data'!$A:$ZZ,$K$5+ROW()-26+$H$21,MATCH($F$21,'Raw Pressure Data'!$1:$1,0))+$G$21))),"")</f>
        <v/>
      </c>
      <c r="AE161" s="26">
        <f>IFERROR(IF($F$22="","",IF($K$5+ROW()-26&gt;$K$6,"",IF(INDEX('Raw Pressure Data'!$A:$ZZ,$K$5+ROW()-26+$H$22,MATCH($F$22,'Raw Pressure Data'!$1:$1,0))=-999,"",INDEX('Raw Pressure Data'!$A:$ZZ,$K$5+ROW()-26+$H$22,MATCH($F$22,'Raw Pressure Data'!$1:$1,0))+$G$22))),"")</f>
        <v/>
      </c>
    </row>
    <row r="162" ht="15" customHeight="1">
      <c r="A162" s="23">
        <f>IFERROR(IF($K$5+ROW()-26&gt;$K$6,"",IF(INDEX('Raw Flow Data'!$A:$A,$K$5+ROW()-26)="","",INDEX('Raw Flow Data'!$A:$A,$K$5+ROW()-26))),"")</f>
        <v/>
      </c>
      <c r="B162" s="24">
        <f>IFERROR(IF($B$3="","",IF($K$5+ROW()-26&gt;$K$6,"",IF(INDEX('Raw Flow Data'!$A:$ZZ,$K$5+ROW()-26+$D$3,MATCH($B$3,'Raw Flow Data'!$1:$1,0))=-999,"",INDEX('Raw Flow Data'!$A:$ZZ,$K$5+ROW()-26+$D$3,MATCH($B$3,'Raw Flow Data'!$1:$1,0))*$C$3))),"")</f>
        <v/>
      </c>
      <c r="C162" s="24">
        <f>IFERROR(IF($B$4="","",IF($K$5+ROW()-26&gt;$K$6,"",IF(INDEX('Raw Flow Data'!$A:$ZZ,$K$5+ROW()-26+$D$4,MATCH($B$4,'Raw Flow Data'!$1:$1,0))=-999,"",INDEX('Raw Flow Data'!$A:$ZZ,$K$5+ROW()-26+$D$4,MATCH($B$4,'Raw Flow Data'!$1:$1,0))*$C$4))),"")</f>
        <v/>
      </c>
      <c r="D162" s="24">
        <f>IFERROR(IF($B$5="","",IF($K$5+ROW()-26&gt;$K$6,"",IF(INDEX('Raw Flow Data'!$A:$ZZ,$K$5+ROW()-26+$D$5,MATCH($B$5,'Raw Flow Data'!$1:$1,0))=-999,"",INDEX('Raw Flow Data'!$A:$ZZ,$K$5+ROW()-26+$D$5,MATCH($B$5,'Raw Flow Data'!$1:$1,0))*$C$5))),"")</f>
        <v/>
      </c>
      <c r="E162" s="24">
        <f>IFERROR(IF($B$6="","",IF($K$5+ROW()-26&gt;$K$6,"",IF(INDEX('Raw Flow Data'!$A:$ZZ,$K$5+ROW()-26+$D$6,MATCH($B$6,'Raw Flow Data'!$1:$1,0))=-999,"",INDEX('Raw Flow Data'!$A:$ZZ,$K$5+ROW()-26+$D$6,MATCH($B$6,'Raw Flow Data'!$1:$1,0))*$C$6))),"")</f>
        <v/>
      </c>
      <c r="F162" s="24">
        <f>IFERROR(IF($B$7="","",IF($K$5+ROW()-26&gt;$K$6,"",IF(INDEX('Raw Flow Data'!$A:$ZZ,$K$5+ROW()-26+$D$7,MATCH($B$7,'Raw Flow Data'!$1:$1,0))=-999,"",INDEX('Raw Flow Data'!$A:$ZZ,$K$5+ROW()-26+$D$7,MATCH($B$7,'Raw Flow Data'!$1:$1,0))*$C$7))),"")</f>
        <v/>
      </c>
      <c r="G162" s="24">
        <f>IFERROR(IF($B$8="","",IF($K$5+ROW()-26&gt;$K$6,"",IF(INDEX('Raw Flow Data'!$A:$ZZ,$K$5+ROW()-26+$D$8,MATCH($B$8,'Raw Flow Data'!$1:$1,0))=-999,"",INDEX('Raw Flow Data'!$A:$ZZ,$K$5+ROW()-26+$D$8,MATCH($B$8,'Raw Flow Data'!$1:$1,0))*$C$8))),"")</f>
        <v/>
      </c>
      <c r="H162" s="24">
        <f>IFERROR(IF($B$9="","",IF($K$5+ROW()-26&gt;$K$6,"",IF(INDEX('Raw Flow Data'!$A:$ZZ,$K$5+ROW()-26+$D$9,MATCH($B$9,'Raw Flow Data'!$1:$1,0))=-999,"",INDEX('Raw Flow Data'!$A:$ZZ,$K$5+ROW()-26+$D$9,MATCH($B$9,'Raw Flow Data'!$1:$1,0))*$C$9))),"")</f>
        <v/>
      </c>
      <c r="I162" s="24">
        <f>IFERROR(IF($B$10="","",IF($K$5+ROW()-26&gt;$K$6,"",IF(INDEX('Raw Flow Data'!$A:$ZZ,$K$5+ROW()-26+$D$10,MATCH($B$10,'Raw Flow Data'!$1:$1,0))=-999,"",INDEX('Raw Flow Data'!$A:$ZZ,$K$5+ROW()-26+$D$10,MATCH($B$10,'Raw Flow Data'!$1:$1,0))*$C$10))),"")</f>
        <v/>
      </c>
      <c r="J162" s="24">
        <f>IFERROR(IF($B$11="","",IF($K$5+ROW()-26&gt;$K$6,"",IF(INDEX('Raw Flow Data'!$A:$ZZ,$K$5+ROW()-26+$D$11,MATCH($B$11,'Raw Flow Data'!$1:$1,0))=-999,"",INDEX('Raw Flow Data'!$A:$ZZ,$K$5+ROW()-26+$D$11,MATCH($B$11,'Raw Flow Data'!$1:$1,0))*$C$11))),"")</f>
        <v/>
      </c>
      <c r="K162" s="24">
        <f>IFERROR(IF($B$12="","",IF($K$5+ROW()-26&gt;$K$6,"",IF(INDEX('Raw Flow Data'!$A:$ZZ,$K$5+ROW()-26+$D$12,MATCH($B$12,'Raw Flow Data'!$1:$1,0))=-999,"",INDEX('Raw Flow Data'!$A:$ZZ,$K$5+ROW()-26+$D$12,MATCH($B$12,'Raw Flow Data'!$1:$1,0))*$C$12))),"")</f>
        <v/>
      </c>
      <c r="L162" s="24">
        <f>IFERROR(IF($F$3="","",IF($K$5+ROW()-26&gt;$K$6,"",IF(INDEX('Raw Pressure Data'!$A:$ZZ,$K$5+ROW()-26+$H$3,MATCH($F$3,'Raw Pressure Data'!$1:$1,0))=-999,"",INDEX('Raw Pressure Data'!$A:$ZZ,$K$5+ROW()-26+$H$3,MATCH($F$3,'Raw Pressure Data'!$1:$1,0))+$G$3))),"")</f>
        <v/>
      </c>
      <c r="M162" s="24">
        <f>IFERROR(IF($F$4="","",IF($K$5+ROW()-26&gt;$K$6,"",IF(INDEX('Raw Pressure Data'!$A:$ZZ,$K$5+ROW()-26+$H$4,MATCH($F$4,'Raw Pressure Data'!$1:$1,0))=-999,"",INDEX('Raw Pressure Data'!$A:$ZZ,$K$5+ROW()-26+$H$4,MATCH($F$4,'Raw Pressure Data'!$1:$1,0))+$G$4))),"")</f>
        <v/>
      </c>
      <c r="N162" s="24">
        <f>IFERROR(IF($F$5="","",IF($K$5+ROW()-26&gt;$K$6,"",IF(INDEX('Raw Pressure Data'!$A:$ZZ,$K$5+ROW()-26+$H$5,MATCH($F$5,'Raw Pressure Data'!$1:$1,0))=-999,"",INDEX('Raw Pressure Data'!$A:$ZZ,$K$5+ROW()-26+$H$5,MATCH($F$5,'Raw Pressure Data'!$1:$1,0))+$G$5))),"")</f>
        <v/>
      </c>
      <c r="O162" s="24">
        <f>IFERROR(IF($F$6="","",IF($K$5+ROW()-26&gt;$K$6,"",IF(INDEX('Raw Pressure Data'!$A:$ZZ,$K$5+ROW()-26+$H$6,MATCH($F$6,'Raw Pressure Data'!$1:$1,0))=-999,"",INDEX('Raw Pressure Data'!$A:$ZZ,$K$5+ROW()-26+$H$6,MATCH($F$6,'Raw Pressure Data'!$1:$1,0))+$G$6))),"")</f>
        <v/>
      </c>
      <c r="P162" s="24">
        <f>IFERROR(IF($F$7="","",IF($K$5+ROW()-26&gt;$K$6,"",IF(INDEX('Raw Pressure Data'!$A:$ZZ,$K$5+ROW()-26+$H$7,MATCH($F$7,'Raw Pressure Data'!$1:$1,0))=-999,"",INDEX('Raw Pressure Data'!$A:$ZZ,$K$5+ROW()-26+$H$7,MATCH($F$7,'Raw Pressure Data'!$1:$1,0))+$G$7))),"")</f>
        <v/>
      </c>
      <c r="Q162" s="24">
        <f>IFERROR(IF($F$8="","",IF($K$5+ROW()-26&gt;$K$6,"",IF(INDEX('Raw Pressure Data'!$A:$ZZ,$K$5+ROW()-26+$H$8,MATCH($F$8,'Raw Pressure Data'!$1:$1,0))=-999,"",INDEX('Raw Pressure Data'!$A:$ZZ,$K$5+ROW()-26+$H$8,MATCH($F$8,'Raw Pressure Data'!$1:$1,0))+$G$8))),"")</f>
        <v/>
      </c>
      <c r="R162" s="24">
        <f>IFERROR(IF($F$9="","",IF($K$5+ROW()-26&gt;$K$6,"",IF(INDEX('Raw Pressure Data'!$A:$ZZ,$K$5+ROW()-26+$H$9,MATCH($F$9,'Raw Pressure Data'!$1:$1,0))=-999,"",INDEX('Raw Pressure Data'!$A:$ZZ,$K$5+ROW()-26+$H$9,MATCH($F$9,'Raw Pressure Data'!$1:$1,0))+$G$9))),"")</f>
        <v/>
      </c>
      <c r="S162" s="24">
        <f>IFERROR(IF($F$10="","",IF($K$5+ROW()-26&gt;$K$6,"",IF(INDEX('Raw Pressure Data'!$A:$ZZ,$K$5+ROW()-26+$H$10,MATCH($F$10,'Raw Pressure Data'!$1:$1,0))=-999,"",INDEX('Raw Pressure Data'!$A:$ZZ,$K$5+ROW()-26+$H$10,MATCH($F$10,'Raw Pressure Data'!$1:$1,0))+$G$10))),"")</f>
        <v/>
      </c>
      <c r="T162" s="24">
        <f>IFERROR(IF($F$11="","",IF($K$5+ROW()-26&gt;$K$6,"",IF(INDEX('Raw Pressure Data'!$A:$ZZ,$K$5+ROW()-26+$H$11,MATCH($F$11,'Raw Pressure Data'!$1:$1,0))=-999,"",INDEX('Raw Pressure Data'!$A:$ZZ,$K$5+ROW()-26+$H$11,MATCH($F$11,'Raw Pressure Data'!$1:$1,0))+$G$11))),"")</f>
        <v/>
      </c>
      <c r="U162" s="24">
        <f>IFERROR(IF($F$12="","",IF($K$5+ROW()-26&gt;$K$6,"",IF(INDEX('Raw Pressure Data'!$A:$ZZ,$K$5+ROW()-26+$H$12,MATCH($F$12,'Raw Pressure Data'!$1:$1,0))=-999,"",INDEX('Raw Pressure Data'!$A:$ZZ,$K$5+ROW()-26+$H$12,MATCH($F$12,'Raw Pressure Data'!$1:$1,0))+$G$12))),"")</f>
        <v/>
      </c>
      <c r="V162" s="24">
        <f>IFERROR(IF($F$13="","",IF($K$5+ROW()-26&gt;$K$6,"",IF(INDEX('Raw Pressure Data'!$A:$ZZ,$K$5+ROW()-26+$H$13,MATCH($F$13,'Raw Pressure Data'!$1:$1,0))=-999,"",INDEX('Raw Pressure Data'!$A:$ZZ,$K$5+ROW()-26+$H$13,MATCH($F$13,'Raw Pressure Data'!$1:$1,0))+$G$13))),"")</f>
        <v/>
      </c>
      <c r="W162" s="24">
        <f>IFERROR(IF($F$14="","",IF($K$5+ROW()-26&gt;$K$6,"",IF(INDEX('Raw Pressure Data'!$A:$ZZ,$K$5+ROW()-26+$H$14,MATCH($F$14,'Raw Pressure Data'!$1:$1,0))=-999,"",INDEX('Raw Pressure Data'!$A:$ZZ,$K$5+ROW()-26+$H$14,MATCH($F$14,'Raw Pressure Data'!$1:$1,0))+$G$14))),"")</f>
        <v/>
      </c>
      <c r="X162" s="24">
        <f>IFERROR(IF($F$15="","",IF($K$5+ROW()-26&gt;$K$6,"",IF(INDEX('Raw Pressure Data'!$A:$ZZ,$K$5+ROW()-26+$H$15,MATCH($F$15,'Raw Pressure Data'!$1:$1,0))=-999,"",INDEX('Raw Pressure Data'!$A:$ZZ,$K$5+ROW()-26+$H$15,MATCH($F$15,'Raw Pressure Data'!$1:$1,0))+$G$15))),"")</f>
        <v/>
      </c>
      <c r="Y162" s="24">
        <f>IFERROR(IF($F$16="","",IF($K$5+ROW()-26&gt;$K$6,"",IF(INDEX('Raw Pressure Data'!$A:$ZZ,$K$5+ROW()-26+$H$16,MATCH($F$16,'Raw Pressure Data'!$1:$1,0))=-999,"",INDEX('Raw Pressure Data'!$A:$ZZ,$K$5+ROW()-26+$H$16,MATCH($F$16,'Raw Pressure Data'!$1:$1,0))+$G$16))),"")</f>
        <v/>
      </c>
      <c r="Z162" s="24">
        <f>IFERROR(IF($F$17="","",IF($K$5+ROW()-26&gt;$K$6,"",IF(INDEX('Raw Pressure Data'!$A:$ZZ,$K$5+ROW()-26+$H$17,MATCH($F$17,'Raw Pressure Data'!$1:$1,0))=-999,"",INDEX('Raw Pressure Data'!$A:$ZZ,$K$5+ROW()-26+$H$17,MATCH($F$17,'Raw Pressure Data'!$1:$1,0))+$G$17))),"")</f>
        <v/>
      </c>
      <c r="AA162" s="24">
        <f>IFERROR(IF($F$18="","",IF($K$5+ROW()-26&gt;$K$6,"",IF(INDEX('Raw Pressure Data'!$A:$ZZ,$K$5+ROW()-26+$H$18,MATCH($F$18,'Raw Pressure Data'!$1:$1,0))=-999,"",INDEX('Raw Pressure Data'!$A:$ZZ,$K$5+ROW()-26+$H$18,MATCH($F$18,'Raw Pressure Data'!$1:$1,0))+$G$18))),"")</f>
        <v/>
      </c>
      <c r="AB162" s="24">
        <f>IFERROR(IF($F$19="","",IF($K$5+ROW()-26&gt;$K$6,"",IF(INDEX('Raw Pressure Data'!$A:$ZZ,$K$5+ROW()-26+$H$19,MATCH($F$19,'Raw Pressure Data'!$1:$1,0))=-999,"",INDEX('Raw Pressure Data'!$A:$ZZ,$K$5+ROW()-26+$H$19,MATCH($F$19,'Raw Pressure Data'!$1:$1,0))+$G$19))),"")</f>
        <v/>
      </c>
      <c r="AC162" s="24">
        <f>IFERROR(IF($F$20="","",IF($K$5+ROW()-26&gt;$K$6,"",IF(INDEX('Raw Pressure Data'!$A:$ZZ,$K$5+ROW()-26+$H$20,MATCH($F$20,'Raw Pressure Data'!$1:$1,0))=-999,"",INDEX('Raw Pressure Data'!$A:$ZZ,$K$5+ROW()-26+$H$20,MATCH($F$20,'Raw Pressure Data'!$1:$1,0))+$G$20))),"")</f>
        <v/>
      </c>
      <c r="AD162" s="24">
        <f>IFERROR(IF($F$21="","",IF($K$5+ROW()-26&gt;$K$6,"",IF(INDEX('Raw Pressure Data'!$A:$ZZ,$K$5+ROW()-26+$H$21,MATCH($F$21,'Raw Pressure Data'!$1:$1,0))=-999,"",INDEX('Raw Pressure Data'!$A:$ZZ,$K$5+ROW()-26+$H$21,MATCH($F$21,'Raw Pressure Data'!$1:$1,0))+$G$21))),"")</f>
        <v/>
      </c>
      <c r="AE162" s="24">
        <f>IFERROR(IF($F$22="","",IF($K$5+ROW()-26&gt;$K$6,"",IF(INDEX('Raw Pressure Data'!$A:$ZZ,$K$5+ROW()-26+$H$22,MATCH($F$22,'Raw Pressure Data'!$1:$1,0))=-999,"",INDEX('Raw Pressure Data'!$A:$ZZ,$K$5+ROW()-26+$H$22,MATCH($F$22,'Raw Pressure Data'!$1:$1,0))+$G$22))),"")</f>
        <v/>
      </c>
    </row>
    <row r="163" ht="15" customHeight="1">
      <c r="A163" s="25">
        <f>IFERROR(IF($K$5+ROW()-26&gt;$K$6,"",IF(INDEX('Raw Flow Data'!$A:$A,$K$5+ROW()-26)="","",INDEX('Raw Flow Data'!$A:$A,$K$5+ROW()-26))),"")</f>
        <v/>
      </c>
      <c r="B163" s="26">
        <f>IFERROR(IF($B$3="","",IF($K$5+ROW()-26&gt;$K$6,"",IF(INDEX('Raw Flow Data'!$A:$ZZ,$K$5+ROW()-26+$D$3,MATCH($B$3,'Raw Flow Data'!$1:$1,0))=-999,"",INDEX('Raw Flow Data'!$A:$ZZ,$K$5+ROW()-26+$D$3,MATCH($B$3,'Raw Flow Data'!$1:$1,0))*$C$3))),"")</f>
        <v/>
      </c>
      <c r="C163" s="26">
        <f>IFERROR(IF($B$4="","",IF($K$5+ROW()-26&gt;$K$6,"",IF(INDEX('Raw Flow Data'!$A:$ZZ,$K$5+ROW()-26+$D$4,MATCH($B$4,'Raw Flow Data'!$1:$1,0))=-999,"",INDEX('Raw Flow Data'!$A:$ZZ,$K$5+ROW()-26+$D$4,MATCH($B$4,'Raw Flow Data'!$1:$1,0))*$C$4))),"")</f>
        <v/>
      </c>
      <c r="D163" s="26">
        <f>IFERROR(IF($B$5="","",IF($K$5+ROW()-26&gt;$K$6,"",IF(INDEX('Raw Flow Data'!$A:$ZZ,$K$5+ROW()-26+$D$5,MATCH($B$5,'Raw Flow Data'!$1:$1,0))=-999,"",INDEX('Raw Flow Data'!$A:$ZZ,$K$5+ROW()-26+$D$5,MATCH($B$5,'Raw Flow Data'!$1:$1,0))*$C$5))),"")</f>
        <v/>
      </c>
      <c r="E163" s="26">
        <f>IFERROR(IF($B$6="","",IF($K$5+ROW()-26&gt;$K$6,"",IF(INDEX('Raw Flow Data'!$A:$ZZ,$K$5+ROW()-26+$D$6,MATCH($B$6,'Raw Flow Data'!$1:$1,0))=-999,"",INDEX('Raw Flow Data'!$A:$ZZ,$K$5+ROW()-26+$D$6,MATCH($B$6,'Raw Flow Data'!$1:$1,0))*$C$6))),"")</f>
        <v/>
      </c>
      <c r="F163" s="26">
        <f>IFERROR(IF($B$7="","",IF($K$5+ROW()-26&gt;$K$6,"",IF(INDEX('Raw Flow Data'!$A:$ZZ,$K$5+ROW()-26+$D$7,MATCH($B$7,'Raw Flow Data'!$1:$1,0))=-999,"",INDEX('Raw Flow Data'!$A:$ZZ,$K$5+ROW()-26+$D$7,MATCH($B$7,'Raw Flow Data'!$1:$1,0))*$C$7))),"")</f>
        <v/>
      </c>
      <c r="G163" s="26">
        <f>IFERROR(IF($B$8="","",IF($K$5+ROW()-26&gt;$K$6,"",IF(INDEX('Raw Flow Data'!$A:$ZZ,$K$5+ROW()-26+$D$8,MATCH($B$8,'Raw Flow Data'!$1:$1,0))=-999,"",INDEX('Raw Flow Data'!$A:$ZZ,$K$5+ROW()-26+$D$8,MATCH($B$8,'Raw Flow Data'!$1:$1,0))*$C$8))),"")</f>
        <v/>
      </c>
      <c r="H163" s="26">
        <f>IFERROR(IF($B$9="","",IF($K$5+ROW()-26&gt;$K$6,"",IF(INDEX('Raw Flow Data'!$A:$ZZ,$K$5+ROW()-26+$D$9,MATCH($B$9,'Raw Flow Data'!$1:$1,0))=-999,"",INDEX('Raw Flow Data'!$A:$ZZ,$K$5+ROW()-26+$D$9,MATCH($B$9,'Raw Flow Data'!$1:$1,0))*$C$9))),"")</f>
        <v/>
      </c>
      <c r="I163" s="26">
        <f>IFERROR(IF($B$10="","",IF($K$5+ROW()-26&gt;$K$6,"",IF(INDEX('Raw Flow Data'!$A:$ZZ,$K$5+ROW()-26+$D$10,MATCH($B$10,'Raw Flow Data'!$1:$1,0))=-999,"",INDEX('Raw Flow Data'!$A:$ZZ,$K$5+ROW()-26+$D$10,MATCH($B$10,'Raw Flow Data'!$1:$1,0))*$C$10))),"")</f>
        <v/>
      </c>
      <c r="J163" s="26">
        <f>IFERROR(IF($B$11="","",IF($K$5+ROW()-26&gt;$K$6,"",IF(INDEX('Raw Flow Data'!$A:$ZZ,$K$5+ROW()-26+$D$11,MATCH($B$11,'Raw Flow Data'!$1:$1,0))=-999,"",INDEX('Raw Flow Data'!$A:$ZZ,$K$5+ROW()-26+$D$11,MATCH($B$11,'Raw Flow Data'!$1:$1,0))*$C$11))),"")</f>
        <v/>
      </c>
      <c r="K163" s="26">
        <f>IFERROR(IF($B$12="","",IF($K$5+ROW()-26&gt;$K$6,"",IF(INDEX('Raw Flow Data'!$A:$ZZ,$K$5+ROW()-26+$D$12,MATCH($B$12,'Raw Flow Data'!$1:$1,0))=-999,"",INDEX('Raw Flow Data'!$A:$ZZ,$K$5+ROW()-26+$D$12,MATCH($B$12,'Raw Flow Data'!$1:$1,0))*$C$12))),"")</f>
        <v/>
      </c>
      <c r="L163" s="26">
        <f>IFERROR(IF($F$3="","",IF($K$5+ROW()-26&gt;$K$6,"",IF(INDEX('Raw Pressure Data'!$A:$ZZ,$K$5+ROW()-26+$H$3,MATCH($F$3,'Raw Pressure Data'!$1:$1,0))=-999,"",INDEX('Raw Pressure Data'!$A:$ZZ,$K$5+ROW()-26+$H$3,MATCH($F$3,'Raw Pressure Data'!$1:$1,0))+$G$3))),"")</f>
        <v/>
      </c>
      <c r="M163" s="26">
        <f>IFERROR(IF($F$4="","",IF($K$5+ROW()-26&gt;$K$6,"",IF(INDEX('Raw Pressure Data'!$A:$ZZ,$K$5+ROW()-26+$H$4,MATCH($F$4,'Raw Pressure Data'!$1:$1,0))=-999,"",INDEX('Raw Pressure Data'!$A:$ZZ,$K$5+ROW()-26+$H$4,MATCH($F$4,'Raw Pressure Data'!$1:$1,0))+$G$4))),"")</f>
        <v/>
      </c>
      <c r="N163" s="26">
        <f>IFERROR(IF($F$5="","",IF($K$5+ROW()-26&gt;$K$6,"",IF(INDEX('Raw Pressure Data'!$A:$ZZ,$K$5+ROW()-26+$H$5,MATCH($F$5,'Raw Pressure Data'!$1:$1,0))=-999,"",INDEX('Raw Pressure Data'!$A:$ZZ,$K$5+ROW()-26+$H$5,MATCH($F$5,'Raw Pressure Data'!$1:$1,0))+$G$5))),"")</f>
        <v/>
      </c>
      <c r="O163" s="26">
        <f>IFERROR(IF($F$6="","",IF($K$5+ROW()-26&gt;$K$6,"",IF(INDEX('Raw Pressure Data'!$A:$ZZ,$K$5+ROW()-26+$H$6,MATCH($F$6,'Raw Pressure Data'!$1:$1,0))=-999,"",INDEX('Raw Pressure Data'!$A:$ZZ,$K$5+ROW()-26+$H$6,MATCH($F$6,'Raw Pressure Data'!$1:$1,0))+$G$6))),"")</f>
        <v/>
      </c>
      <c r="P163" s="26">
        <f>IFERROR(IF($F$7="","",IF($K$5+ROW()-26&gt;$K$6,"",IF(INDEX('Raw Pressure Data'!$A:$ZZ,$K$5+ROW()-26+$H$7,MATCH($F$7,'Raw Pressure Data'!$1:$1,0))=-999,"",INDEX('Raw Pressure Data'!$A:$ZZ,$K$5+ROW()-26+$H$7,MATCH($F$7,'Raw Pressure Data'!$1:$1,0))+$G$7))),"")</f>
        <v/>
      </c>
      <c r="Q163" s="26">
        <f>IFERROR(IF($F$8="","",IF($K$5+ROW()-26&gt;$K$6,"",IF(INDEX('Raw Pressure Data'!$A:$ZZ,$K$5+ROW()-26+$H$8,MATCH($F$8,'Raw Pressure Data'!$1:$1,0))=-999,"",INDEX('Raw Pressure Data'!$A:$ZZ,$K$5+ROW()-26+$H$8,MATCH($F$8,'Raw Pressure Data'!$1:$1,0))+$G$8))),"")</f>
        <v/>
      </c>
      <c r="R163" s="26">
        <f>IFERROR(IF($F$9="","",IF($K$5+ROW()-26&gt;$K$6,"",IF(INDEX('Raw Pressure Data'!$A:$ZZ,$K$5+ROW()-26+$H$9,MATCH($F$9,'Raw Pressure Data'!$1:$1,0))=-999,"",INDEX('Raw Pressure Data'!$A:$ZZ,$K$5+ROW()-26+$H$9,MATCH($F$9,'Raw Pressure Data'!$1:$1,0))+$G$9))),"")</f>
        <v/>
      </c>
      <c r="S163" s="26">
        <f>IFERROR(IF($F$10="","",IF($K$5+ROW()-26&gt;$K$6,"",IF(INDEX('Raw Pressure Data'!$A:$ZZ,$K$5+ROW()-26+$H$10,MATCH($F$10,'Raw Pressure Data'!$1:$1,0))=-999,"",INDEX('Raw Pressure Data'!$A:$ZZ,$K$5+ROW()-26+$H$10,MATCH($F$10,'Raw Pressure Data'!$1:$1,0))+$G$10))),"")</f>
        <v/>
      </c>
      <c r="T163" s="26">
        <f>IFERROR(IF($F$11="","",IF($K$5+ROW()-26&gt;$K$6,"",IF(INDEX('Raw Pressure Data'!$A:$ZZ,$K$5+ROW()-26+$H$11,MATCH($F$11,'Raw Pressure Data'!$1:$1,0))=-999,"",INDEX('Raw Pressure Data'!$A:$ZZ,$K$5+ROW()-26+$H$11,MATCH($F$11,'Raw Pressure Data'!$1:$1,0))+$G$11))),"")</f>
        <v/>
      </c>
      <c r="U163" s="26">
        <f>IFERROR(IF($F$12="","",IF($K$5+ROW()-26&gt;$K$6,"",IF(INDEX('Raw Pressure Data'!$A:$ZZ,$K$5+ROW()-26+$H$12,MATCH($F$12,'Raw Pressure Data'!$1:$1,0))=-999,"",INDEX('Raw Pressure Data'!$A:$ZZ,$K$5+ROW()-26+$H$12,MATCH($F$12,'Raw Pressure Data'!$1:$1,0))+$G$12))),"")</f>
        <v/>
      </c>
      <c r="V163" s="26">
        <f>IFERROR(IF($F$13="","",IF($K$5+ROW()-26&gt;$K$6,"",IF(INDEX('Raw Pressure Data'!$A:$ZZ,$K$5+ROW()-26+$H$13,MATCH($F$13,'Raw Pressure Data'!$1:$1,0))=-999,"",INDEX('Raw Pressure Data'!$A:$ZZ,$K$5+ROW()-26+$H$13,MATCH($F$13,'Raw Pressure Data'!$1:$1,0))+$G$13))),"")</f>
        <v/>
      </c>
      <c r="W163" s="26">
        <f>IFERROR(IF($F$14="","",IF($K$5+ROW()-26&gt;$K$6,"",IF(INDEX('Raw Pressure Data'!$A:$ZZ,$K$5+ROW()-26+$H$14,MATCH($F$14,'Raw Pressure Data'!$1:$1,0))=-999,"",INDEX('Raw Pressure Data'!$A:$ZZ,$K$5+ROW()-26+$H$14,MATCH($F$14,'Raw Pressure Data'!$1:$1,0))+$G$14))),"")</f>
        <v/>
      </c>
      <c r="X163" s="26">
        <f>IFERROR(IF($F$15="","",IF($K$5+ROW()-26&gt;$K$6,"",IF(INDEX('Raw Pressure Data'!$A:$ZZ,$K$5+ROW()-26+$H$15,MATCH($F$15,'Raw Pressure Data'!$1:$1,0))=-999,"",INDEX('Raw Pressure Data'!$A:$ZZ,$K$5+ROW()-26+$H$15,MATCH($F$15,'Raw Pressure Data'!$1:$1,0))+$G$15))),"")</f>
        <v/>
      </c>
      <c r="Y163" s="26">
        <f>IFERROR(IF($F$16="","",IF($K$5+ROW()-26&gt;$K$6,"",IF(INDEX('Raw Pressure Data'!$A:$ZZ,$K$5+ROW()-26+$H$16,MATCH($F$16,'Raw Pressure Data'!$1:$1,0))=-999,"",INDEX('Raw Pressure Data'!$A:$ZZ,$K$5+ROW()-26+$H$16,MATCH($F$16,'Raw Pressure Data'!$1:$1,0))+$G$16))),"")</f>
        <v/>
      </c>
      <c r="Z163" s="26">
        <f>IFERROR(IF($F$17="","",IF($K$5+ROW()-26&gt;$K$6,"",IF(INDEX('Raw Pressure Data'!$A:$ZZ,$K$5+ROW()-26+$H$17,MATCH($F$17,'Raw Pressure Data'!$1:$1,0))=-999,"",INDEX('Raw Pressure Data'!$A:$ZZ,$K$5+ROW()-26+$H$17,MATCH($F$17,'Raw Pressure Data'!$1:$1,0))+$G$17))),"")</f>
        <v/>
      </c>
      <c r="AA163" s="26">
        <f>IFERROR(IF($F$18="","",IF($K$5+ROW()-26&gt;$K$6,"",IF(INDEX('Raw Pressure Data'!$A:$ZZ,$K$5+ROW()-26+$H$18,MATCH($F$18,'Raw Pressure Data'!$1:$1,0))=-999,"",INDEX('Raw Pressure Data'!$A:$ZZ,$K$5+ROW()-26+$H$18,MATCH($F$18,'Raw Pressure Data'!$1:$1,0))+$G$18))),"")</f>
        <v/>
      </c>
      <c r="AB163" s="26">
        <f>IFERROR(IF($F$19="","",IF($K$5+ROW()-26&gt;$K$6,"",IF(INDEX('Raw Pressure Data'!$A:$ZZ,$K$5+ROW()-26+$H$19,MATCH($F$19,'Raw Pressure Data'!$1:$1,0))=-999,"",INDEX('Raw Pressure Data'!$A:$ZZ,$K$5+ROW()-26+$H$19,MATCH($F$19,'Raw Pressure Data'!$1:$1,0))+$G$19))),"")</f>
        <v/>
      </c>
      <c r="AC163" s="26">
        <f>IFERROR(IF($F$20="","",IF($K$5+ROW()-26&gt;$K$6,"",IF(INDEX('Raw Pressure Data'!$A:$ZZ,$K$5+ROW()-26+$H$20,MATCH($F$20,'Raw Pressure Data'!$1:$1,0))=-999,"",INDEX('Raw Pressure Data'!$A:$ZZ,$K$5+ROW()-26+$H$20,MATCH($F$20,'Raw Pressure Data'!$1:$1,0))+$G$20))),"")</f>
        <v/>
      </c>
      <c r="AD163" s="26">
        <f>IFERROR(IF($F$21="","",IF($K$5+ROW()-26&gt;$K$6,"",IF(INDEX('Raw Pressure Data'!$A:$ZZ,$K$5+ROW()-26+$H$21,MATCH($F$21,'Raw Pressure Data'!$1:$1,0))=-999,"",INDEX('Raw Pressure Data'!$A:$ZZ,$K$5+ROW()-26+$H$21,MATCH($F$21,'Raw Pressure Data'!$1:$1,0))+$G$21))),"")</f>
        <v/>
      </c>
      <c r="AE163" s="26">
        <f>IFERROR(IF($F$22="","",IF($K$5+ROW()-26&gt;$K$6,"",IF(INDEX('Raw Pressure Data'!$A:$ZZ,$K$5+ROW()-26+$H$22,MATCH($F$22,'Raw Pressure Data'!$1:$1,0))=-999,"",INDEX('Raw Pressure Data'!$A:$ZZ,$K$5+ROW()-26+$H$22,MATCH($F$22,'Raw Pressure Data'!$1:$1,0))+$G$22))),"")</f>
        <v/>
      </c>
    </row>
    <row r="164" ht="15" customHeight="1">
      <c r="A164" s="23">
        <f>IFERROR(IF($K$5+ROW()-26&gt;$K$6,"",IF(INDEX('Raw Flow Data'!$A:$A,$K$5+ROW()-26)="","",INDEX('Raw Flow Data'!$A:$A,$K$5+ROW()-26))),"")</f>
        <v/>
      </c>
      <c r="B164" s="24">
        <f>IFERROR(IF($B$3="","",IF($K$5+ROW()-26&gt;$K$6,"",IF(INDEX('Raw Flow Data'!$A:$ZZ,$K$5+ROW()-26+$D$3,MATCH($B$3,'Raw Flow Data'!$1:$1,0))=-999,"",INDEX('Raw Flow Data'!$A:$ZZ,$K$5+ROW()-26+$D$3,MATCH($B$3,'Raw Flow Data'!$1:$1,0))*$C$3))),"")</f>
        <v/>
      </c>
      <c r="C164" s="24">
        <f>IFERROR(IF($B$4="","",IF($K$5+ROW()-26&gt;$K$6,"",IF(INDEX('Raw Flow Data'!$A:$ZZ,$K$5+ROW()-26+$D$4,MATCH($B$4,'Raw Flow Data'!$1:$1,0))=-999,"",INDEX('Raw Flow Data'!$A:$ZZ,$K$5+ROW()-26+$D$4,MATCH($B$4,'Raw Flow Data'!$1:$1,0))*$C$4))),"")</f>
        <v/>
      </c>
      <c r="D164" s="24">
        <f>IFERROR(IF($B$5="","",IF($K$5+ROW()-26&gt;$K$6,"",IF(INDEX('Raw Flow Data'!$A:$ZZ,$K$5+ROW()-26+$D$5,MATCH($B$5,'Raw Flow Data'!$1:$1,0))=-999,"",INDEX('Raw Flow Data'!$A:$ZZ,$K$5+ROW()-26+$D$5,MATCH($B$5,'Raw Flow Data'!$1:$1,0))*$C$5))),"")</f>
        <v/>
      </c>
      <c r="E164" s="24">
        <f>IFERROR(IF($B$6="","",IF($K$5+ROW()-26&gt;$K$6,"",IF(INDEX('Raw Flow Data'!$A:$ZZ,$K$5+ROW()-26+$D$6,MATCH($B$6,'Raw Flow Data'!$1:$1,0))=-999,"",INDEX('Raw Flow Data'!$A:$ZZ,$K$5+ROW()-26+$D$6,MATCH($B$6,'Raw Flow Data'!$1:$1,0))*$C$6))),"")</f>
        <v/>
      </c>
      <c r="F164" s="24">
        <f>IFERROR(IF($B$7="","",IF($K$5+ROW()-26&gt;$K$6,"",IF(INDEX('Raw Flow Data'!$A:$ZZ,$K$5+ROW()-26+$D$7,MATCH($B$7,'Raw Flow Data'!$1:$1,0))=-999,"",INDEX('Raw Flow Data'!$A:$ZZ,$K$5+ROW()-26+$D$7,MATCH($B$7,'Raw Flow Data'!$1:$1,0))*$C$7))),"")</f>
        <v/>
      </c>
      <c r="G164" s="24">
        <f>IFERROR(IF($B$8="","",IF($K$5+ROW()-26&gt;$K$6,"",IF(INDEX('Raw Flow Data'!$A:$ZZ,$K$5+ROW()-26+$D$8,MATCH($B$8,'Raw Flow Data'!$1:$1,0))=-999,"",INDEX('Raw Flow Data'!$A:$ZZ,$K$5+ROW()-26+$D$8,MATCH($B$8,'Raw Flow Data'!$1:$1,0))*$C$8))),"")</f>
        <v/>
      </c>
      <c r="H164" s="24">
        <f>IFERROR(IF($B$9="","",IF($K$5+ROW()-26&gt;$K$6,"",IF(INDEX('Raw Flow Data'!$A:$ZZ,$K$5+ROW()-26+$D$9,MATCH($B$9,'Raw Flow Data'!$1:$1,0))=-999,"",INDEX('Raw Flow Data'!$A:$ZZ,$K$5+ROW()-26+$D$9,MATCH($B$9,'Raw Flow Data'!$1:$1,0))*$C$9))),"")</f>
        <v/>
      </c>
      <c r="I164" s="24">
        <f>IFERROR(IF($B$10="","",IF($K$5+ROW()-26&gt;$K$6,"",IF(INDEX('Raw Flow Data'!$A:$ZZ,$K$5+ROW()-26+$D$10,MATCH($B$10,'Raw Flow Data'!$1:$1,0))=-999,"",INDEX('Raw Flow Data'!$A:$ZZ,$K$5+ROW()-26+$D$10,MATCH($B$10,'Raw Flow Data'!$1:$1,0))*$C$10))),"")</f>
        <v/>
      </c>
      <c r="J164" s="24">
        <f>IFERROR(IF($B$11="","",IF($K$5+ROW()-26&gt;$K$6,"",IF(INDEX('Raw Flow Data'!$A:$ZZ,$K$5+ROW()-26+$D$11,MATCH($B$11,'Raw Flow Data'!$1:$1,0))=-999,"",INDEX('Raw Flow Data'!$A:$ZZ,$K$5+ROW()-26+$D$11,MATCH($B$11,'Raw Flow Data'!$1:$1,0))*$C$11))),"")</f>
        <v/>
      </c>
      <c r="K164" s="24">
        <f>IFERROR(IF($B$12="","",IF($K$5+ROW()-26&gt;$K$6,"",IF(INDEX('Raw Flow Data'!$A:$ZZ,$K$5+ROW()-26+$D$12,MATCH($B$12,'Raw Flow Data'!$1:$1,0))=-999,"",INDEX('Raw Flow Data'!$A:$ZZ,$K$5+ROW()-26+$D$12,MATCH($B$12,'Raw Flow Data'!$1:$1,0))*$C$12))),"")</f>
        <v/>
      </c>
      <c r="L164" s="24">
        <f>IFERROR(IF($F$3="","",IF($K$5+ROW()-26&gt;$K$6,"",IF(INDEX('Raw Pressure Data'!$A:$ZZ,$K$5+ROW()-26+$H$3,MATCH($F$3,'Raw Pressure Data'!$1:$1,0))=-999,"",INDEX('Raw Pressure Data'!$A:$ZZ,$K$5+ROW()-26+$H$3,MATCH($F$3,'Raw Pressure Data'!$1:$1,0))+$G$3))),"")</f>
        <v/>
      </c>
      <c r="M164" s="24">
        <f>IFERROR(IF($F$4="","",IF($K$5+ROW()-26&gt;$K$6,"",IF(INDEX('Raw Pressure Data'!$A:$ZZ,$K$5+ROW()-26+$H$4,MATCH($F$4,'Raw Pressure Data'!$1:$1,0))=-999,"",INDEX('Raw Pressure Data'!$A:$ZZ,$K$5+ROW()-26+$H$4,MATCH($F$4,'Raw Pressure Data'!$1:$1,0))+$G$4))),"")</f>
        <v/>
      </c>
      <c r="N164" s="24">
        <f>IFERROR(IF($F$5="","",IF($K$5+ROW()-26&gt;$K$6,"",IF(INDEX('Raw Pressure Data'!$A:$ZZ,$K$5+ROW()-26+$H$5,MATCH($F$5,'Raw Pressure Data'!$1:$1,0))=-999,"",INDEX('Raw Pressure Data'!$A:$ZZ,$K$5+ROW()-26+$H$5,MATCH($F$5,'Raw Pressure Data'!$1:$1,0))+$G$5))),"")</f>
        <v/>
      </c>
      <c r="O164" s="24">
        <f>IFERROR(IF($F$6="","",IF($K$5+ROW()-26&gt;$K$6,"",IF(INDEX('Raw Pressure Data'!$A:$ZZ,$K$5+ROW()-26+$H$6,MATCH($F$6,'Raw Pressure Data'!$1:$1,0))=-999,"",INDEX('Raw Pressure Data'!$A:$ZZ,$K$5+ROW()-26+$H$6,MATCH($F$6,'Raw Pressure Data'!$1:$1,0))+$G$6))),"")</f>
        <v/>
      </c>
      <c r="P164" s="24">
        <f>IFERROR(IF($F$7="","",IF($K$5+ROW()-26&gt;$K$6,"",IF(INDEX('Raw Pressure Data'!$A:$ZZ,$K$5+ROW()-26+$H$7,MATCH($F$7,'Raw Pressure Data'!$1:$1,0))=-999,"",INDEX('Raw Pressure Data'!$A:$ZZ,$K$5+ROW()-26+$H$7,MATCH($F$7,'Raw Pressure Data'!$1:$1,0))+$G$7))),"")</f>
        <v/>
      </c>
      <c r="Q164" s="24">
        <f>IFERROR(IF($F$8="","",IF($K$5+ROW()-26&gt;$K$6,"",IF(INDEX('Raw Pressure Data'!$A:$ZZ,$K$5+ROW()-26+$H$8,MATCH($F$8,'Raw Pressure Data'!$1:$1,0))=-999,"",INDEX('Raw Pressure Data'!$A:$ZZ,$K$5+ROW()-26+$H$8,MATCH($F$8,'Raw Pressure Data'!$1:$1,0))+$G$8))),"")</f>
        <v/>
      </c>
      <c r="R164" s="24">
        <f>IFERROR(IF($F$9="","",IF($K$5+ROW()-26&gt;$K$6,"",IF(INDEX('Raw Pressure Data'!$A:$ZZ,$K$5+ROW()-26+$H$9,MATCH($F$9,'Raw Pressure Data'!$1:$1,0))=-999,"",INDEX('Raw Pressure Data'!$A:$ZZ,$K$5+ROW()-26+$H$9,MATCH($F$9,'Raw Pressure Data'!$1:$1,0))+$G$9))),"")</f>
        <v/>
      </c>
      <c r="S164" s="24">
        <f>IFERROR(IF($F$10="","",IF($K$5+ROW()-26&gt;$K$6,"",IF(INDEX('Raw Pressure Data'!$A:$ZZ,$K$5+ROW()-26+$H$10,MATCH($F$10,'Raw Pressure Data'!$1:$1,0))=-999,"",INDEX('Raw Pressure Data'!$A:$ZZ,$K$5+ROW()-26+$H$10,MATCH($F$10,'Raw Pressure Data'!$1:$1,0))+$G$10))),"")</f>
        <v/>
      </c>
      <c r="T164" s="24">
        <f>IFERROR(IF($F$11="","",IF($K$5+ROW()-26&gt;$K$6,"",IF(INDEX('Raw Pressure Data'!$A:$ZZ,$K$5+ROW()-26+$H$11,MATCH($F$11,'Raw Pressure Data'!$1:$1,0))=-999,"",INDEX('Raw Pressure Data'!$A:$ZZ,$K$5+ROW()-26+$H$11,MATCH($F$11,'Raw Pressure Data'!$1:$1,0))+$G$11))),"")</f>
        <v/>
      </c>
      <c r="U164" s="24">
        <f>IFERROR(IF($F$12="","",IF($K$5+ROW()-26&gt;$K$6,"",IF(INDEX('Raw Pressure Data'!$A:$ZZ,$K$5+ROW()-26+$H$12,MATCH($F$12,'Raw Pressure Data'!$1:$1,0))=-999,"",INDEX('Raw Pressure Data'!$A:$ZZ,$K$5+ROW()-26+$H$12,MATCH($F$12,'Raw Pressure Data'!$1:$1,0))+$G$12))),"")</f>
        <v/>
      </c>
      <c r="V164" s="24">
        <f>IFERROR(IF($F$13="","",IF($K$5+ROW()-26&gt;$K$6,"",IF(INDEX('Raw Pressure Data'!$A:$ZZ,$K$5+ROW()-26+$H$13,MATCH($F$13,'Raw Pressure Data'!$1:$1,0))=-999,"",INDEX('Raw Pressure Data'!$A:$ZZ,$K$5+ROW()-26+$H$13,MATCH($F$13,'Raw Pressure Data'!$1:$1,0))+$G$13))),"")</f>
        <v/>
      </c>
      <c r="W164" s="24">
        <f>IFERROR(IF($F$14="","",IF($K$5+ROW()-26&gt;$K$6,"",IF(INDEX('Raw Pressure Data'!$A:$ZZ,$K$5+ROW()-26+$H$14,MATCH($F$14,'Raw Pressure Data'!$1:$1,0))=-999,"",INDEX('Raw Pressure Data'!$A:$ZZ,$K$5+ROW()-26+$H$14,MATCH($F$14,'Raw Pressure Data'!$1:$1,0))+$G$14))),"")</f>
        <v/>
      </c>
      <c r="X164" s="24">
        <f>IFERROR(IF($F$15="","",IF($K$5+ROW()-26&gt;$K$6,"",IF(INDEX('Raw Pressure Data'!$A:$ZZ,$K$5+ROW()-26+$H$15,MATCH($F$15,'Raw Pressure Data'!$1:$1,0))=-999,"",INDEX('Raw Pressure Data'!$A:$ZZ,$K$5+ROW()-26+$H$15,MATCH($F$15,'Raw Pressure Data'!$1:$1,0))+$G$15))),"")</f>
        <v/>
      </c>
      <c r="Y164" s="24">
        <f>IFERROR(IF($F$16="","",IF($K$5+ROW()-26&gt;$K$6,"",IF(INDEX('Raw Pressure Data'!$A:$ZZ,$K$5+ROW()-26+$H$16,MATCH($F$16,'Raw Pressure Data'!$1:$1,0))=-999,"",INDEX('Raw Pressure Data'!$A:$ZZ,$K$5+ROW()-26+$H$16,MATCH($F$16,'Raw Pressure Data'!$1:$1,0))+$G$16))),"")</f>
        <v/>
      </c>
      <c r="Z164" s="24">
        <f>IFERROR(IF($F$17="","",IF($K$5+ROW()-26&gt;$K$6,"",IF(INDEX('Raw Pressure Data'!$A:$ZZ,$K$5+ROW()-26+$H$17,MATCH($F$17,'Raw Pressure Data'!$1:$1,0))=-999,"",INDEX('Raw Pressure Data'!$A:$ZZ,$K$5+ROW()-26+$H$17,MATCH($F$17,'Raw Pressure Data'!$1:$1,0))+$G$17))),"")</f>
        <v/>
      </c>
      <c r="AA164" s="24">
        <f>IFERROR(IF($F$18="","",IF($K$5+ROW()-26&gt;$K$6,"",IF(INDEX('Raw Pressure Data'!$A:$ZZ,$K$5+ROW()-26+$H$18,MATCH($F$18,'Raw Pressure Data'!$1:$1,0))=-999,"",INDEX('Raw Pressure Data'!$A:$ZZ,$K$5+ROW()-26+$H$18,MATCH($F$18,'Raw Pressure Data'!$1:$1,0))+$G$18))),"")</f>
        <v/>
      </c>
      <c r="AB164" s="24">
        <f>IFERROR(IF($F$19="","",IF($K$5+ROW()-26&gt;$K$6,"",IF(INDEX('Raw Pressure Data'!$A:$ZZ,$K$5+ROW()-26+$H$19,MATCH($F$19,'Raw Pressure Data'!$1:$1,0))=-999,"",INDEX('Raw Pressure Data'!$A:$ZZ,$K$5+ROW()-26+$H$19,MATCH($F$19,'Raw Pressure Data'!$1:$1,0))+$G$19))),"")</f>
        <v/>
      </c>
      <c r="AC164" s="24">
        <f>IFERROR(IF($F$20="","",IF($K$5+ROW()-26&gt;$K$6,"",IF(INDEX('Raw Pressure Data'!$A:$ZZ,$K$5+ROW()-26+$H$20,MATCH($F$20,'Raw Pressure Data'!$1:$1,0))=-999,"",INDEX('Raw Pressure Data'!$A:$ZZ,$K$5+ROW()-26+$H$20,MATCH($F$20,'Raw Pressure Data'!$1:$1,0))+$G$20))),"")</f>
        <v/>
      </c>
      <c r="AD164" s="24">
        <f>IFERROR(IF($F$21="","",IF($K$5+ROW()-26&gt;$K$6,"",IF(INDEX('Raw Pressure Data'!$A:$ZZ,$K$5+ROW()-26+$H$21,MATCH($F$21,'Raw Pressure Data'!$1:$1,0))=-999,"",INDEX('Raw Pressure Data'!$A:$ZZ,$K$5+ROW()-26+$H$21,MATCH($F$21,'Raw Pressure Data'!$1:$1,0))+$G$21))),"")</f>
        <v/>
      </c>
      <c r="AE164" s="24">
        <f>IFERROR(IF($F$22="","",IF($K$5+ROW()-26&gt;$K$6,"",IF(INDEX('Raw Pressure Data'!$A:$ZZ,$K$5+ROW()-26+$H$22,MATCH($F$22,'Raw Pressure Data'!$1:$1,0))=-999,"",INDEX('Raw Pressure Data'!$A:$ZZ,$K$5+ROW()-26+$H$22,MATCH($F$22,'Raw Pressure Data'!$1:$1,0))+$G$22))),"")</f>
        <v/>
      </c>
    </row>
    <row r="165" ht="15" customHeight="1">
      <c r="A165" s="25">
        <f>IFERROR(IF($K$5+ROW()-26&gt;$K$6,"",IF(INDEX('Raw Flow Data'!$A:$A,$K$5+ROW()-26)="","",INDEX('Raw Flow Data'!$A:$A,$K$5+ROW()-26))),"")</f>
        <v/>
      </c>
      <c r="B165" s="26">
        <f>IFERROR(IF($B$3="","",IF($K$5+ROW()-26&gt;$K$6,"",IF(INDEX('Raw Flow Data'!$A:$ZZ,$K$5+ROW()-26+$D$3,MATCH($B$3,'Raw Flow Data'!$1:$1,0))=-999,"",INDEX('Raw Flow Data'!$A:$ZZ,$K$5+ROW()-26+$D$3,MATCH($B$3,'Raw Flow Data'!$1:$1,0))*$C$3))),"")</f>
        <v/>
      </c>
      <c r="C165" s="26">
        <f>IFERROR(IF($B$4="","",IF($K$5+ROW()-26&gt;$K$6,"",IF(INDEX('Raw Flow Data'!$A:$ZZ,$K$5+ROW()-26+$D$4,MATCH($B$4,'Raw Flow Data'!$1:$1,0))=-999,"",INDEX('Raw Flow Data'!$A:$ZZ,$K$5+ROW()-26+$D$4,MATCH($B$4,'Raw Flow Data'!$1:$1,0))*$C$4))),"")</f>
        <v/>
      </c>
      <c r="D165" s="26">
        <f>IFERROR(IF($B$5="","",IF($K$5+ROW()-26&gt;$K$6,"",IF(INDEX('Raw Flow Data'!$A:$ZZ,$K$5+ROW()-26+$D$5,MATCH($B$5,'Raw Flow Data'!$1:$1,0))=-999,"",INDEX('Raw Flow Data'!$A:$ZZ,$K$5+ROW()-26+$D$5,MATCH($B$5,'Raw Flow Data'!$1:$1,0))*$C$5))),"")</f>
        <v/>
      </c>
      <c r="E165" s="26">
        <f>IFERROR(IF($B$6="","",IF($K$5+ROW()-26&gt;$K$6,"",IF(INDEX('Raw Flow Data'!$A:$ZZ,$K$5+ROW()-26+$D$6,MATCH($B$6,'Raw Flow Data'!$1:$1,0))=-999,"",INDEX('Raw Flow Data'!$A:$ZZ,$K$5+ROW()-26+$D$6,MATCH($B$6,'Raw Flow Data'!$1:$1,0))*$C$6))),"")</f>
        <v/>
      </c>
      <c r="F165" s="26">
        <f>IFERROR(IF($B$7="","",IF($K$5+ROW()-26&gt;$K$6,"",IF(INDEX('Raw Flow Data'!$A:$ZZ,$K$5+ROW()-26+$D$7,MATCH($B$7,'Raw Flow Data'!$1:$1,0))=-999,"",INDEX('Raw Flow Data'!$A:$ZZ,$K$5+ROW()-26+$D$7,MATCH($B$7,'Raw Flow Data'!$1:$1,0))*$C$7))),"")</f>
        <v/>
      </c>
      <c r="G165" s="26">
        <f>IFERROR(IF($B$8="","",IF($K$5+ROW()-26&gt;$K$6,"",IF(INDEX('Raw Flow Data'!$A:$ZZ,$K$5+ROW()-26+$D$8,MATCH($B$8,'Raw Flow Data'!$1:$1,0))=-999,"",INDEX('Raw Flow Data'!$A:$ZZ,$K$5+ROW()-26+$D$8,MATCH($B$8,'Raw Flow Data'!$1:$1,0))*$C$8))),"")</f>
        <v/>
      </c>
      <c r="H165" s="26">
        <f>IFERROR(IF($B$9="","",IF($K$5+ROW()-26&gt;$K$6,"",IF(INDEX('Raw Flow Data'!$A:$ZZ,$K$5+ROW()-26+$D$9,MATCH($B$9,'Raw Flow Data'!$1:$1,0))=-999,"",INDEX('Raw Flow Data'!$A:$ZZ,$K$5+ROW()-26+$D$9,MATCH($B$9,'Raw Flow Data'!$1:$1,0))*$C$9))),"")</f>
        <v/>
      </c>
      <c r="I165" s="26">
        <f>IFERROR(IF($B$10="","",IF($K$5+ROW()-26&gt;$K$6,"",IF(INDEX('Raw Flow Data'!$A:$ZZ,$K$5+ROW()-26+$D$10,MATCH($B$10,'Raw Flow Data'!$1:$1,0))=-999,"",INDEX('Raw Flow Data'!$A:$ZZ,$K$5+ROW()-26+$D$10,MATCH($B$10,'Raw Flow Data'!$1:$1,0))*$C$10))),"")</f>
        <v/>
      </c>
      <c r="J165" s="26">
        <f>IFERROR(IF($B$11="","",IF($K$5+ROW()-26&gt;$K$6,"",IF(INDEX('Raw Flow Data'!$A:$ZZ,$K$5+ROW()-26+$D$11,MATCH($B$11,'Raw Flow Data'!$1:$1,0))=-999,"",INDEX('Raw Flow Data'!$A:$ZZ,$K$5+ROW()-26+$D$11,MATCH($B$11,'Raw Flow Data'!$1:$1,0))*$C$11))),"")</f>
        <v/>
      </c>
      <c r="K165" s="26">
        <f>IFERROR(IF($B$12="","",IF($K$5+ROW()-26&gt;$K$6,"",IF(INDEX('Raw Flow Data'!$A:$ZZ,$K$5+ROW()-26+$D$12,MATCH($B$12,'Raw Flow Data'!$1:$1,0))=-999,"",INDEX('Raw Flow Data'!$A:$ZZ,$K$5+ROW()-26+$D$12,MATCH($B$12,'Raw Flow Data'!$1:$1,0))*$C$12))),"")</f>
        <v/>
      </c>
      <c r="L165" s="26">
        <f>IFERROR(IF($F$3="","",IF($K$5+ROW()-26&gt;$K$6,"",IF(INDEX('Raw Pressure Data'!$A:$ZZ,$K$5+ROW()-26+$H$3,MATCH($F$3,'Raw Pressure Data'!$1:$1,0))=-999,"",INDEX('Raw Pressure Data'!$A:$ZZ,$K$5+ROW()-26+$H$3,MATCH($F$3,'Raw Pressure Data'!$1:$1,0))+$G$3))),"")</f>
        <v/>
      </c>
      <c r="M165" s="26">
        <f>IFERROR(IF($F$4="","",IF($K$5+ROW()-26&gt;$K$6,"",IF(INDEX('Raw Pressure Data'!$A:$ZZ,$K$5+ROW()-26+$H$4,MATCH($F$4,'Raw Pressure Data'!$1:$1,0))=-999,"",INDEX('Raw Pressure Data'!$A:$ZZ,$K$5+ROW()-26+$H$4,MATCH($F$4,'Raw Pressure Data'!$1:$1,0))+$G$4))),"")</f>
        <v/>
      </c>
      <c r="N165" s="26">
        <f>IFERROR(IF($F$5="","",IF($K$5+ROW()-26&gt;$K$6,"",IF(INDEX('Raw Pressure Data'!$A:$ZZ,$K$5+ROW()-26+$H$5,MATCH($F$5,'Raw Pressure Data'!$1:$1,0))=-999,"",INDEX('Raw Pressure Data'!$A:$ZZ,$K$5+ROW()-26+$H$5,MATCH($F$5,'Raw Pressure Data'!$1:$1,0))+$G$5))),"")</f>
        <v/>
      </c>
      <c r="O165" s="26">
        <f>IFERROR(IF($F$6="","",IF($K$5+ROW()-26&gt;$K$6,"",IF(INDEX('Raw Pressure Data'!$A:$ZZ,$K$5+ROW()-26+$H$6,MATCH($F$6,'Raw Pressure Data'!$1:$1,0))=-999,"",INDEX('Raw Pressure Data'!$A:$ZZ,$K$5+ROW()-26+$H$6,MATCH($F$6,'Raw Pressure Data'!$1:$1,0))+$G$6))),"")</f>
        <v/>
      </c>
      <c r="P165" s="26">
        <f>IFERROR(IF($F$7="","",IF($K$5+ROW()-26&gt;$K$6,"",IF(INDEX('Raw Pressure Data'!$A:$ZZ,$K$5+ROW()-26+$H$7,MATCH($F$7,'Raw Pressure Data'!$1:$1,0))=-999,"",INDEX('Raw Pressure Data'!$A:$ZZ,$K$5+ROW()-26+$H$7,MATCH($F$7,'Raw Pressure Data'!$1:$1,0))+$G$7))),"")</f>
        <v/>
      </c>
      <c r="Q165" s="26">
        <f>IFERROR(IF($F$8="","",IF($K$5+ROW()-26&gt;$K$6,"",IF(INDEX('Raw Pressure Data'!$A:$ZZ,$K$5+ROW()-26+$H$8,MATCH($F$8,'Raw Pressure Data'!$1:$1,0))=-999,"",INDEX('Raw Pressure Data'!$A:$ZZ,$K$5+ROW()-26+$H$8,MATCH($F$8,'Raw Pressure Data'!$1:$1,0))+$G$8))),"")</f>
        <v/>
      </c>
      <c r="R165" s="26">
        <f>IFERROR(IF($F$9="","",IF($K$5+ROW()-26&gt;$K$6,"",IF(INDEX('Raw Pressure Data'!$A:$ZZ,$K$5+ROW()-26+$H$9,MATCH($F$9,'Raw Pressure Data'!$1:$1,0))=-999,"",INDEX('Raw Pressure Data'!$A:$ZZ,$K$5+ROW()-26+$H$9,MATCH($F$9,'Raw Pressure Data'!$1:$1,0))+$G$9))),"")</f>
        <v/>
      </c>
      <c r="S165" s="26">
        <f>IFERROR(IF($F$10="","",IF($K$5+ROW()-26&gt;$K$6,"",IF(INDEX('Raw Pressure Data'!$A:$ZZ,$K$5+ROW()-26+$H$10,MATCH($F$10,'Raw Pressure Data'!$1:$1,0))=-999,"",INDEX('Raw Pressure Data'!$A:$ZZ,$K$5+ROW()-26+$H$10,MATCH($F$10,'Raw Pressure Data'!$1:$1,0))+$G$10))),"")</f>
        <v/>
      </c>
      <c r="T165" s="26">
        <f>IFERROR(IF($F$11="","",IF($K$5+ROW()-26&gt;$K$6,"",IF(INDEX('Raw Pressure Data'!$A:$ZZ,$K$5+ROW()-26+$H$11,MATCH($F$11,'Raw Pressure Data'!$1:$1,0))=-999,"",INDEX('Raw Pressure Data'!$A:$ZZ,$K$5+ROW()-26+$H$11,MATCH($F$11,'Raw Pressure Data'!$1:$1,0))+$G$11))),"")</f>
        <v/>
      </c>
      <c r="U165" s="26">
        <f>IFERROR(IF($F$12="","",IF($K$5+ROW()-26&gt;$K$6,"",IF(INDEX('Raw Pressure Data'!$A:$ZZ,$K$5+ROW()-26+$H$12,MATCH($F$12,'Raw Pressure Data'!$1:$1,0))=-999,"",INDEX('Raw Pressure Data'!$A:$ZZ,$K$5+ROW()-26+$H$12,MATCH($F$12,'Raw Pressure Data'!$1:$1,0))+$G$12))),"")</f>
        <v/>
      </c>
      <c r="V165" s="26">
        <f>IFERROR(IF($F$13="","",IF($K$5+ROW()-26&gt;$K$6,"",IF(INDEX('Raw Pressure Data'!$A:$ZZ,$K$5+ROW()-26+$H$13,MATCH($F$13,'Raw Pressure Data'!$1:$1,0))=-999,"",INDEX('Raw Pressure Data'!$A:$ZZ,$K$5+ROW()-26+$H$13,MATCH($F$13,'Raw Pressure Data'!$1:$1,0))+$G$13))),"")</f>
        <v/>
      </c>
      <c r="W165" s="26">
        <f>IFERROR(IF($F$14="","",IF($K$5+ROW()-26&gt;$K$6,"",IF(INDEX('Raw Pressure Data'!$A:$ZZ,$K$5+ROW()-26+$H$14,MATCH($F$14,'Raw Pressure Data'!$1:$1,0))=-999,"",INDEX('Raw Pressure Data'!$A:$ZZ,$K$5+ROW()-26+$H$14,MATCH($F$14,'Raw Pressure Data'!$1:$1,0))+$G$14))),"")</f>
        <v/>
      </c>
      <c r="X165" s="26">
        <f>IFERROR(IF($F$15="","",IF($K$5+ROW()-26&gt;$K$6,"",IF(INDEX('Raw Pressure Data'!$A:$ZZ,$K$5+ROW()-26+$H$15,MATCH($F$15,'Raw Pressure Data'!$1:$1,0))=-999,"",INDEX('Raw Pressure Data'!$A:$ZZ,$K$5+ROW()-26+$H$15,MATCH($F$15,'Raw Pressure Data'!$1:$1,0))+$G$15))),"")</f>
        <v/>
      </c>
      <c r="Y165" s="26">
        <f>IFERROR(IF($F$16="","",IF($K$5+ROW()-26&gt;$K$6,"",IF(INDEX('Raw Pressure Data'!$A:$ZZ,$K$5+ROW()-26+$H$16,MATCH($F$16,'Raw Pressure Data'!$1:$1,0))=-999,"",INDEX('Raw Pressure Data'!$A:$ZZ,$K$5+ROW()-26+$H$16,MATCH($F$16,'Raw Pressure Data'!$1:$1,0))+$G$16))),"")</f>
        <v/>
      </c>
      <c r="Z165" s="26">
        <f>IFERROR(IF($F$17="","",IF($K$5+ROW()-26&gt;$K$6,"",IF(INDEX('Raw Pressure Data'!$A:$ZZ,$K$5+ROW()-26+$H$17,MATCH($F$17,'Raw Pressure Data'!$1:$1,0))=-999,"",INDEX('Raw Pressure Data'!$A:$ZZ,$K$5+ROW()-26+$H$17,MATCH($F$17,'Raw Pressure Data'!$1:$1,0))+$G$17))),"")</f>
        <v/>
      </c>
      <c r="AA165" s="26">
        <f>IFERROR(IF($F$18="","",IF($K$5+ROW()-26&gt;$K$6,"",IF(INDEX('Raw Pressure Data'!$A:$ZZ,$K$5+ROW()-26+$H$18,MATCH($F$18,'Raw Pressure Data'!$1:$1,0))=-999,"",INDEX('Raw Pressure Data'!$A:$ZZ,$K$5+ROW()-26+$H$18,MATCH($F$18,'Raw Pressure Data'!$1:$1,0))+$G$18))),"")</f>
        <v/>
      </c>
      <c r="AB165" s="26">
        <f>IFERROR(IF($F$19="","",IF($K$5+ROW()-26&gt;$K$6,"",IF(INDEX('Raw Pressure Data'!$A:$ZZ,$K$5+ROW()-26+$H$19,MATCH($F$19,'Raw Pressure Data'!$1:$1,0))=-999,"",INDEX('Raw Pressure Data'!$A:$ZZ,$K$5+ROW()-26+$H$19,MATCH($F$19,'Raw Pressure Data'!$1:$1,0))+$G$19))),"")</f>
        <v/>
      </c>
      <c r="AC165" s="26">
        <f>IFERROR(IF($F$20="","",IF($K$5+ROW()-26&gt;$K$6,"",IF(INDEX('Raw Pressure Data'!$A:$ZZ,$K$5+ROW()-26+$H$20,MATCH($F$20,'Raw Pressure Data'!$1:$1,0))=-999,"",INDEX('Raw Pressure Data'!$A:$ZZ,$K$5+ROW()-26+$H$20,MATCH($F$20,'Raw Pressure Data'!$1:$1,0))+$G$20))),"")</f>
        <v/>
      </c>
      <c r="AD165" s="26">
        <f>IFERROR(IF($F$21="","",IF($K$5+ROW()-26&gt;$K$6,"",IF(INDEX('Raw Pressure Data'!$A:$ZZ,$K$5+ROW()-26+$H$21,MATCH($F$21,'Raw Pressure Data'!$1:$1,0))=-999,"",INDEX('Raw Pressure Data'!$A:$ZZ,$K$5+ROW()-26+$H$21,MATCH($F$21,'Raw Pressure Data'!$1:$1,0))+$G$21))),"")</f>
        <v/>
      </c>
      <c r="AE165" s="26">
        <f>IFERROR(IF($F$22="","",IF($K$5+ROW()-26&gt;$K$6,"",IF(INDEX('Raw Pressure Data'!$A:$ZZ,$K$5+ROW()-26+$H$22,MATCH($F$22,'Raw Pressure Data'!$1:$1,0))=-999,"",INDEX('Raw Pressure Data'!$A:$ZZ,$K$5+ROW()-26+$H$22,MATCH($F$22,'Raw Pressure Data'!$1:$1,0))+$G$22))),"")</f>
        <v/>
      </c>
    </row>
    <row r="166" ht="15" customHeight="1">
      <c r="A166" s="23">
        <f>IFERROR(IF($K$5+ROW()-26&gt;$K$6,"",IF(INDEX('Raw Flow Data'!$A:$A,$K$5+ROW()-26)="","",INDEX('Raw Flow Data'!$A:$A,$K$5+ROW()-26))),"")</f>
        <v/>
      </c>
      <c r="B166" s="24">
        <f>IFERROR(IF($B$3="","",IF($K$5+ROW()-26&gt;$K$6,"",IF(INDEX('Raw Flow Data'!$A:$ZZ,$K$5+ROW()-26+$D$3,MATCH($B$3,'Raw Flow Data'!$1:$1,0))=-999,"",INDEX('Raw Flow Data'!$A:$ZZ,$K$5+ROW()-26+$D$3,MATCH($B$3,'Raw Flow Data'!$1:$1,0))*$C$3))),"")</f>
        <v/>
      </c>
      <c r="C166" s="24">
        <f>IFERROR(IF($B$4="","",IF($K$5+ROW()-26&gt;$K$6,"",IF(INDEX('Raw Flow Data'!$A:$ZZ,$K$5+ROW()-26+$D$4,MATCH($B$4,'Raw Flow Data'!$1:$1,0))=-999,"",INDEX('Raw Flow Data'!$A:$ZZ,$K$5+ROW()-26+$D$4,MATCH($B$4,'Raw Flow Data'!$1:$1,0))*$C$4))),"")</f>
        <v/>
      </c>
      <c r="D166" s="24">
        <f>IFERROR(IF($B$5="","",IF($K$5+ROW()-26&gt;$K$6,"",IF(INDEX('Raw Flow Data'!$A:$ZZ,$K$5+ROW()-26+$D$5,MATCH($B$5,'Raw Flow Data'!$1:$1,0))=-999,"",INDEX('Raw Flow Data'!$A:$ZZ,$K$5+ROW()-26+$D$5,MATCH($B$5,'Raw Flow Data'!$1:$1,0))*$C$5))),"")</f>
        <v/>
      </c>
      <c r="E166" s="24">
        <f>IFERROR(IF($B$6="","",IF($K$5+ROW()-26&gt;$K$6,"",IF(INDEX('Raw Flow Data'!$A:$ZZ,$K$5+ROW()-26+$D$6,MATCH($B$6,'Raw Flow Data'!$1:$1,0))=-999,"",INDEX('Raw Flow Data'!$A:$ZZ,$K$5+ROW()-26+$D$6,MATCH($B$6,'Raw Flow Data'!$1:$1,0))*$C$6))),"")</f>
        <v/>
      </c>
      <c r="F166" s="24">
        <f>IFERROR(IF($B$7="","",IF($K$5+ROW()-26&gt;$K$6,"",IF(INDEX('Raw Flow Data'!$A:$ZZ,$K$5+ROW()-26+$D$7,MATCH($B$7,'Raw Flow Data'!$1:$1,0))=-999,"",INDEX('Raw Flow Data'!$A:$ZZ,$K$5+ROW()-26+$D$7,MATCH($B$7,'Raw Flow Data'!$1:$1,0))*$C$7))),"")</f>
        <v/>
      </c>
      <c r="G166" s="24">
        <f>IFERROR(IF($B$8="","",IF($K$5+ROW()-26&gt;$K$6,"",IF(INDEX('Raw Flow Data'!$A:$ZZ,$K$5+ROW()-26+$D$8,MATCH($B$8,'Raw Flow Data'!$1:$1,0))=-999,"",INDEX('Raw Flow Data'!$A:$ZZ,$K$5+ROW()-26+$D$8,MATCH($B$8,'Raw Flow Data'!$1:$1,0))*$C$8))),"")</f>
        <v/>
      </c>
      <c r="H166" s="24">
        <f>IFERROR(IF($B$9="","",IF($K$5+ROW()-26&gt;$K$6,"",IF(INDEX('Raw Flow Data'!$A:$ZZ,$K$5+ROW()-26+$D$9,MATCH($B$9,'Raw Flow Data'!$1:$1,0))=-999,"",INDEX('Raw Flow Data'!$A:$ZZ,$K$5+ROW()-26+$D$9,MATCH($B$9,'Raw Flow Data'!$1:$1,0))*$C$9))),"")</f>
        <v/>
      </c>
      <c r="I166" s="24">
        <f>IFERROR(IF($B$10="","",IF($K$5+ROW()-26&gt;$K$6,"",IF(INDEX('Raw Flow Data'!$A:$ZZ,$K$5+ROW()-26+$D$10,MATCH($B$10,'Raw Flow Data'!$1:$1,0))=-999,"",INDEX('Raw Flow Data'!$A:$ZZ,$K$5+ROW()-26+$D$10,MATCH($B$10,'Raw Flow Data'!$1:$1,0))*$C$10))),"")</f>
        <v/>
      </c>
      <c r="J166" s="24">
        <f>IFERROR(IF($B$11="","",IF($K$5+ROW()-26&gt;$K$6,"",IF(INDEX('Raw Flow Data'!$A:$ZZ,$K$5+ROW()-26+$D$11,MATCH($B$11,'Raw Flow Data'!$1:$1,0))=-999,"",INDEX('Raw Flow Data'!$A:$ZZ,$K$5+ROW()-26+$D$11,MATCH($B$11,'Raw Flow Data'!$1:$1,0))*$C$11))),"")</f>
        <v/>
      </c>
      <c r="K166" s="24">
        <f>IFERROR(IF($B$12="","",IF($K$5+ROW()-26&gt;$K$6,"",IF(INDEX('Raw Flow Data'!$A:$ZZ,$K$5+ROW()-26+$D$12,MATCH($B$12,'Raw Flow Data'!$1:$1,0))=-999,"",INDEX('Raw Flow Data'!$A:$ZZ,$K$5+ROW()-26+$D$12,MATCH($B$12,'Raw Flow Data'!$1:$1,0))*$C$12))),"")</f>
        <v/>
      </c>
      <c r="L166" s="24">
        <f>IFERROR(IF($F$3="","",IF($K$5+ROW()-26&gt;$K$6,"",IF(INDEX('Raw Pressure Data'!$A:$ZZ,$K$5+ROW()-26+$H$3,MATCH($F$3,'Raw Pressure Data'!$1:$1,0))=-999,"",INDEX('Raw Pressure Data'!$A:$ZZ,$K$5+ROW()-26+$H$3,MATCH($F$3,'Raw Pressure Data'!$1:$1,0))+$G$3))),"")</f>
        <v/>
      </c>
      <c r="M166" s="24">
        <f>IFERROR(IF($F$4="","",IF($K$5+ROW()-26&gt;$K$6,"",IF(INDEX('Raw Pressure Data'!$A:$ZZ,$K$5+ROW()-26+$H$4,MATCH($F$4,'Raw Pressure Data'!$1:$1,0))=-999,"",INDEX('Raw Pressure Data'!$A:$ZZ,$K$5+ROW()-26+$H$4,MATCH($F$4,'Raw Pressure Data'!$1:$1,0))+$G$4))),"")</f>
        <v/>
      </c>
      <c r="N166" s="24">
        <f>IFERROR(IF($F$5="","",IF($K$5+ROW()-26&gt;$K$6,"",IF(INDEX('Raw Pressure Data'!$A:$ZZ,$K$5+ROW()-26+$H$5,MATCH($F$5,'Raw Pressure Data'!$1:$1,0))=-999,"",INDEX('Raw Pressure Data'!$A:$ZZ,$K$5+ROW()-26+$H$5,MATCH($F$5,'Raw Pressure Data'!$1:$1,0))+$G$5))),"")</f>
        <v/>
      </c>
      <c r="O166" s="24">
        <f>IFERROR(IF($F$6="","",IF($K$5+ROW()-26&gt;$K$6,"",IF(INDEX('Raw Pressure Data'!$A:$ZZ,$K$5+ROW()-26+$H$6,MATCH($F$6,'Raw Pressure Data'!$1:$1,0))=-999,"",INDEX('Raw Pressure Data'!$A:$ZZ,$K$5+ROW()-26+$H$6,MATCH($F$6,'Raw Pressure Data'!$1:$1,0))+$G$6))),"")</f>
        <v/>
      </c>
      <c r="P166" s="24">
        <f>IFERROR(IF($F$7="","",IF($K$5+ROW()-26&gt;$K$6,"",IF(INDEX('Raw Pressure Data'!$A:$ZZ,$K$5+ROW()-26+$H$7,MATCH($F$7,'Raw Pressure Data'!$1:$1,0))=-999,"",INDEX('Raw Pressure Data'!$A:$ZZ,$K$5+ROW()-26+$H$7,MATCH($F$7,'Raw Pressure Data'!$1:$1,0))+$G$7))),"")</f>
        <v/>
      </c>
      <c r="Q166" s="24">
        <f>IFERROR(IF($F$8="","",IF($K$5+ROW()-26&gt;$K$6,"",IF(INDEX('Raw Pressure Data'!$A:$ZZ,$K$5+ROW()-26+$H$8,MATCH($F$8,'Raw Pressure Data'!$1:$1,0))=-999,"",INDEX('Raw Pressure Data'!$A:$ZZ,$K$5+ROW()-26+$H$8,MATCH($F$8,'Raw Pressure Data'!$1:$1,0))+$G$8))),"")</f>
        <v/>
      </c>
      <c r="R166" s="24">
        <f>IFERROR(IF($F$9="","",IF($K$5+ROW()-26&gt;$K$6,"",IF(INDEX('Raw Pressure Data'!$A:$ZZ,$K$5+ROW()-26+$H$9,MATCH($F$9,'Raw Pressure Data'!$1:$1,0))=-999,"",INDEX('Raw Pressure Data'!$A:$ZZ,$K$5+ROW()-26+$H$9,MATCH($F$9,'Raw Pressure Data'!$1:$1,0))+$G$9))),"")</f>
        <v/>
      </c>
      <c r="S166" s="24">
        <f>IFERROR(IF($F$10="","",IF($K$5+ROW()-26&gt;$K$6,"",IF(INDEX('Raw Pressure Data'!$A:$ZZ,$K$5+ROW()-26+$H$10,MATCH($F$10,'Raw Pressure Data'!$1:$1,0))=-999,"",INDEX('Raw Pressure Data'!$A:$ZZ,$K$5+ROW()-26+$H$10,MATCH($F$10,'Raw Pressure Data'!$1:$1,0))+$G$10))),"")</f>
        <v/>
      </c>
      <c r="T166" s="24">
        <f>IFERROR(IF($F$11="","",IF($K$5+ROW()-26&gt;$K$6,"",IF(INDEX('Raw Pressure Data'!$A:$ZZ,$K$5+ROW()-26+$H$11,MATCH($F$11,'Raw Pressure Data'!$1:$1,0))=-999,"",INDEX('Raw Pressure Data'!$A:$ZZ,$K$5+ROW()-26+$H$11,MATCH($F$11,'Raw Pressure Data'!$1:$1,0))+$G$11))),"")</f>
        <v/>
      </c>
      <c r="U166" s="24">
        <f>IFERROR(IF($F$12="","",IF($K$5+ROW()-26&gt;$K$6,"",IF(INDEX('Raw Pressure Data'!$A:$ZZ,$K$5+ROW()-26+$H$12,MATCH($F$12,'Raw Pressure Data'!$1:$1,0))=-999,"",INDEX('Raw Pressure Data'!$A:$ZZ,$K$5+ROW()-26+$H$12,MATCH($F$12,'Raw Pressure Data'!$1:$1,0))+$G$12))),"")</f>
        <v/>
      </c>
      <c r="V166" s="24">
        <f>IFERROR(IF($F$13="","",IF($K$5+ROW()-26&gt;$K$6,"",IF(INDEX('Raw Pressure Data'!$A:$ZZ,$K$5+ROW()-26+$H$13,MATCH($F$13,'Raw Pressure Data'!$1:$1,0))=-999,"",INDEX('Raw Pressure Data'!$A:$ZZ,$K$5+ROW()-26+$H$13,MATCH($F$13,'Raw Pressure Data'!$1:$1,0))+$G$13))),"")</f>
        <v/>
      </c>
      <c r="W166" s="24">
        <f>IFERROR(IF($F$14="","",IF($K$5+ROW()-26&gt;$K$6,"",IF(INDEX('Raw Pressure Data'!$A:$ZZ,$K$5+ROW()-26+$H$14,MATCH($F$14,'Raw Pressure Data'!$1:$1,0))=-999,"",INDEX('Raw Pressure Data'!$A:$ZZ,$K$5+ROW()-26+$H$14,MATCH($F$14,'Raw Pressure Data'!$1:$1,0))+$G$14))),"")</f>
        <v/>
      </c>
      <c r="X166" s="24">
        <f>IFERROR(IF($F$15="","",IF($K$5+ROW()-26&gt;$K$6,"",IF(INDEX('Raw Pressure Data'!$A:$ZZ,$K$5+ROW()-26+$H$15,MATCH($F$15,'Raw Pressure Data'!$1:$1,0))=-999,"",INDEX('Raw Pressure Data'!$A:$ZZ,$K$5+ROW()-26+$H$15,MATCH($F$15,'Raw Pressure Data'!$1:$1,0))+$G$15))),"")</f>
        <v/>
      </c>
      <c r="Y166" s="24">
        <f>IFERROR(IF($F$16="","",IF($K$5+ROW()-26&gt;$K$6,"",IF(INDEX('Raw Pressure Data'!$A:$ZZ,$K$5+ROW()-26+$H$16,MATCH($F$16,'Raw Pressure Data'!$1:$1,0))=-999,"",INDEX('Raw Pressure Data'!$A:$ZZ,$K$5+ROW()-26+$H$16,MATCH($F$16,'Raw Pressure Data'!$1:$1,0))+$G$16))),"")</f>
        <v/>
      </c>
      <c r="Z166" s="24">
        <f>IFERROR(IF($F$17="","",IF($K$5+ROW()-26&gt;$K$6,"",IF(INDEX('Raw Pressure Data'!$A:$ZZ,$K$5+ROW()-26+$H$17,MATCH($F$17,'Raw Pressure Data'!$1:$1,0))=-999,"",INDEX('Raw Pressure Data'!$A:$ZZ,$K$5+ROW()-26+$H$17,MATCH($F$17,'Raw Pressure Data'!$1:$1,0))+$G$17))),"")</f>
        <v/>
      </c>
      <c r="AA166" s="24">
        <f>IFERROR(IF($F$18="","",IF($K$5+ROW()-26&gt;$K$6,"",IF(INDEX('Raw Pressure Data'!$A:$ZZ,$K$5+ROW()-26+$H$18,MATCH($F$18,'Raw Pressure Data'!$1:$1,0))=-999,"",INDEX('Raw Pressure Data'!$A:$ZZ,$K$5+ROW()-26+$H$18,MATCH($F$18,'Raw Pressure Data'!$1:$1,0))+$G$18))),"")</f>
        <v/>
      </c>
      <c r="AB166" s="24">
        <f>IFERROR(IF($F$19="","",IF($K$5+ROW()-26&gt;$K$6,"",IF(INDEX('Raw Pressure Data'!$A:$ZZ,$K$5+ROW()-26+$H$19,MATCH($F$19,'Raw Pressure Data'!$1:$1,0))=-999,"",INDEX('Raw Pressure Data'!$A:$ZZ,$K$5+ROW()-26+$H$19,MATCH($F$19,'Raw Pressure Data'!$1:$1,0))+$G$19))),"")</f>
        <v/>
      </c>
      <c r="AC166" s="24">
        <f>IFERROR(IF($F$20="","",IF($K$5+ROW()-26&gt;$K$6,"",IF(INDEX('Raw Pressure Data'!$A:$ZZ,$K$5+ROW()-26+$H$20,MATCH($F$20,'Raw Pressure Data'!$1:$1,0))=-999,"",INDEX('Raw Pressure Data'!$A:$ZZ,$K$5+ROW()-26+$H$20,MATCH($F$20,'Raw Pressure Data'!$1:$1,0))+$G$20))),"")</f>
        <v/>
      </c>
      <c r="AD166" s="24">
        <f>IFERROR(IF($F$21="","",IF($K$5+ROW()-26&gt;$K$6,"",IF(INDEX('Raw Pressure Data'!$A:$ZZ,$K$5+ROW()-26+$H$21,MATCH($F$21,'Raw Pressure Data'!$1:$1,0))=-999,"",INDEX('Raw Pressure Data'!$A:$ZZ,$K$5+ROW()-26+$H$21,MATCH($F$21,'Raw Pressure Data'!$1:$1,0))+$G$21))),"")</f>
        <v/>
      </c>
      <c r="AE166" s="24">
        <f>IFERROR(IF($F$22="","",IF($K$5+ROW()-26&gt;$K$6,"",IF(INDEX('Raw Pressure Data'!$A:$ZZ,$K$5+ROW()-26+$H$22,MATCH($F$22,'Raw Pressure Data'!$1:$1,0))=-999,"",INDEX('Raw Pressure Data'!$A:$ZZ,$K$5+ROW()-26+$H$22,MATCH($F$22,'Raw Pressure Data'!$1:$1,0))+$G$22))),"")</f>
        <v/>
      </c>
    </row>
    <row r="167" ht="15" customHeight="1">
      <c r="A167" s="25">
        <f>IFERROR(IF($K$5+ROW()-26&gt;$K$6,"",IF(INDEX('Raw Flow Data'!$A:$A,$K$5+ROW()-26)="","",INDEX('Raw Flow Data'!$A:$A,$K$5+ROW()-26))),"")</f>
        <v/>
      </c>
      <c r="B167" s="26">
        <f>IFERROR(IF($B$3="","",IF($K$5+ROW()-26&gt;$K$6,"",IF(INDEX('Raw Flow Data'!$A:$ZZ,$K$5+ROW()-26+$D$3,MATCH($B$3,'Raw Flow Data'!$1:$1,0))=-999,"",INDEX('Raw Flow Data'!$A:$ZZ,$K$5+ROW()-26+$D$3,MATCH($B$3,'Raw Flow Data'!$1:$1,0))*$C$3))),"")</f>
        <v/>
      </c>
      <c r="C167" s="26">
        <f>IFERROR(IF($B$4="","",IF($K$5+ROW()-26&gt;$K$6,"",IF(INDEX('Raw Flow Data'!$A:$ZZ,$K$5+ROW()-26+$D$4,MATCH($B$4,'Raw Flow Data'!$1:$1,0))=-999,"",INDEX('Raw Flow Data'!$A:$ZZ,$K$5+ROW()-26+$D$4,MATCH($B$4,'Raw Flow Data'!$1:$1,0))*$C$4))),"")</f>
        <v/>
      </c>
      <c r="D167" s="26">
        <f>IFERROR(IF($B$5="","",IF($K$5+ROW()-26&gt;$K$6,"",IF(INDEX('Raw Flow Data'!$A:$ZZ,$K$5+ROW()-26+$D$5,MATCH($B$5,'Raw Flow Data'!$1:$1,0))=-999,"",INDEX('Raw Flow Data'!$A:$ZZ,$K$5+ROW()-26+$D$5,MATCH($B$5,'Raw Flow Data'!$1:$1,0))*$C$5))),"")</f>
        <v/>
      </c>
      <c r="E167" s="26">
        <f>IFERROR(IF($B$6="","",IF($K$5+ROW()-26&gt;$K$6,"",IF(INDEX('Raw Flow Data'!$A:$ZZ,$K$5+ROW()-26+$D$6,MATCH($B$6,'Raw Flow Data'!$1:$1,0))=-999,"",INDEX('Raw Flow Data'!$A:$ZZ,$K$5+ROW()-26+$D$6,MATCH($B$6,'Raw Flow Data'!$1:$1,0))*$C$6))),"")</f>
        <v/>
      </c>
      <c r="F167" s="26">
        <f>IFERROR(IF($B$7="","",IF($K$5+ROW()-26&gt;$K$6,"",IF(INDEX('Raw Flow Data'!$A:$ZZ,$K$5+ROW()-26+$D$7,MATCH($B$7,'Raw Flow Data'!$1:$1,0))=-999,"",INDEX('Raw Flow Data'!$A:$ZZ,$K$5+ROW()-26+$D$7,MATCH($B$7,'Raw Flow Data'!$1:$1,0))*$C$7))),"")</f>
        <v/>
      </c>
      <c r="G167" s="26">
        <f>IFERROR(IF($B$8="","",IF($K$5+ROW()-26&gt;$K$6,"",IF(INDEX('Raw Flow Data'!$A:$ZZ,$K$5+ROW()-26+$D$8,MATCH($B$8,'Raw Flow Data'!$1:$1,0))=-999,"",INDEX('Raw Flow Data'!$A:$ZZ,$K$5+ROW()-26+$D$8,MATCH($B$8,'Raw Flow Data'!$1:$1,0))*$C$8))),"")</f>
        <v/>
      </c>
      <c r="H167" s="26">
        <f>IFERROR(IF($B$9="","",IF($K$5+ROW()-26&gt;$K$6,"",IF(INDEX('Raw Flow Data'!$A:$ZZ,$K$5+ROW()-26+$D$9,MATCH($B$9,'Raw Flow Data'!$1:$1,0))=-999,"",INDEX('Raw Flow Data'!$A:$ZZ,$K$5+ROW()-26+$D$9,MATCH($B$9,'Raw Flow Data'!$1:$1,0))*$C$9))),"")</f>
        <v/>
      </c>
      <c r="I167" s="26">
        <f>IFERROR(IF($B$10="","",IF($K$5+ROW()-26&gt;$K$6,"",IF(INDEX('Raw Flow Data'!$A:$ZZ,$K$5+ROW()-26+$D$10,MATCH($B$10,'Raw Flow Data'!$1:$1,0))=-999,"",INDEX('Raw Flow Data'!$A:$ZZ,$K$5+ROW()-26+$D$10,MATCH($B$10,'Raw Flow Data'!$1:$1,0))*$C$10))),"")</f>
        <v/>
      </c>
      <c r="J167" s="26">
        <f>IFERROR(IF($B$11="","",IF($K$5+ROW()-26&gt;$K$6,"",IF(INDEX('Raw Flow Data'!$A:$ZZ,$K$5+ROW()-26+$D$11,MATCH($B$11,'Raw Flow Data'!$1:$1,0))=-999,"",INDEX('Raw Flow Data'!$A:$ZZ,$K$5+ROW()-26+$D$11,MATCH($B$11,'Raw Flow Data'!$1:$1,0))*$C$11))),"")</f>
        <v/>
      </c>
      <c r="K167" s="26">
        <f>IFERROR(IF($B$12="","",IF($K$5+ROW()-26&gt;$K$6,"",IF(INDEX('Raw Flow Data'!$A:$ZZ,$K$5+ROW()-26+$D$12,MATCH($B$12,'Raw Flow Data'!$1:$1,0))=-999,"",INDEX('Raw Flow Data'!$A:$ZZ,$K$5+ROW()-26+$D$12,MATCH($B$12,'Raw Flow Data'!$1:$1,0))*$C$12))),"")</f>
        <v/>
      </c>
      <c r="L167" s="26">
        <f>IFERROR(IF($F$3="","",IF($K$5+ROW()-26&gt;$K$6,"",IF(INDEX('Raw Pressure Data'!$A:$ZZ,$K$5+ROW()-26+$H$3,MATCH($F$3,'Raw Pressure Data'!$1:$1,0))=-999,"",INDEX('Raw Pressure Data'!$A:$ZZ,$K$5+ROW()-26+$H$3,MATCH($F$3,'Raw Pressure Data'!$1:$1,0))+$G$3))),"")</f>
        <v/>
      </c>
      <c r="M167" s="26">
        <f>IFERROR(IF($F$4="","",IF($K$5+ROW()-26&gt;$K$6,"",IF(INDEX('Raw Pressure Data'!$A:$ZZ,$K$5+ROW()-26+$H$4,MATCH($F$4,'Raw Pressure Data'!$1:$1,0))=-999,"",INDEX('Raw Pressure Data'!$A:$ZZ,$K$5+ROW()-26+$H$4,MATCH($F$4,'Raw Pressure Data'!$1:$1,0))+$G$4))),"")</f>
        <v/>
      </c>
      <c r="N167" s="26">
        <f>IFERROR(IF($F$5="","",IF($K$5+ROW()-26&gt;$K$6,"",IF(INDEX('Raw Pressure Data'!$A:$ZZ,$K$5+ROW()-26+$H$5,MATCH($F$5,'Raw Pressure Data'!$1:$1,0))=-999,"",INDEX('Raw Pressure Data'!$A:$ZZ,$K$5+ROW()-26+$H$5,MATCH($F$5,'Raw Pressure Data'!$1:$1,0))+$G$5))),"")</f>
        <v/>
      </c>
      <c r="O167" s="26">
        <f>IFERROR(IF($F$6="","",IF($K$5+ROW()-26&gt;$K$6,"",IF(INDEX('Raw Pressure Data'!$A:$ZZ,$K$5+ROW()-26+$H$6,MATCH($F$6,'Raw Pressure Data'!$1:$1,0))=-999,"",INDEX('Raw Pressure Data'!$A:$ZZ,$K$5+ROW()-26+$H$6,MATCH($F$6,'Raw Pressure Data'!$1:$1,0))+$G$6))),"")</f>
        <v/>
      </c>
      <c r="P167" s="26">
        <f>IFERROR(IF($F$7="","",IF($K$5+ROW()-26&gt;$K$6,"",IF(INDEX('Raw Pressure Data'!$A:$ZZ,$K$5+ROW()-26+$H$7,MATCH($F$7,'Raw Pressure Data'!$1:$1,0))=-999,"",INDEX('Raw Pressure Data'!$A:$ZZ,$K$5+ROW()-26+$H$7,MATCH($F$7,'Raw Pressure Data'!$1:$1,0))+$G$7))),"")</f>
        <v/>
      </c>
      <c r="Q167" s="26">
        <f>IFERROR(IF($F$8="","",IF($K$5+ROW()-26&gt;$K$6,"",IF(INDEX('Raw Pressure Data'!$A:$ZZ,$K$5+ROW()-26+$H$8,MATCH($F$8,'Raw Pressure Data'!$1:$1,0))=-999,"",INDEX('Raw Pressure Data'!$A:$ZZ,$K$5+ROW()-26+$H$8,MATCH($F$8,'Raw Pressure Data'!$1:$1,0))+$G$8))),"")</f>
        <v/>
      </c>
      <c r="R167" s="26">
        <f>IFERROR(IF($F$9="","",IF($K$5+ROW()-26&gt;$K$6,"",IF(INDEX('Raw Pressure Data'!$A:$ZZ,$K$5+ROW()-26+$H$9,MATCH($F$9,'Raw Pressure Data'!$1:$1,0))=-999,"",INDEX('Raw Pressure Data'!$A:$ZZ,$K$5+ROW()-26+$H$9,MATCH($F$9,'Raw Pressure Data'!$1:$1,0))+$G$9))),"")</f>
        <v/>
      </c>
      <c r="S167" s="26">
        <f>IFERROR(IF($F$10="","",IF($K$5+ROW()-26&gt;$K$6,"",IF(INDEX('Raw Pressure Data'!$A:$ZZ,$K$5+ROW()-26+$H$10,MATCH($F$10,'Raw Pressure Data'!$1:$1,0))=-999,"",INDEX('Raw Pressure Data'!$A:$ZZ,$K$5+ROW()-26+$H$10,MATCH($F$10,'Raw Pressure Data'!$1:$1,0))+$G$10))),"")</f>
        <v/>
      </c>
      <c r="T167" s="26">
        <f>IFERROR(IF($F$11="","",IF($K$5+ROW()-26&gt;$K$6,"",IF(INDEX('Raw Pressure Data'!$A:$ZZ,$K$5+ROW()-26+$H$11,MATCH($F$11,'Raw Pressure Data'!$1:$1,0))=-999,"",INDEX('Raw Pressure Data'!$A:$ZZ,$K$5+ROW()-26+$H$11,MATCH($F$11,'Raw Pressure Data'!$1:$1,0))+$G$11))),"")</f>
        <v/>
      </c>
      <c r="U167" s="26">
        <f>IFERROR(IF($F$12="","",IF($K$5+ROW()-26&gt;$K$6,"",IF(INDEX('Raw Pressure Data'!$A:$ZZ,$K$5+ROW()-26+$H$12,MATCH($F$12,'Raw Pressure Data'!$1:$1,0))=-999,"",INDEX('Raw Pressure Data'!$A:$ZZ,$K$5+ROW()-26+$H$12,MATCH($F$12,'Raw Pressure Data'!$1:$1,0))+$G$12))),"")</f>
        <v/>
      </c>
      <c r="V167" s="26">
        <f>IFERROR(IF($F$13="","",IF($K$5+ROW()-26&gt;$K$6,"",IF(INDEX('Raw Pressure Data'!$A:$ZZ,$K$5+ROW()-26+$H$13,MATCH($F$13,'Raw Pressure Data'!$1:$1,0))=-999,"",INDEX('Raw Pressure Data'!$A:$ZZ,$K$5+ROW()-26+$H$13,MATCH($F$13,'Raw Pressure Data'!$1:$1,0))+$G$13))),"")</f>
        <v/>
      </c>
      <c r="W167" s="26">
        <f>IFERROR(IF($F$14="","",IF($K$5+ROW()-26&gt;$K$6,"",IF(INDEX('Raw Pressure Data'!$A:$ZZ,$K$5+ROW()-26+$H$14,MATCH($F$14,'Raw Pressure Data'!$1:$1,0))=-999,"",INDEX('Raw Pressure Data'!$A:$ZZ,$K$5+ROW()-26+$H$14,MATCH($F$14,'Raw Pressure Data'!$1:$1,0))+$G$14))),"")</f>
        <v/>
      </c>
      <c r="X167" s="26">
        <f>IFERROR(IF($F$15="","",IF($K$5+ROW()-26&gt;$K$6,"",IF(INDEX('Raw Pressure Data'!$A:$ZZ,$K$5+ROW()-26+$H$15,MATCH($F$15,'Raw Pressure Data'!$1:$1,0))=-999,"",INDEX('Raw Pressure Data'!$A:$ZZ,$K$5+ROW()-26+$H$15,MATCH($F$15,'Raw Pressure Data'!$1:$1,0))+$G$15))),"")</f>
        <v/>
      </c>
      <c r="Y167" s="26">
        <f>IFERROR(IF($F$16="","",IF($K$5+ROW()-26&gt;$K$6,"",IF(INDEX('Raw Pressure Data'!$A:$ZZ,$K$5+ROW()-26+$H$16,MATCH($F$16,'Raw Pressure Data'!$1:$1,0))=-999,"",INDEX('Raw Pressure Data'!$A:$ZZ,$K$5+ROW()-26+$H$16,MATCH($F$16,'Raw Pressure Data'!$1:$1,0))+$G$16))),"")</f>
        <v/>
      </c>
      <c r="Z167" s="26">
        <f>IFERROR(IF($F$17="","",IF($K$5+ROW()-26&gt;$K$6,"",IF(INDEX('Raw Pressure Data'!$A:$ZZ,$K$5+ROW()-26+$H$17,MATCH($F$17,'Raw Pressure Data'!$1:$1,0))=-999,"",INDEX('Raw Pressure Data'!$A:$ZZ,$K$5+ROW()-26+$H$17,MATCH($F$17,'Raw Pressure Data'!$1:$1,0))+$G$17))),"")</f>
        <v/>
      </c>
      <c r="AA167" s="26">
        <f>IFERROR(IF($F$18="","",IF($K$5+ROW()-26&gt;$K$6,"",IF(INDEX('Raw Pressure Data'!$A:$ZZ,$K$5+ROW()-26+$H$18,MATCH($F$18,'Raw Pressure Data'!$1:$1,0))=-999,"",INDEX('Raw Pressure Data'!$A:$ZZ,$K$5+ROW()-26+$H$18,MATCH($F$18,'Raw Pressure Data'!$1:$1,0))+$G$18))),"")</f>
        <v/>
      </c>
      <c r="AB167" s="26">
        <f>IFERROR(IF($F$19="","",IF($K$5+ROW()-26&gt;$K$6,"",IF(INDEX('Raw Pressure Data'!$A:$ZZ,$K$5+ROW()-26+$H$19,MATCH($F$19,'Raw Pressure Data'!$1:$1,0))=-999,"",INDEX('Raw Pressure Data'!$A:$ZZ,$K$5+ROW()-26+$H$19,MATCH($F$19,'Raw Pressure Data'!$1:$1,0))+$G$19))),"")</f>
        <v/>
      </c>
      <c r="AC167" s="26">
        <f>IFERROR(IF($F$20="","",IF($K$5+ROW()-26&gt;$K$6,"",IF(INDEX('Raw Pressure Data'!$A:$ZZ,$K$5+ROW()-26+$H$20,MATCH($F$20,'Raw Pressure Data'!$1:$1,0))=-999,"",INDEX('Raw Pressure Data'!$A:$ZZ,$K$5+ROW()-26+$H$20,MATCH($F$20,'Raw Pressure Data'!$1:$1,0))+$G$20))),"")</f>
        <v/>
      </c>
      <c r="AD167" s="26">
        <f>IFERROR(IF($F$21="","",IF($K$5+ROW()-26&gt;$K$6,"",IF(INDEX('Raw Pressure Data'!$A:$ZZ,$K$5+ROW()-26+$H$21,MATCH($F$21,'Raw Pressure Data'!$1:$1,0))=-999,"",INDEX('Raw Pressure Data'!$A:$ZZ,$K$5+ROW()-26+$H$21,MATCH($F$21,'Raw Pressure Data'!$1:$1,0))+$G$21))),"")</f>
        <v/>
      </c>
      <c r="AE167" s="26">
        <f>IFERROR(IF($F$22="","",IF($K$5+ROW()-26&gt;$K$6,"",IF(INDEX('Raw Pressure Data'!$A:$ZZ,$K$5+ROW()-26+$H$22,MATCH($F$22,'Raw Pressure Data'!$1:$1,0))=-999,"",INDEX('Raw Pressure Data'!$A:$ZZ,$K$5+ROW()-26+$H$22,MATCH($F$22,'Raw Pressure Data'!$1:$1,0))+$G$22))),"")</f>
        <v/>
      </c>
    </row>
    <row r="168" ht="15" customHeight="1">
      <c r="A168" s="23">
        <f>IFERROR(IF($K$5+ROW()-26&gt;$K$6,"",IF(INDEX('Raw Flow Data'!$A:$A,$K$5+ROW()-26)="","",INDEX('Raw Flow Data'!$A:$A,$K$5+ROW()-26))),"")</f>
        <v/>
      </c>
      <c r="B168" s="24">
        <f>IFERROR(IF($B$3="","",IF($K$5+ROW()-26&gt;$K$6,"",IF(INDEX('Raw Flow Data'!$A:$ZZ,$K$5+ROW()-26+$D$3,MATCH($B$3,'Raw Flow Data'!$1:$1,0))=-999,"",INDEX('Raw Flow Data'!$A:$ZZ,$K$5+ROW()-26+$D$3,MATCH($B$3,'Raw Flow Data'!$1:$1,0))*$C$3))),"")</f>
        <v/>
      </c>
      <c r="C168" s="24">
        <f>IFERROR(IF($B$4="","",IF($K$5+ROW()-26&gt;$K$6,"",IF(INDEX('Raw Flow Data'!$A:$ZZ,$K$5+ROW()-26+$D$4,MATCH($B$4,'Raw Flow Data'!$1:$1,0))=-999,"",INDEX('Raw Flow Data'!$A:$ZZ,$K$5+ROW()-26+$D$4,MATCH($B$4,'Raw Flow Data'!$1:$1,0))*$C$4))),"")</f>
        <v/>
      </c>
      <c r="D168" s="24">
        <f>IFERROR(IF($B$5="","",IF($K$5+ROW()-26&gt;$K$6,"",IF(INDEX('Raw Flow Data'!$A:$ZZ,$K$5+ROW()-26+$D$5,MATCH($B$5,'Raw Flow Data'!$1:$1,0))=-999,"",INDEX('Raw Flow Data'!$A:$ZZ,$K$5+ROW()-26+$D$5,MATCH($B$5,'Raw Flow Data'!$1:$1,0))*$C$5))),"")</f>
        <v/>
      </c>
      <c r="E168" s="24">
        <f>IFERROR(IF($B$6="","",IF($K$5+ROW()-26&gt;$K$6,"",IF(INDEX('Raw Flow Data'!$A:$ZZ,$K$5+ROW()-26+$D$6,MATCH($B$6,'Raw Flow Data'!$1:$1,0))=-999,"",INDEX('Raw Flow Data'!$A:$ZZ,$K$5+ROW()-26+$D$6,MATCH($B$6,'Raw Flow Data'!$1:$1,0))*$C$6))),"")</f>
        <v/>
      </c>
      <c r="F168" s="24">
        <f>IFERROR(IF($B$7="","",IF($K$5+ROW()-26&gt;$K$6,"",IF(INDEX('Raw Flow Data'!$A:$ZZ,$K$5+ROW()-26+$D$7,MATCH($B$7,'Raw Flow Data'!$1:$1,0))=-999,"",INDEX('Raw Flow Data'!$A:$ZZ,$K$5+ROW()-26+$D$7,MATCH($B$7,'Raw Flow Data'!$1:$1,0))*$C$7))),"")</f>
        <v/>
      </c>
      <c r="G168" s="24">
        <f>IFERROR(IF($B$8="","",IF($K$5+ROW()-26&gt;$K$6,"",IF(INDEX('Raw Flow Data'!$A:$ZZ,$K$5+ROW()-26+$D$8,MATCH($B$8,'Raw Flow Data'!$1:$1,0))=-999,"",INDEX('Raw Flow Data'!$A:$ZZ,$K$5+ROW()-26+$D$8,MATCH($B$8,'Raw Flow Data'!$1:$1,0))*$C$8))),"")</f>
        <v/>
      </c>
      <c r="H168" s="24">
        <f>IFERROR(IF($B$9="","",IF($K$5+ROW()-26&gt;$K$6,"",IF(INDEX('Raw Flow Data'!$A:$ZZ,$K$5+ROW()-26+$D$9,MATCH($B$9,'Raw Flow Data'!$1:$1,0))=-999,"",INDEX('Raw Flow Data'!$A:$ZZ,$K$5+ROW()-26+$D$9,MATCH($B$9,'Raw Flow Data'!$1:$1,0))*$C$9))),"")</f>
        <v/>
      </c>
      <c r="I168" s="24">
        <f>IFERROR(IF($B$10="","",IF($K$5+ROW()-26&gt;$K$6,"",IF(INDEX('Raw Flow Data'!$A:$ZZ,$K$5+ROW()-26+$D$10,MATCH($B$10,'Raw Flow Data'!$1:$1,0))=-999,"",INDEX('Raw Flow Data'!$A:$ZZ,$K$5+ROW()-26+$D$10,MATCH($B$10,'Raw Flow Data'!$1:$1,0))*$C$10))),"")</f>
        <v/>
      </c>
      <c r="J168" s="24">
        <f>IFERROR(IF($B$11="","",IF($K$5+ROW()-26&gt;$K$6,"",IF(INDEX('Raw Flow Data'!$A:$ZZ,$K$5+ROW()-26+$D$11,MATCH($B$11,'Raw Flow Data'!$1:$1,0))=-999,"",INDEX('Raw Flow Data'!$A:$ZZ,$K$5+ROW()-26+$D$11,MATCH($B$11,'Raw Flow Data'!$1:$1,0))*$C$11))),"")</f>
        <v/>
      </c>
      <c r="K168" s="24">
        <f>IFERROR(IF($B$12="","",IF($K$5+ROW()-26&gt;$K$6,"",IF(INDEX('Raw Flow Data'!$A:$ZZ,$K$5+ROW()-26+$D$12,MATCH($B$12,'Raw Flow Data'!$1:$1,0))=-999,"",INDEX('Raw Flow Data'!$A:$ZZ,$K$5+ROW()-26+$D$12,MATCH($B$12,'Raw Flow Data'!$1:$1,0))*$C$12))),"")</f>
        <v/>
      </c>
      <c r="L168" s="24">
        <f>IFERROR(IF($F$3="","",IF($K$5+ROW()-26&gt;$K$6,"",IF(INDEX('Raw Pressure Data'!$A:$ZZ,$K$5+ROW()-26+$H$3,MATCH($F$3,'Raw Pressure Data'!$1:$1,0))=-999,"",INDEX('Raw Pressure Data'!$A:$ZZ,$K$5+ROW()-26+$H$3,MATCH($F$3,'Raw Pressure Data'!$1:$1,0))+$G$3))),"")</f>
        <v/>
      </c>
      <c r="M168" s="24">
        <f>IFERROR(IF($F$4="","",IF($K$5+ROW()-26&gt;$K$6,"",IF(INDEX('Raw Pressure Data'!$A:$ZZ,$K$5+ROW()-26+$H$4,MATCH($F$4,'Raw Pressure Data'!$1:$1,0))=-999,"",INDEX('Raw Pressure Data'!$A:$ZZ,$K$5+ROW()-26+$H$4,MATCH($F$4,'Raw Pressure Data'!$1:$1,0))+$G$4))),"")</f>
        <v/>
      </c>
      <c r="N168" s="24">
        <f>IFERROR(IF($F$5="","",IF($K$5+ROW()-26&gt;$K$6,"",IF(INDEX('Raw Pressure Data'!$A:$ZZ,$K$5+ROW()-26+$H$5,MATCH($F$5,'Raw Pressure Data'!$1:$1,0))=-999,"",INDEX('Raw Pressure Data'!$A:$ZZ,$K$5+ROW()-26+$H$5,MATCH($F$5,'Raw Pressure Data'!$1:$1,0))+$G$5))),"")</f>
        <v/>
      </c>
      <c r="O168" s="24">
        <f>IFERROR(IF($F$6="","",IF($K$5+ROW()-26&gt;$K$6,"",IF(INDEX('Raw Pressure Data'!$A:$ZZ,$K$5+ROW()-26+$H$6,MATCH($F$6,'Raw Pressure Data'!$1:$1,0))=-999,"",INDEX('Raw Pressure Data'!$A:$ZZ,$K$5+ROW()-26+$H$6,MATCH($F$6,'Raw Pressure Data'!$1:$1,0))+$G$6))),"")</f>
        <v/>
      </c>
      <c r="P168" s="24">
        <f>IFERROR(IF($F$7="","",IF($K$5+ROW()-26&gt;$K$6,"",IF(INDEX('Raw Pressure Data'!$A:$ZZ,$K$5+ROW()-26+$H$7,MATCH($F$7,'Raw Pressure Data'!$1:$1,0))=-999,"",INDEX('Raw Pressure Data'!$A:$ZZ,$K$5+ROW()-26+$H$7,MATCH($F$7,'Raw Pressure Data'!$1:$1,0))+$G$7))),"")</f>
        <v/>
      </c>
      <c r="Q168" s="24">
        <f>IFERROR(IF($F$8="","",IF($K$5+ROW()-26&gt;$K$6,"",IF(INDEX('Raw Pressure Data'!$A:$ZZ,$K$5+ROW()-26+$H$8,MATCH($F$8,'Raw Pressure Data'!$1:$1,0))=-999,"",INDEX('Raw Pressure Data'!$A:$ZZ,$K$5+ROW()-26+$H$8,MATCH($F$8,'Raw Pressure Data'!$1:$1,0))+$G$8))),"")</f>
        <v/>
      </c>
      <c r="R168" s="24">
        <f>IFERROR(IF($F$9="","",IF($K$5+ROW()-26&gt;$K$6,"",IF(INDEX('Raw Pressure Data'!$A:$ZZ,$K$5+ROW()-26+$H$9,MATCH($F$9,'Raw Pressure Data'!$1:$1,0))=-999,"",INDEX('Raw Pressure Data'!$A:$ZZ,$K$5+ROW()-26+$H$9,MATCH($F$9,'Raw Pressure Data'!$1:$1,0))+$G$9))),"")</f>
        <v/>
      </c>
      <c r="S168" s="24">
        <f>IFERROR(IF($F$10="","",IF($K$5+ROW()-26&gt;$K$6,"",IF(INDEX('Raw Pressure Data'!$A:$ZZ,$K$5+ROW()-26+$H$10,MATCH($F$10,'Raw Pressure Data'!$1:$1,0))=-999,"",INDEX('Raw Pressure Data'!$A:$ZZ,$K$5+ROW()-26+$H$10,MATCH($F$10,'Raw Pressure Data'!$1:$1,0))+$G$10))),"")</f>
        <v/>
      </c>
      <c r="T168" s="24">
        <f>IFERROR(IF($F$11="","",IF($K$5+ROW()-26&gt;$K$6,"",IF(INDEX('Raw Pressure Data'!$A:$ZZ,$K$5+ROW()-26+$H$11,MATCH($F$11,'Raw Pressure Data'!$1:$1,0))=-999,"",INDEX('Raw Pressure Data'!$A:$ZZ,$K$5+ROW()-26+$H$11,MATCH($F$11,'Raw Pressure Data'!$1:$1,0))+$G$11))),"")</f>
        <v/>
      </c>
      <c r="U168" s="24">
        <f>IFERROR(IF($F$12="","",IF($K$5+ROW()-26&gt;$K$6,"",IF(INDEX('Raw Pressure Data'!$A:$ZZ,$K$5+ROW()-26+$H$12,MATCH($F$12,'Raw Pressure Data'!$1:$1,0))=-999,"",INDEX('Raw Pressure Data'!$A:$ZZ,$K$5+ROW()-26+$H$12,MATCH($F$12,'Raw Pressure Data'!$1:$1,0))+$G$12))),"")</f>
        <v/>
      </c>
      <c r="V168" s="24">
        <f>IFERROR(IF($F$13="","",IF($K$5+ROW()-26&gt;$K$6,"",IF(INDEX('Raw Pressure Data'!$A:$ZZ,$K$5+ROW()-26+$H$13,MATCH($F$13,'Raw Pressure Data'!$1:$1,0))=-999,"",INDEX('Raw Pressure Data'!$A:$ZZ,$K$5+ROW()-26+$H$13,MATCH($F$13,'Raw Pressure Data'!$1:$1,0))+$G$13))),"")</f>
        <v/>
      </c>
      <c r="W168" s="24">
        <f>IFERROR(IF($F$14="","",IF($K$5+ROW()-26&gt;$K$6,"",IF(INDEX('Raw Pressure Data'!$A:$ZZ,$K$5+ROW()-26+$H$14,MATCH($F$14,'Raw Pressure Data'!$1:$1,0))=-999,"",INDEX('Raw Pressure Data'!$A:$ZZ,$K$5+ROW()-26+$H$14,MATCH($F$14,'Raw Pressure Data'!$1:$1,0))+$G$14))),"")</f>
        <v/>
      </c>
      <c r="X168" s="24">
        <f>IFERROR(IF($F$15="","",IF($K$5+ROW()-26&gt;$K$6,"",IF(INDEX('Raw Pressure Data'!$A:$ZZ,$K$5+ROW()-26+$H$15,MATCH($F$15,'Raw Pressure Data'!$1:$1,0))=-999,"",INDEX('Raw Pressure Data'!$A:$ZZ,$K$5+ROW()-26+$H$15,MATCH($F$15,'Raw Pressure Data'!$1:$1,0))+$G$15))),"")</f>
        <v/>
      </c>
      <c r="Y168" s="24">
        <f>IFERROR(IF($F$16="","",IF($K$5+ROW()-26&gt;$K$6,"",IF(INDEX('Raw Pressure Data'!$A:$ZZ,$K$5+ROW()-26+$H$16,MATCH($F$16,'Raw Pressure Data'!$1:$1,0))=-999,"",INDEX('Raw Pressure Data'!$A:$ZZ,$K$5+ROW()-26+$H$16,MATCH($F$16,'Raw Pressure Data'!$1:$1,0))+$G$16))),"")</f>
        <v/>
      </c>
      <c r="Z168" s="24">
        <f>IFERROR(IF($F$17="","",IF($K$5+ROW()-26&gt;$K$6,"",IF(INDEX('Raw Pressure Data'!$A:$ZZ,$K$5+ROW()-26+$H$17,MATCH($F$17,'Raw Pressure Data'!$1:$1,0))=-999,"",INDEX('Raw Pressure Data'!$A:$ZZ,$K$5+ROW()-26+$H$17,MATCH($F$17,'Raw Pressure Data'!$1:$1,0))+$G$17))),"")</f>
        <v/>
      </c>
      <c r="AA168" s="24">
        <f>IFERROR(IF($F$18="","",IF($K$5+ROW()-26&gt;$K$6,"",IF(INDEX('Raw Pressure Data'!$A:$ZZ,$K$5+ROW()-26+$H$18,MATCH($F$18,'Raw Pressure Data'!$1:$1,0))=-999,"",INDEX('Raw Pressure Data'!$A:$ZZ,$K$5+ROW()-26+$H$18,MATCH($F$18,'Raw Pressure Data'!$1:$1,0))+$G$18))),"")</f>
        <v/>
      </c>
      <c r="AB168" s="24">
        <f>IFERROR(IF($F$19="","",IF($K$5+ROW()-26&gt;$K$6,"",IF(INDEX('Raw Pressure Data'!$A:$ZZ,$K$5+ROW()-26+$H$19,MATCH($F$19,'Raw Pressure Data'!$1:$1,0))=-999,"",INDEX('Raw Pressure Data'!$A:$ZZ,$K$5+ROW()-26+$H$19,MATCH($F$19,'Raw Pressure Data'!$1:$1,0))+$G$19))),"")</f>
        <v/>
      </c>
      <c r="AC168" s="24">
        <f>IFERROR(IF($F$20="","",IF($K$5+ROW()-26&gt;$K$6,"",IF(INDEX('Raw Pressure Data'!$A:$ZZ,$K$5+ROW()-26+$H$20,MATCH($F$20,'Raw Pressure Data'!$1:$1,0))=-999,"",INDEX('Raw Pressure Data'!$A:$ZZ,$K$5+ROW()-26+$H$20,MATCH($F$20,'Raw Pressure Data'!$1:$1,0))+$G$20))),"")</f>
        <v/>
      </c>
      <c r="AD168" s="24">
        <f>IFERROR(IF($F$21="","",IF($K$5+ROW()-26&gt;$K$6,"",IF(INDEX('Raw Pressure Data'!$A:$ZZ,$K$5+ROW()-26+$H$21,MATCH($F$21,'Raw Pressure Data'!$1:$1,0))=-999,"",INDEX('Raw Pressure Data'!$A:$ZZ,$K$5+ROW()-26+$H$21,MATCH($F$21,'Raw Pressure Data'!$1:$1,0))+$G$21))),"")</f>
        <v/>
      </c>
      <c r="AE168" s="24">
        <f>IFERROR(IF($F$22="","",IF($K$5+ROW()-26&gt;$K$6,"",IF(INDEX('Raw Pressure Data'!$A:$ZZ,$K$5+ROW()-26+$H$22,MATCH($F$22,'Raw Pressure Data'!$1:$1,0))=-999,"",INDEX('Raw Pressure Data'!$A:$ZZ,$K$5+ROW()-26+$H$22,MATCH($F$22,'Raw Pressure Data'!$1:$1,0))+$G$22))),"")</f>
        <v/>
      </c>
    </row>
    <row r="169" ht="15" customHeight="1">
      <c r="A169" s="25">
        <f>IFERROR(IF($K$5+ROW()-26&gt;$K$6,"",IF(INDEX('Raw Flow Data'!$A:$A,$K$5+ROW()-26)="","",INDEX('Raw Flow Data'!$A:$A,$K$5+ROW()-26))),"")</f>
        <v/>
      </c>
      <c r="B169" s="26">
        <f>IFERROR(IF($B$3="","",IF($K$5+ROW()-26&gt;$K$6,"",IF(INDEX('Raw Flow Data'!$A:$ZZ,$K$5+ROW()-26+$D$3,MATCH($B$3,'Raw Flow Data'!$1:$1,0))=-999,"",INDEX('Raw Flow Data'!$A:$ZZ,$K$5+ROW()-26+$D$3,MATCH($B$3,'Raw Flow Data'!$1:$1,0))*$C$3))),"")</f>
        <v/>
      </c>
      <c r="C169" s="26">
        <f>IFERROR(IF($B$4="","",IF($K$5+ROW()-26&gt;$K$6,"",IF(INDEX('Raw Flow Data'!$A:$ZZ,$K$5+ROW()-26+$D$4,MATCH($B$4,'Raw Flow Data'!$1:$1,0))=-999,"",INDEX('Raw Flow Data'!$A:$ZZ,$K$5+ROW()-26+$D$4,MATCH($B$4,'Raw Flow Data'!$1:$1,0))*$C$4))),"")</f>
        <v/>
      </c>
      <c r="D169" s="26">
        <f>IFERROR(IF($B$5="","",IF($K$5+ROW()-26&gt;$K$6,"",IF(INDEX('Raw Flow Data'!$A:$ZZ,$K$5+ROW()-26+$D$5,MATCH($B$5,'Raw Flow Data'!$1:$1,0))=-999,"",INDEX('Raw Flow Data'!$A:$ZZ,$K$5+ROW()-26+$D$5,MATCH($B$5,'Raw Flow Data'!$1:$1,0))*$C$5))),"")</f>
        <v/>
      </c>
      <c r="E169" s="26">
        <f>IFERROR(IF($B$6="","",IF($K$5+ROW()-26&gt;$K$6,"",IF(INDEX('Raw Flow Data'!$A:$ZZ,$K$5+ROW()-26+$D$6,MATCH($B$6,'Raw Flow Data'!$1:$1,0))=-999,"",INDEX('Raw Flow Data'!$A:$ZZ,$K$5+ROW()-26+$D$6,MATCH($B$6,'Raw Flow Data'!$1:$1,0))*$C$6))),"")</f>
        <v/>
      </c>
      <c r="F169" s="26">
        <f>IFERROR(IF($B$7="","",IF($K$5+ROW()-26&gt;$K$6,"",IF(INDEX('Raw Flow Data'!$A:$ZZ,$K$5+ROW()-26+$D$7,MATCH($B$7,'Raw Flow Data'!$1:$1,0))=-999,"",INDEX('Raw Flow Data'!$A:$ZZ,$K$5+ROW()-26+$D$7,MATCH($B$7,'Raw Flow Data'!$1:$1,0))*$C$7))),"")</f>
        <v/>
      </c>
      <c r="G169" s="26">
        <f>IFERROR(IF($B$8="","",IF($K$5+ROW()-26&gt;$K$6,"",IF(INDEX('Raw Flow Data'!$A:$ZZ,$K$5+ROW()-26+$D$8,MATCH($B$8,'Raw Flow Data'!$1:$1,0))=-999,"",INDEX('Raw Flow Data'!$A:$ZZ,$K$5+ROW()-26+$D$8,MATCH($B$8,'Raw Flow Data'!$1:$1,0))*$C$8))),"")</f>
        <v/>
      </c>
      <c r="H169" s="26">
        <f>IFERROR(IF($B$9="","",IF($K$5+ROW()-26&gt;$K$6,"",IF(INDEX('Raw Flow Data'!$A:$ZZ,$K$5+ROW()-26+$D$9,MATCH($B$9,'Raw Flow Data'!$1:$1,0))=-999,"",INDEX('Raw Flow Data'!$A:$ZZ,$K$5+ROW()-26+$D$9,MATCH($B$9,'Raw Flow Data'!$1:$1,0))*$C$9))),"")</f>
        <v/>
      </c>
      <c r="I169" s="26">
        <f>IFERROR(IF($B$10="","",IF($K$5+ROW()-26&gt;$K$6,"",IF(INDEX('Raw Flow Data'!$A:$ZZ,$K$5+ROW()-26+$D$10,MATCH($B$10,'Raw Flow Data'!$1:$1,0))=-999,"",INDEX('Raw Flow Data'!$A:$ZZ,$K$5+ROW()-26+$D$10,MATCH($B$10,'Raw Flow Data'!$1:$1,0))*$C$10))),"")</f>
        <v/>
      </c>
      <c r="J169" s="26">
        <f>IFERROR(IF($B$11="","",IF($K$5+ROW()-26&gt;$K$6,"",IF(INDEX('Raw Flow Data'!$A:$ZZ,$K$5+ROW()-26+$D$11,MATCH($B$11,'Raw Flow Data'!$1:$1,0))=-999,"",INDEX('Raw Flow Data'!$A:$ZZ,$K$5+ROW()-26+$D$11,MATCH($B$11,'Raw Flow Data'!$1:$1,0))*$C$11))),"")</f>
        <v/>
      </c>
      <c r="K169" s="26">
        <f>IFERROR(IF($B$12="","",IF($K$5+ROW()-26&gt;$K$6,"",IF(INDEX('Raw Flow Data'!$A:$ZZ,$K$5+ROW()-26+$D$12,MATCH($B$12,'Raw Flow Data'!$1:$1,0))=-999,"",INDEX('Raw Flow Data'!$A:$ZZ,$K$5+ROW()-26+$D$12,MATCH($B$12,'Raw Flow Data'!$1:$1,0))*$C$12))),"")</f>
        <v/>
      </c>
      <c r="L169" s="26">
        <f>IFERROR(IF($F$3="","",IF($K$5+ROW()-26&gt;$K$6,"",IF(INDEX('Raw Pressure Data'!$A:$ZZ,$K$5+ROW()-26+$H$3,MATCH($F$3,'Raw Pressure Data'!$1:$1,0))=-999,"",INDEX('Raw Pressure Data'!$A:$ZZ,$K$5+ROW()-26+$H$3,MATCH($F$3,'Raw Pressure Data'!$1:$1,0))+$G$3))),"")</f>
        <v/>
      </c>
      <c r="M169" s="26">
        <f>IFERROR(IF($F$4="","",IF($K$5+ROW()-26&gt;$K$6,"",IF(INDEX('Raw Pressure Data'!$A:$ZZ,$K$5+ROW()-26+$H$4,MATCH($F$4,'Raw Pressure Data'!$1:$1,0))=-999,"",INDEX('Raw Pressure Data'!$A:$ZZ,$K$5+ROW()-26+$H$4,MATCH($F$4,'Raw Pressure Data'!$1:$1,0))+$G$4))),"")</f>
        <v/>
      </c>
      <c r="N169" s="26">
        <f>IFERROR(IF($F$5="","",IF($K$5+ROW()-26&gt;$K$6,"",IF(INDEX('Raw Pressure Data'!$A:$ZZ,$K$5+ROW()-26+$H$5,MATCH($F$5,'Raw Pressure Data'!$1:$1,0))=-999,"",INDEX('Raw Pressure Data'!$A:$ZZ,$K$5+ROW()-26+$H$5,MATCH($F$5,'Raw Pressure Data'!$1:$1,0))+$G$5))),"")</f>
        <v/>
      </c>
      <c r="O169" s="26">
        <f>IFERROR(IF($F$6="","",IF($K$5+ROW()-26&gt;$K$6,"",IF(INDEX('Raw Pressure Data'!$A:$ZZ,$K$5+ROW()-26+$H$6,MATCH($F$6,'Raw Pressure Data'!$1:$1,0))=-999,"",INDEX('Raw Pressure Data'!$A:$ZZ,$K$5+ROW()-26+$H$6,MATCH($F$6,'Raw Pressure Data'!$1:$1,0))+$G$6))),"")</f>
        <v/>
      </c>
      <c r="P169" s="26">
        <f>IFERROR(IF($F$7="","",IF($K$5+ROW()-26&gt;$K$6,"",IF(INDEX('Raw Pressure Data'!$A:$ZZ,$K$5+ROW()-26+$H$7,MATCH($F$7,'Raw Pressure Data'!$1:$1,0))=-999,"",INDEX('Raw Pressure Data'!$A:$ZZ,$K$5+ROW()-26+$H$7,MATCH($F$7,'Raw Pressure Data'!$1:$1,0))+$G$7))),"")</f>
        <v/>
      </c>
      <c r="Q169" s="26">
        <f>IFERROR(IF($F$8="","",IF($K$5+ROW()-26&gt;$K$6,"",IF(INDEX('Raw Pressure Data'!$A:$ZZ,$K$5+ROW()-26+$H$8,MATCH($F$8,'Raw Pressure Data'!$1:$1,0))=-999,"",INDEX('Raw Pressure Data'!$A:$ZZ,$K$5+ROW()-26+$H$8,MATCH($F$8,'Raw Pressure Data'!$1:$1,0))+$G$8))),"")</f>
        <v/>
      </c>
      <c r="R169" s="26">
        <f>IFERROR(IF($F$9="","",IF($K$5+ROW()-26&gt;$K$6,"",IF(INDEX('Raw Pressure Data'!$A:$ZZ,$K$5+ROW()-26+$H$9,MATCH($F$9,'Raw Pressure Data'!$1:$1,0))=-999,"",INDEX('Raw Pressure Data'!$A:$ZZ,$K$5+ROW()-26+$H$9,MATCH($F$9,'Raw Pressure Data'!$1:$1,0))+$G$9))),"")</f>
        <v/>
      </c>
      <c r="S169" s="26">
        <f>IFERROR(IF($F$10="","",IF($K$5+ROW()-26&gt;$K$6,"",IF(INDEX('Raw Pressure Data'!$A:$ZZ,$K$5+ROW()-26+$H$10,MATCH($F$10,'Raw Pressure Data'!$1:$1,0))=-999,"",INDEX('Raw Pressure Data'!$A:$ZZ,$K$5+ROW()-26+$H$10,MATCH($F$10,'Raw Pressure Data'!$1:$1,0))+$G$10))),"")</f>
        <v/>
      </c>
      <c r="T169" s="26">
        <f>IFERROR(IF($F$11="","",IF($K$5+ROW()-26&gt;$K$6,"",IF(INDEX('Raw Pressure Data'!$A:$ZZ,$K$5+ROW()-26+$H$11,MATCH($F$11,'Raw Pressure Data'!$1:$1,0))=-999,"",INDEX('Raw Pressure Data'!$A:$ZZ,$K$5+ROW()-26+$H$11,MATCH($F$11,'Raw Pressure Data'!$1:$1,0))+$G$11))),"")</f>
        <v/>
      </c>
      <c r="U169" s="26">
        <f>IFERROR(IF($F$12="","",IF($K$5+ROW()-26&gt;$K$6,"",IF(INDEX('Raw Pressure Data'!$A:$ZZ,$K$5+ROW()-26+$H$12,MATCH($F$12,'Raw Pressure Data'!$1:$1,0))=-999,"",INDEX('Raw Pressure Data'!$A:$ZZ,$K$5+ROW()-26+$H$12,MATCH($F$12,'Raw Pressure Data'!$1:$1,0))+$G$12))),"")</f>
        <v/>
      </c>
      <c r="V169" s="26">
        <f>IFERROR(IF($F$13="","",IF($K$5+ROW()-26&gt;$K$6,"",IF(INDEX('Raw Pressure Data'!$A:$ZZ,$K$5+ROW()-26+$H$13,MATCH($F$13,'Raw Pressure Data'!$1:$1,0))=-999,"",INDEX('Raw Pressure Data'!$A:$ZZ,$K$5+ROW()-26+$H$13,MATCH($F$13,'Raw Pressure Data'!$1:$1,0))+$G$13))),"")</f>
        <v/>
      </c>
      <c r="W169" s="26">
        <f>IFERROR(IF($F$14="","",IF($K$5+ROW()-26&gt;$K$6,"",IF(INDEX('Raw Pressure Data'!$A:$ZZ,$K$5+ROW()-26+$H$14,MATCH($F$14,'Raw Pressure Data'!$1:$1,0))=-999,"",INDEX('Raw Pressure Data'!$A:$ZZ,$K$5+ROW()-26+$H$14,MATCH($F$14,'Raw Pressure Data'!$1:$1,0))+$G$14))),"")</f>
        <v/>
      </c>
      <c r="X169" s="26">
        <f>IFERROR(IF($F$15="","",IF($K$5+ROW()-26&gt;$K$6,"",IF(INDEX('Raw Pressure Data'!$A:$ZZ,$K$5+ROW()-26+$H$15,MATCH($F$15,'Raw Pressure Data'!$1:$1,0))=-999,"",INDEX('Raw Pressure Data'!$A:$ZZ,$K$5+ROW()-26+$H$15,MATCH($F$15,'Raw Pressure Data'!$1:$1,0))+$G$15))),"")</f>
        <v/>
      </c>
      <c r="Y169" s="26">
        <f>IFERROR(IF($F$16="","",IF($K$5+ROW()-26&gt;$K$6,"",IF(INDEX('Raw Pressure Data'!$A:$ZZ,$K$5+ROW()-26+$H$16,MATCH($F$16,'Raw Pressure Data'!$1:$1,0))=-999,"",INDEX('Raw Pressure Data'!$A:$ZZ,$K$5+ROW()-26+$H$16,MATCH($F$16,'Raw Pressure Data'!$1:$1,0))+$G$16))),"")</f>
        <v/>
      </c>
      <c r="Z169" s="26">
        <f>IFERROR(IF($F$17="","",IF($K$5+ROW()-26&gt;$K$6,"",IF(INDEX('Raw Pressure Data'!$A:$ZZ,$K$5+ROW()-26+$H$17,MATCH($F$17,'Raw Pressure Data'!$1:$1,0))=-999,"",INDEX('Raw Pressure Data'!$A:$ZZ,$K$5+ROW()-26+$H$17,MATCH($F$17,'Raw Pressure Data'!$1:$1,0))+$G$17))),"")</f>
        <v/>
      </c>
      <c r="AA169" s="26">
        <f>IFERROR(IF($F$18="","",IF($K$5+ROW()-26&gt;$K$6,"",IF(INDEX('Raw Pressure Data'!$A:$ZZ,$K$5+ROW()-26+$H$18,MATCH($F$18,'Raw Pressure Data'!$1:$1,0))=-999,"",INDEX('Raw Pressure Data'!$A:$ZZ,$K$5+ROW()-26+$H$18,MATCH($F$18,'Raw Pressure Data'!$1:$1,0))+$G$18))),"")</f>
        <v/>
      </c>
      <c r="AB169" s="26">
        <f>IFERROR(IF($F$19="","",IF($K$5+ROW()-26&gt;$K$6,"",IF(INDEX('Raw Pressure Data'!$A:$ZZ,$K$5+ROW()-26+$H$19,MATCH($F$19,'Raw Pressure Data'!$1:$1,0))=-999,"",INDEX('Raw Pressure Data'!$A:$ZZ,$K$5+ROW()-26+$H$19,MATCH($F$19,'Raw Pressure Data'!$1:$1,0))+$G$19))),"")</f>
        <v/>
      </c>
      <c r="AC169" s="26">
        <f>IFERROR(IF($F$20="","",IF($K$5+ROW()-26&gt;$K$6,"",IF(INDEX('Raw Pressure Data'!$A:$ZZ,$K$5+ROW()-26+$H$20,MATCH($F$20,'Raw Pressure Data'!$1:$1,0))=-999,"",INDEX('Raw Pressure Data'!$A:$ZZ,$K$5+ROW()-26+$H$20,MATCH($F$20,'Raw Pressure Data'!$1:$1,0))+$G$20))),"")</f>
        <v/>
      </c>
      <c r="AD169" s="26">
        <f>IFERROR(IF($F$21="","",IF($K$5+ROW()-26&gt;$K$6,"",IF(INDEX('Raw Pressure Data'!$A:$ZZ,$K$5+ROW()-26+$H$21,MATCH($F$21,'Raw Pressure Data'!$1:$1,0))=-999,"",INDEX('Raw Pressure Data'!$A:$ZZ,$K$5+ROW()-26+$H$21,MATCH($F$21,'Raw Pressure Data'!$1:$1,0))+$G$21))),"")</f>
        <v/>
      </c>
      <c r="AE169" s="26">
        <f>IFERROR(IF($F$22="","",IF($K$5+ROW()-26&gt;$K$6,"",IF(INDEX('Raw Pressure Data'!$A:$ZZ,$K$5+ROW()-26+$H$22,MATCH($F$22,'Raw Pressure Data'!$1:$1,0))=-999,"",INDEX('Raw Pressure Data'!$A:$ZZ,$K$5+ROW()-26+$H$22,MATCH($F$22,'Raw Pressure Data'!$1:$1,0))+$G$22))),"")</f>
        <v/>
      </c>
    </row>
    <row r="170" ht="15" customHeight="1">
      <c r="A170" s="23">
        <f>IFERROR(IF($K$5+ROW()-26&gt;$K$6,"",IF(INDEX('Raw Flow Data'!$A:$A,$K$5+ROW()-26)="","",INDEX('Raw Flow Data'!$A:$A,$K$5+ROW()-26))),"")</f>
        <v/>
      </c>
      <c r="B170" s="24">
        <f>IFERROR(IF($B$3="","",IF($K$5+ROW()-26&gt;$K$6,"",IF(INDEX('Raw Flow Data'!$A:$ZZ,$K$5+ROW()-26+$D$3,MATCH($B$3,'Raw Flow Data'!$1:$1,0))=-999,"",INDEX('Raw Flow Data'!$A:$ZZ,$K$5+ROW()-26+$D$3,MATCH($B$3,'Raw Flow Data'!$1:$1,0))*$C$3))),"")</f>
        <v/>
      </c>
      <c r="C170" s="24">
        <f>IFERROR(IF($B$4="","",IF($K$5+ROW()-26&gt;$K$6,"",IF(INDEX('Raw Flow Data'!$A:$ZZ,$K$5+ROW()-26+$D$4,MATCH($B$4,'Raw Flow Data'!$1:$1,0))=-999,"",INDEX('Raw Flow Data'!$A:$ZZ,$K$5+ROW()-26+$D$4,MATCH($B$4,'Raw Flow Data'!$1:$1,0))*$C$4))),"")</f>
        <v/>
      </c>
      <c r="D170" s="24">
        <f>IFERROR(IF($B$5="","",IF($K$5+ROW()-26&gt;$K$6,"",IF(INDEX('Raw Flow Data'!$A:$ZZ,$K$5+ROW()-26+$D$5,MATCH($B$5,'Raw Flow Data'!$1:$1,0))=-999,"",INDEX('Raw Flow Data'!$A:$ZZ,$K$5+ROW()-26+$D$5,MATCH($B$5,'Raw Flow Data'!$1:$1,0))*$C$5))),"")</f>
        <v/>
      </c>
      <c r="E170" s="24">
        <f>IFERROR(IF($B$6="","",IF($K$5+ROW()-26&gt;$K$6,"",IF(INDEX('Raw Flow Data'!$A:$ZZ,$K$5+ROW()-26+$D$6,MATCH($B$6,'Raw Flow Data'!$1:$1,0))=-999,"",INDEX('Raw Flow Data'!$A:$ZZ,$K$5+ROW()-26+$D$6,MATCH($B$6,'Raw Flow Data'!$1:$1,0))*$C$6))),"")</f>
        <v/>
      </c>
      <c r="F170" s="24">
        <f>IFERROR(IF($B$7="","",IF($K$5+ROW()-26&gt;$K$6,"",IF(INDEX('Raw Flow Data'!$A:$ZZ,$K$5+ROW()-26+$D$7,MATCH($B$7,'Raw Flow Data'!$1:$1,0))=-999,"",INDEX('Raw Flow Data'!$A:$ZZ,$K$5+ROW()-26+$D$7,MATCH($B$7,'Raw Flow Data'!$1:$1,0))*$C$7))),"")</f>
        <v/>
      </c>
      <c r="G170" s="24">
        <f>IFERROR(IF($B$8="","",IF($K$5+ROW()-26&gt;$K$6,"",IF(INDEX('Raw Flow Data'!$A:$ZZ,$K$5+ROW()-26+$D$8,MATCH($B$8,'Raw Flow Data'!$1:$1,0))=-999,"",INDEX('Raw Flow Data'!$A:$ZZ,$K$5+ROW()-26+$D$8,MATCH($B$8,'Raw Flow Data'!$1:$1,0))*$C$8))),"")</f>
        <v/>
      </c>
      <c r="H170" s="24">
        <f>IFERROR(IF($B$9="","",IF($K$5+ROW()-26&gt;$K$6,"",IF(INDEX('Raw Flow Data'!$A:$ZZ,$K$5+ROW()-26+$D$9,MATCH($B$9,'Raw Flow Data'!$1:$1,0))=-999,"",INDEX('Raw Flow Data'!$A:$ZZ,$K$5+ROW()-26+$D$9,MATCH($B$9,'Raw Flow Data'!$1:$1,0))*$C$9))),"")</f>
        <v/>
      </c>
      <c r="I170" s="24">
        <f>IFERROR(IF($B$10="","",IF($K$5+ROW()-26&gt;$K$6,"",IF(INDEX('Raw Flow Data'!$A:$ZZ,$K$5+ROW()-26+$D$10,MATCH($B$10,'Raw Flow Data'!$1:$1,0))=-999,"",INDEX('Raw Flow Data'!$A:$ZZ,$K$5+ROW()-26+$D$10,MATCH($B$10,'Raw Flow Data'!$1:$1,0))*$C$10))),"")</f>
        <v/>
      </c>
      <c r="J170" s="24">
        <f>IFERROR(IF($B$11="","",IF($K$5+ROW()-26&gt;$K$6,"",IF(INDEX('Raw Flow Data'!$A:$ZZ,$K$5+ROW()-26+$D$11,MATCH($B$11,'Raw Flow Data'!$1:$1,0))=-999,"",INDEX('Raw Flow Data'!$A:$ZZ,$K$5+ROW()-26+$D$11,MATCH($B$11,'Raw Flow Data'!$1:$1,0))*$C$11))),"")</f>
        <v/>
      </c>
      <c r="K170" s="24">
        <f>IFERROR(IF($B$12="","",IF($K$5+ROW()-26&gt;$K$6,"",IF(INDEX('Raw Flow Data'!$A:$ZZ,$K$5+ROW()-26+$D$12,MATCH($B$12,'Raw Flow Data'!$1:$1,0))=-999,"",INDEX('Raw Flow Data'!$A:$ZZ,$K$5+ROW()-26+$D$12,MATCH($B$12,'Raw Flow Data'!$1:$1,0))*$C$12))),"")</f>
        <v/>
      </c>
      <c r="L170" s="24">
        <f>IFERROR(IF($F$3="","",IF($K$5+ROW()-26&gt;$K$6,"",IF(INDEX('Raw Pressure Data'!$A:$ZZ,$K$5+ROW()-26+$H$3,MATCH($F$3,'Raw Pressure Data'!$1:$1,0))=-999,"",INDEX('Raw Pressure Data'!$A:$ZZ,$K$5+ROW()-26+$H$3,MATCH($F$3,'Raw Pressure Data'!$1:$1,0))+$G$3))),"")</f>
        <v/>
      </c>
      <c r="M170" s="24">
        <f>IFERROR(IF($F$4="","",IF($K$5+ROW()-26&gt;$K$6,"",IF(INDEX('Raw Pressure Data'!$A:$ZZ,$K$5+ROW()-26+$H$4,MATCH($F$4,'Raw Pressure Data'!$1:$1,0))=-999,"",INDEX('Raw Pressure Data'!$A:$ZZ,$K$5+ROW()-26+$H$4,MATCH($F$4,'Raw Pressure Data'!$1:$1,0))+$G$4))),"")</f>
        <v/>
      </c>
      <c r="N170" s="24">
        <f>IFERROR(IF($F$5="","",IF($K$5+ROW()-26&gt;$K$6,"",IF(INDEX('Raw Pressure Data'!$A:$ZZ,$K$5+ROW()-26+$H$5,MATCH($F$5,'Raw Pressure Data'!$1:$1,0))=-999,"",INDEX('Raw Pressure Data'!$A:$ZZ,$K$5+ROW()-26+$H$5,MATCH($F$5,'Raw Pressure Data'!$1:$1,0))+$G$5))),"")</f>
        <v/>
      </c>
      <c r="O170" s="24">
        <f>IFERROR(IF($F$6="","",IF($K$5+ROW()-26&gt;$K$6,"",IF(INDEX('Raw Pressure Data'!$A:$ZZ,$K$5+ROW()-26+$H$6,MATCH($F$6,'Raw Pressure Data'!$1:$1,0))=-999,"",INDEX('Raw Pressure Data'!$A:$ZZ,$K$5+ROW()-26+$H$6,MATCH($F$6,'Raw Pressure Data'!$1:$1,0))+$G$6))),"")</f>
        <v/>
      </c>
      <c r="P170" s="24">
        <f>IFERROR(IF($F$7="","",IF($K$5+ROW()-26&gt;$K$6,"",IF(INDEX('Raw Pressure Data'!$A:$ZZ,$K$5+ROW()-26+$H$7,MATCH($F$7,'Raw Pressure Data'!$1:$1,0))=-999,"",INDEX('Raw Pressure Data'!$A:$ZZ,$K$5+ROW()-26+$H$7,MATCH($F$7,'Raw Pressure Data'!$1:$1,0))+$G$7))),"")</f>
        <v/>
      </c>
      <c r="Q170" s="24">
        <f>IFERROR(IF($F$8="","",IF($K$5+ROW()-26&gt;$K$6,"",IF(INDEX('Raw Pressure Data'!$A:$ZZ,$K$5+ROW()-26+$H$8,MATCH($F$8,'Raw Pressure Data'!$1:$1,0))=-999,"",INDEX('Raw Pressure Data'!$A:$ZZ,$K$5+ROW()-26+$H$8,MATCH($F$8,'Raw Pressure Data'!$1:$1,0))+$G$8))),"")</f>
        <v/>
      </c>
      <c r="R170" s="24">
        <f>IFERROR(IF($F$9="","",IF($K$5+ROW()-26&gt;$K$6,"",IF(INDEX('Raw Pressure Data'!$A:$ZZ,$K$5+ROW()-26+$H$9,MATCH($F$9,'Raw Pressure Data'!$1:$1,0))=-999,"",INDEX('Raw Pressure Data'!$A:$ZZ,$K$5+ROW()-26+$H$9,MATCH($F$9,'Raw Pressure Data'!$1:$1,0))+$G$9))),"")</f>
        <v/>
      </c>
      <c r="S170" s="24">
        <f>IFERROR(IF($F$10="","",IF($K$5+ROW()-26&gt;$K$6,"",IF(INDEX('Raw Pressure Data'!$A:$ZZ,$K$5+ROW()-26+$H$10,MATCH($F$10,'Raw Pressure Data'!$1:$1,0))=-999,"",INDEX('Raw Pressure Data'!$A:$ZZ,$K$5+ROW()-26+$H$10,MATCH($F$10,'Raw Pressure Data'!$1:$1,0))+$G$10))),"")</f>
        <v/>
      </c>
      <c r="T170" s="24">
        <f>IFERROR(IF($F$11="","",IF($K$5+ROW()-26&gt;$K$6,"",IF(INDEX('Raw Pressure Data'!$A:$ZZ,$K$5+ROW()-26+$H$11,MATCH($F$11,'Raw Pressure Data'!$1:$1,0))=-999,"",INDEX('Raw Pressure Data'!$A:$ZZ,$K$5+ROW()-26+$H$11,MATCH($F$11,'Raw Pressure Data'!$1:$1,0))+$G$11))),"")</f>
        <v/>
      </c>
      <c r="U170" s="24">
        <f>IFERROR(IF($F$12="","",IF($K$5+ROW()-26&gt;$K$6,"",IF(INDEX('Raw Pressure Data'!$A:$ZZ,$K$5+ROW()-26+$H$12,MATCH($F$12,'Raw Pressure Data'!$1:$1,0))=-999,"",INDEX('Raw Pressure Data'!$A:$ZZ,$K$5+ROW()-26+$H$12,MATCH($F$12,'Raw Pressure Data'!$1:$1,0))+$G$12))),"")</f>
        <v/>
      </c>
      <c r="V170" s="24">
        <f>IFERROR(IF($F$13="","",IF($K$5+ROW()-26&gt;$K$6,"",IF(INDEX('Raw Pressure Data'!$A:$ZZ,$K$5+ROW()-26+$H$13,MATCH($F$13,'Raw Pressure Data'!$1:$1,0))=-999,"",INDEX('Raw Pressure Data'!$A:$ZZ,$K$5+ROW()-26+$H$13,MATCH($F$13,'Raw Pressure Data'!$1:$1,0))+$G$13))),"")</f>
        <v/>
      </c>
      <c r="W170" s="24">
        <f>IFERROR(IF($F$14="","",IF($K$5+ROW()-26&gt;$K$6,"",IF(INDEX('Raw Pressure Data'!$A:$ZZ,$K$5+ROW()-26+$H$14,MATCH($F$14,'Raw Pressure Data'!$1:$1,0))=-999,"",INDEX('Raw Pressure Data'!$A:$ZZ,$K$5+ROW()-26+$H$14,MATCH($F$14,'Raw Pressure Data'!$1:$1,0))+$G$14))),"")</f>
        <v/>
      </c>
      <c r="X170" s="24">
        <f>IFERROR(IF($F$15="","",IF($K$5+ROW()-26&gt;$K$6,"",IF(INDEX('Raw Pressure Data'!$A:$ZZ,$K$5+ROW()-26+$H$15,MATCH($F$15,'Raw Pressure Data'!$1:$1,0))=-999,"",INDEX('Raw Pressure Data'!$A:$ZZ,$K$5+ROW()-26+$H$15,MATCH($F$15,'Raw Pressure Data'!$1:$1,0))+$G$15))),"")</f>
        <v/>
      </c>
      <c r="Y170" s="24">
        <f>IFERROR(IF($F$16="","",IF($K$5+ROW()-26&gt;$K$6,"",IF(INDEX('Raw Pressure Data'!$A:$ZZ,$K$5+ROW()-26+$H$16,MATCH($F$16,'Raw Pressure Data'!$1:$1,0))=-999,"",INDEX('Raw Pressure Data'!$A:$ZZ,$K$5+ROW()-26+$H$16,MATCH($F$16,'Raw Pressure Data'!$1:$1,0))+$G$16))),"")</f>
        <v/>
      </c>
      <c r="Z170" s="24">
        <f>IFERROR(IF($F$17="","",IF($K$5+ROW()-26&gt;$K$6,"",IF(INDEX('Raw Pressure Data'!$A:$ZZ,$K$5+ROW()-26+$H$17,MATCH($F$17,'Raw Pressure Data'!$1:$1,0))=-999,"",INDEX('Raw Pressure Data'!$A:$ZZ,$K$5+ROW()-26+$H$17,MATCH($F$17,'Raw Pressure Data'!$1:$1,0))+$G$17))),"")</f>
        <v/>
      </c>
      <c r="AA170" s="24">
        <f>IFERROR(IF($F$18="","",IF($K$5+ROW()-26&gt;$K$6,"",IF(INDEX('Raw Pressure Data'!$A:$ZZ,$K$5+ROW()-26+$H$18,MATCH($F$18,'Raw Pressure Data'!$1:$1,0))=-999,"",INDEX('Raw Pressure Data'!$A:$ZZ,$K$5+ROW()-26+$H$18,MATCH($F$18,'Raw Pressure Data'!$1:$1,0))+$G$18))),"")</f>
        <v/>
      </c>
      <c r="AB170" s="24">
        <f>IFERROR(IF($F$19="","",IF($K$5+ROW()-26&gt;$K$6,"",IF(INDEX('Raw Pressure Data'!$A:$ZZ,$K$5+ROW()-26+$H$19,MATCH($F$19,'Raw Pressure Data'!$1:$1,0))=-999,"",INDEX('Raw Pressure Data'!$A:$ZZ,$K$5+ROW()-26+$H$19,MATCH($F$19,'Raw Pressure Data'!$1:$1,0))+$G$19))),"")</f>
        <v/>
      </c>
      <c r="AC170" s="24">
        <f>IFERROR(IF($F$20="","",IF($K$5+ROW()-26&gt;$K$6,"",IF(INDEX('Raw Pressure Data'!$A:$ZZ,$K$5+ROW()-26+$H$20,MATCH($F$20,'Raw Pressure Data'!$1:$1,0))=-999,"",INDEX('Raw Pressure Data'!$A:$ZZ,$K$5+ROW()-26+$H$20,MATCH($F$20,'Raw Pressure Data'!$1:$1,0))+$G$20))),"")</f>
        <v/>
      </c>
      <c r="AD170" s="24">
        <f>IFERROR(IF($F$21="","",IF($K$5+ROW()-26&gt;$K$6,"",IF(INDEX('Raw Pressure Data'!$A:$ZZ,$K$5+ROW()-26+$H$21,MATCH($F$21,'Raw Pressure Data'!$1:$1,0))=-999,"",INDEX('Raw Pressure Data'!$A:$ZZ,$K$5+ROW()-26+$H$21,MATCH($F$21,'Raw Pressure Data'!$1:$1,0))+$G$21))),"")</f>
        <v/>
      </c>
      <c r="AE170" s="24">
        <f>IFERROR(IF($F$22="","",IF($K$5+ROW()-26&gt;$K$6,"",IF(INDEX('Raw Pressure Data'!$A:$ZZ,$K$5+ROW()-26+$H$22,MATCH($F$22,'Raw Pressure Data'!$1:$1,0))=-999,"",INDEX('Raw Pressure Data'!$A:$ZZ,$K$5+ROW()-26+$H$22,MATCH($F$22,'Raw Pressure Data'!$1:$1,0))+$G$22))),"")</f>
        <v/>
      </c>
    </row>
    <row r="171" ht="15" customHeight="1">
      <c r="A171" s="25">
        <f>IFERROR(IF($K$5+ROW()-26&gt;$K$6,"",IF(INDEX('Raw Flow Data'!$A:$A,$K$5+ROW()-26)="","",INDEX('Raw Flow Data'!$A:$A,$K$5+ROW()-26))),"")</f>
        <v/>
      </c>
      <c r="B171" s="26">
        <f>IFERROR(IF($B$3="","",IF($K$5+ROW()-26&gt;$K$6,"",IF(INDEX('Raw Flow Data'!$A:$ZZ,$K$5+ROW()-26+$D$3,MATCH($B$3,'Raw Flow Data'!$1:$1,0))=-999,"",INDEX('Raw Flow Data'!$A:$ZZ,$K$5+ROW()-26+$D$3,MATCH($B$3,'Raw Flow Data'!$1:$1,0))*$C$3))),"")</f>
        <v/>
      </c>
      <c r="C171" s="26">
        <f>IFERROR(IF($B$4="","",IF($K$5+ROW()-26&gt;$K$6,"",IF(INDEX('Raw Flow Data'!$A:$ZZ,$K$5+ROW()-26+$D$4,MATCH($B$4,'Raw Flow Data'!$1:$1,0))=-999,"",INDEX('Raw Flow Data'!$A:$ZZ,$K$5+ROW()-26+$D$4,MATCH($B$4,'Raw Flow Data'!$1:$1,0))*$C$4))),"")</f>
        <v/>
      </c>
      <c r="D171" s="26">
        <f>IFERROR(IF($B$5="","",IF($K$5+ROW()-26&gt;$K$6,"",IF(INDEX('Raw Flow Data'!$A:$ZZ,$K$5+ROW()-26+$D$5,MATCH($B$5,'Raw Flow Data'!$1:$1,0))=-999,"",INDEX('Raw Flow Data'!$A:$ZZ,$K$5+ROW()-26+$D$5,MATCH($B$5,'Raw Flow Data'!$1:$1,0))*$C$5))),"")</f>
        <v/>
      </c>
      <c r="E171" s="26">
        <f>IFERROR(IF($B$6="","",IF($K$5+ROW()-26&gt;$K$6,"",IF(INDEX('Raw Flow Data'!$A:$ZZ,$K$5+ROW()-26+$D$6,MATCH($B$6,'Raw Flow Data'!$1:$1,0))=-999,"",INDEX('Raw Flow Data'!$A:$ZZ,$K$5+ROW()-26+$D$6,MATCH($B$6,'Raw Flow Data'!$1:$1,0))*$C$6))),"")</f>
        <v/>
      </c>
      <c r="F171" s="26">
        <f>IFERROR(IF($B$7="","",IF($K$5+ROW()-26&gt;$K$6,"",IF(INDEX('Raw Flow Data'!$A:$ZZ,$K$5+ROW()-26+$D$7,MATCH($B$7,'Raw Flow Data'!$1:$1,0))=-999,"",INDEX('Raw Flow Data'!$A:$ZZ,$K$5+ROW()-26+$D$7,MATCH($B$7,'Raw Flow Data'!$1:$1,0))*$C$7))),"")</f>
        <v/>
      </c>
      <c r="G171" s="26">
        <f>IFERROR(IF($B$8="","",IF($K$5+ROW()-26&gt;$K$6,"",IF(INDEX('Raw Flow Data'!$A:$ZZ,$K$5+ROW()-26+$D$8,MATCH($B$8,'Raw Flow Data'!$1:$1,0))=-999,"",INDEX('Raw Flow Data'!$A:$ZZ,$K$5+ROW()-26+$D$8,MATCH($B$8,'Raw Flow Data'!$1:$1,0))*$C$8))),"")</f>
        <v/>
      </c>
      <c r="H171" s="26">
        <f>IFERROR(IF($B$9="","",IF($K$5+ROW()-26&gt;$K$6,"",IF(INDEX('Raw Flow Data'!$A:$ZZ,$K$5+ROW()-26+$D$9,MATCH($B$9,'Raw Flow Data'!$1:$1,0))=-999,"",INDEX('Raw Flow Data'!$A:$ZZ,$K$5+ROW()-26+$D$9,MATCH($B$9,'Raw Flow Data'!$1:$1,0))*$C$9))),"")</f>
        <v/>
      </c>
      <c r="I171" s="26">
        <f>IFERROR(IF($B$10="","",IF($K$5+ROW()-26&gt;$K$6,"",IF(INDEX('Raw Flow Data'!$A:$ZZ,$K$5+ROW()-26+$D$10,MATCH($B$10,'Raw Flow Data'!$1:$1,0))=-999,"",INDEX('Raw Flow Data'!$A:$ZZ,$K$5+ROW()-26+$D$10,MATCH($B$10,'Raw Flow Data'!$1:$1,0))*$C$10))),"")</f>
        <v/>
      </c>
      <c r="J171" s="26">
        <f>IFERROR(IF($B$11="","",IF($K$5+ROW()-26&gt;$K$6,"",IF(INDEX('Raw Flow Data'!$A:$ZZ,$K$5+ROW()-26+$D$11,MATCH($B$11,'Raw Flow Data'!$1:$1,0))=-999,"",INDEX('Raw Flow Data'!$A:$ZZ,$K$5+ROW()-26+$D$11,MATCH($B$11,'Raw Flow Data'!$1:$1,0))*$C$11))),"")</f>
        <v/>
      </c>
      <c r="K171" s="26">
        <f>IFERROR(IF($B$12="","",IF($K$5+ROW()-26&gt;$K$6,"",IF(INDEX('Raw Flow Data'!$A:$ZZ,$K$5+ROW()-26+$D$12,MATCH($B$12,'Raw Flow Data'!$1:$1,0))=-999,"",INDEX('Raw Flow Data'!$A:$ZZ,$K$5+ROW()-26+$D$12,MATCH($B$12,'Raw Flow Data'!$1:$1,0))*$C$12))),"")</f>
        <v/>
      </c>
      <c r="L171" s="26">
        <f>IFERROR(IF($F$3="","",IF($K$5+ROW()-26&gt;$K$6,"",IF(INDEX('Raw Pressure Data'!$A:$ZZ,$K$5+ROW()-26+$H$3,MATCH($F$3,'Raw Pressure Data'!$1:$1,0))=-999,"",INDEX('Raw Pressure Data'!$A:$ZZ,$K$5+ROW()-26+$H$3,MATCH($F$3,'Raw Pressure Data'!$1:$1,0))+$G$3))),"")</f>
        <v/>
      </c>
      <c r="M171" s="26">
        <f>IFERROR(IF($F$4="","",IF($K$5+ROW()-26&gt;$K$6,"",IF(INDEX('Raw Pressure Data'!$A:$ZZ,$K$5+ROW()-26+$H$4,MATCH($F$4,'Raw Pressure Data'!$1:$1,0))=-999,"",INDEX('Raw Pressure Data'!$A:$ZZ,$K$5+ROW()-26+$H$4,MATCH($F$4,'Raw Pressure Data'!$1:$1,0))+$G$4))),"")</f>
        <v/>
      </c>
      <c r="N171" s="26">
        <f>IFERROR(IF($F$5="","",IF($K$5+ROW()-26&gt;$K$6,"",IF(INDEX('Raw Pressure Data'!$A:$ZZ,$K$5+ROW()-26+$H$5,MATCH($F$5,'Raw Pressure Data'!$1:$1,0))=-999,"",INDEX('Raw Pressure Data'!$A:$ZZ,$K$5+ROW()-26+$H$5,MATCH($F$5,'Raw Pressure Data'!$1:$1,0))+$G$5))),"")</f>
        <v/>
      </c>
      <c r="O171" s="26">
        <f>IFERROR(IF($F$6="","",IF($K$5+ROW()-26&gt;$K$6,"",IF(INDEX('Raw Pressure Data'!$A:$ZZ,$K$5+ROW()-26+$H$6,MATCH($F$6,'Raw Pressure Data'!$1:$1,0))=-999,"",INDEX('Raw Pressure Data'!$A:$ZZ,$K$5+ROW()-26+$H$6,MATCH($F$6,'Raw Pressure Data'!$1:$1,0))+$G$6))),"")</f>
        <v/>
      </c>
      <c r="P171" s="26">
        <f>IFERROR(IF($F$7="","",IF($K$5+ROW()-26&gt;$K$6,"",IF(INDEX('Raw Pressure Data'!$A:$ZZ,$K$5+ROW()-26+$H$7,MATCH($F$7,'Raw Pressure Data'!$1:$1,0))=-999,"",INDEX('Raw Pressure Data'!$A:$ZZ,$K$5+ROW()-26+$H$7,MATCH($F$7,'Raw Pressure Data'!$1:$1,0))+$G$7))),"")</f>
        <v/>
      </c>
      <c r="Q171" s="26">
        <f>IFERROR(IF($F$8="","",IF($K$5+ROW()-26&gt;$K$6,"",IF(INDEX('Raw Pressure Data'!$A:$ZZ,$K$5+ROW()-26+$H$8,MATCH($F$8,'Raw Pressure Data'!$1:$1,0))=-999,"",INDEX('Raw Pressure Data'!$A:$ZZ,$K$5+ROW()-26+$H$8,MATCH($F$8,'Raw Pressure Data'!$1:$1,0))+$G$8))),"")</f>
        <v/>
      </c>
      <c r="R171" s="26">
        <f>IFERROR(IF($F$9="","",IF($K$5+ROW()-26&gt;$K$6,"",IF(INDEX('Raw Pressure Data'!$A:$ZZ,$K$5+ROW()-26+$H$9,MATCH($F$9,'Raw Pressure Data'!$1:$1,0))=-999,"",INDEX('Raw Pressure Data'!$A:$ZZ,$K$5+ROW()-26+$H$9,MATCH($F$9,'Raw Pressure Data'!$1:$1,0))+$G$9))),"")</f>
        <v/>
      </c>
      <c r="S171" s="26">
        <f>IFERROR(IF($F$10="","",IF($K$5+ROW()-26&gt;$K$6,"",IF(INDEX('Raw Pressure Data'!$A:$ZZ,$K$5+ROW()-26+$H$10,MATCH($F$10,'Raw Pressure Data'!$1:$1,0))=-999,"",INDEX('Raw Pressure Data'!$A:$ZZ,$K$5+ROW()-26+$H$10,MATCH($F$10,'Raw Pressure Data'!$1:$1,0))+$G$10))),"")</f>
        <v/>
      </c>
      <c r="T171" s="26">
        <f>IFERROR(IF($F$11="","",IF($K$5+ROW()-26&gt;$K$6,"",IF(INDEX('Raw Pressure Data'!$A:$ZZ,$K$5+ROW()-26+$H$11,MATCH($F$11,'Raw Pressure Data'!$1:$1,0))=-999,"",INDEX('Raw Pressure Data'!$A:$ZZ,$K$5+ROW()-26+$H$11,MATCH($F$11,'Raw Pressure Data'!$1:$1,0))+$G$11))),"")</f>
        <v/>
      </c>
      <c r="U171" s="26">
        <f>IFERROR(IF($F$12="","",IF($K$5+ROW()-26&gt;$K$6,"",IF(INDEX('Raw Pressure Data'!$A:$ZZ,$K$5+ROW()-26+$H$12,MATCH($F$12,'Raw Pressure Data'!$1:$1,0))=-999,"",INDEX('Raw Pressure Data'!$A:$ZZ,$K$5+ROW()-26+$H$12,MATCH($F$12,'Raw Pressure Data'!$1:$1,0))+$G$12))),"")</f>
        <v/>
      </c>
      <c r="V171" s="26">
        <f>IFERROR(IF($F$13="","",IF($K$5+ROW()-26&gt;$K$6,"",IF(INDEX('Raw Pressure Data'!$A:$ZZ,$K$5+ROW()-26+$H$13,MATCH($F$13,'Raw Pressure Data'!$1:$1,0))=-999,"",INDEX('Raw Pressure Data'!$A:$ZZ,$K$5+ROW()-26+$H$13,MATCH($F$13,'Raw Pressure Data'!$1:$1,0))+$G$13))),"")</f>
        <v/>
      </c>
      <c r="W171" s="26">
        <f>IFERROR(IF($F$14="","",IF($K$5+ROW()-26&gt;$K$6,"",IF(INDEX('Raw Pressure Data'!$A:$ZZ,$K$5+ROW()-26+$H$14,MATCH($F$14,'Raw Pressure Data'!$1:$1,0))=-999,"",INDEX('Raw Pressure Data'!$A:$ZZ,$K$5+ROW()-26+$H$14,MATCH($F$14,'Raw Pressure Data'!$1:$1,0))+$G$14))),"")</f>
        <v/>
      </c>
      <c r="X171" s="26">
        <f>IFERROR(IF($F$15="","",IF($K$5+ROW()-26&gt;$K$6,"",IF(INDEX('Raw Pressure Data'!$A:$ZZ,$K$5+ROW()-26+$H$15,MATCH($F$15,'Raw Pressure Data'!$1:$1,0))=-999,"",INDEX('Raw Pressure Data'!$A:$ZZ,$K$5+ROW()-26+$H$15,MATCH($F$15,'Raw Pressure Data'!$1:$1,0))+$G$15))),"")</f>
        <v/>
      </c>
      <c r="Y171" s="26">
        <f>IFERROR(IF($F$16="","",IF($K$5+ROW()-26&gt;$K$6,"",IF(INDEX('Raw Pressure Data'!$A:$ZZ,$K$5+ROW()-26+$H$16,MATCH($F$16,'Raw Pressure Data'!$1:$1,0))=-999,"",INDEX('Raw Pressure Data'!$A:$ZZ,$K$5+ROW()-26+$H$16,MATCH($F$16,'Raw Pressure Data'!$1:$1,0))+$G$16))),"")</f>
        <v/>
      </c>
      <c r="Z171" s="26">
        <f>IFERROR(IF($F$17="","",IF($K$5+ROW()-26&gt;$K$6,"",IF(INDEX('Raw Pressure Data'!$A:$ZZ,$K$5+ROW()-26+$H$17,MATCH($F$17,'Raw Pressure Data'!$1:$1,0))=-999,"",INDEX('Raw Pressure Data'!$A:$ZZ,$K$5+ROW()-26+$H$17,MATCH($F$17,'Raw Pressure Data'!$1:$1,0))+$G$17))),"")</f>
        <v/>
      </c>
      <c r="AA171" s="26">
        <f>IFERROR(IF($F$18="","",IF($K$5+ROW()-26&gt;$K$6,"",IF(INDEX('Raw Pressure Data'!$A:$ZZ,$K$5+ROW()-26+$H$18,MATCH($F$18,'Raw Pressure Data'!$1:$1,0))=-999,"",INDEX('Raw Pressure Data'!$A:$ZZ,$K$5+ROW()-26+$H$18,MATCH($F$18,'Raw Pressure Data'!$1:$1,0))+$G$18))),"")</f>
        <v/>
      </c>
      <c r="AB171" s="26">
        <f>IFERROR(IF($F$19="","",IF($K$5+ROW()-26&gt;$K$6,"",IF(INDEX('Raw Pressure Data'!$A:$ZZ,$K$5+ROW()-26+$H$19,MATCH($F$19,'Raw Pressure Data'!$1:$1,0))=-999,"",INDEX('Raw Pressure Data'!$A:$ZZ,$K$5+ROW()-26+$H$19,MATCH($F$19,'Raw Pressure Data'!$1:$1,0))+$G$19))),"")</f>
        <v/>
      </c>
      <c r="AC171" s="26">
        <f>IFERROR(IF($F$20="","",IF($K$5+ROW()-26&gt;$K$6,"",IF(INDEX('Raw Pressure Data'!$A:$ZZ,$K$5+ROW()-26+$H$20,MATCH($F$20,'Raw Pressure Data'!$1:$1,0))=-999,"",INDEX('Raw Pressure Data'!$A:$ZZ,$K$5+ROW()-26+$H$20,MATCH($F$20,'Raw Pressure Data'!$1:$1,0))+$G$20))),"")</f>
        <v/>
      </c>
      <c r="AD171" s="26">
        <f>IFERROR(IF($F$21="","",IF($K$5+ROW()-26&gt;$K$6,"",IF(INDEX('Raw Pressure Data'!$A:$ZZ,$K$5+ROW()-26+$H$21,MATCH($F$21,'Raw Pressure Data'!$1:$1,0))=-999,"",INDEX('Raw Pressure Data'!$A:$ZZ,$K$5+ROW()-26+$H$21,MATCH($F$21,'Raw Pressure Data'!$1:$1,0))+$G$21))),"")</f>
        <v/>
      </c>
      <c r="AE171" s="26">
        <f>IFERROR(IF($F$22="","",IF($K$5+ROW()-26&gt;$K$6,"",IF(INDEX('Raw Pressure Data'!$A:$ZZ,$K$5+ROW()-26+$H$22,MATCH($F$22,'Raw Pressure Data'!$1:$1,0))=-999,"",INDEX('Raw Pressure Data'!$A:$ZZ,$K$5+ROW()-26+$H$22,MATCH($F$22,'Raw Pressure Data'!$1:$1,0))+$G$22))),"")</f>
        <v/>
      </c>
    </row>
    <row r="172" ht="15" customHeight="1">
      <c r="A172" s="23">
        <f>IFERROR(IF($K$5+ROW()-26&gt;$K$6,"",IF(INDEX('Raw Flow Data'!$A:$A,$K$5+ROW()-26)="","",INDEX('Raw Flow Data'!$A:$A,$K$5+ROW()-26))),"")</f>
        <v/>
      </c>
      <c r="B172" s="24">
        <f>IFERROR(IF($B$3="","",IF($K$5+ROW()-26&gt;$K$6,"",IF(INDEX('Raw Flow Data'!$A:$ZZ,$K$5+ROW()-26+$D$3,MATCH($B$3,'Raw Flow Data'!$1:$1,0))=-999,"",INDEX('Raw Flow Data'!$A:$ZZ,$K$5+ROW()-26+$D$3,MATCH($B$3,'Raw Flow Data'!$1:$1,0))*$C$3))),"")</f>
        <v/>
      </c>
      <c r="C172" s="24">
        <f>IFERROR(IF($B$4="","",IF($K$5+ROW()-26&gt;$K$6,"",IF(INDEX('Raw Flow Data'!$A:$ZZ,$K$5+ROW()-26+$D$4,MATCH($B$4,'Raw Flow Data'!$1:$1,0))=-999,"",INDEX('Raw Flow Data'!$A:$ZZ,$K$5+ROW()-26+$D$4,MATCH($B$4,'Raw Flow Data'!$1:$1,0))*$C$4))),"")</f>
        <v/>
      </c>
      <c r="D172" s="24">
        <f>IFERROR(IF($B$5="","",IF($K$5+ROW()-26&gt;$K$6,"",IF(INDEX('Raw Flow Data'!$A:$ZZ,$K$5+ROW()-26+$D$5,MATCH($B$5,'Raw Flow Data'!$1:$1,0))=-999,"",INDEX('Raw Flow Data'!$A:$ZZ,$K$5+ROW()-26+$D$5,MATCH($B$5,'Raw Flow Data'!$1:$1,0))*$C$5))),"")</f>
        <v/>
      </c>
      <c r="E172" s="24">
        <f>IFERROR(IF($B$6="","",IF($K$5+ROW()-26&gt;$K$6,"",IF(INDEX('Raw Flow Data'!$A:$ZZ,$K$5+ROW()-26+$D$6,MATCH($B$6,'Raw Flow Data'!$1:$1,0))=-999,"",INDEX('Raw Flow Data'!$A:$ZZ,$K$5+ROW()-26+$D$6,MATCH($B$6,'Raw Flow Data'!$1:$1,0))*$C$6))),"")</f>
        <v/>
      </c>
      <c r="F172" s="24">
        <f>IFERROR(IF($B$7="","",IF($K$5+ROW()-26&gt;$K$6,"",IF(INDEX('Raw Flow Data'!$A:$ZZ,$K$5+ROW()-26+$D$7,MATCH($B$7,'Raw Flow Data'!$1:$1,0))=-999,"",INDEX('Raw Flow Data'!$A:$ZZ,$K$5+ROW()-26+$D$7,MATCH($B$7,'Raw Flow Data'!$1:$1,0))*$C$7))),"")</f>
        <v/>
      </c>
      <c r="G172" s="24">
        <f>IFERROR(IF($B$8="","",IF($K$5+ROW()-26&gt;$K$6,"",IF(INDEX('Raw Flow Data'!$A:$ZZ,$K$5+ROW()-26+$D$8,MATCH($B$8,'Raw Flow Data'!$1:$1,0))=-999,"",INDEX('Raw Flow Data'!$A:$ZZ,$K$5+ROW()-26+$D$8,MATCH($B$8,'Raw Flow Data'!$1:$1,0))*$C$8))),"")</f>
        <v/>
      </c>
      <c r="H172" s="24">
        <f>IFERROR(IF($B$9="","",IF($K$5+ROW()-26&gt;$K$6,"",IF(INDEX('Raw Flow Data'!$A:$ZZ,$K$5+ROW()-26+$D$9,MATCH($B$9,'Raw Flow Data'!$1:$1,0))=-999,"",INDEX('Raw Flow Data'!$A:$ZZ,$K$5+ROW()-26+$D$9,MATCH($B$9,'Raw Flow Data'!$1:$1,0))*$C$9))),"")</f>
        <v/>
      </c>
      <c r="I172" s="24">
        <f>IFERROR(IF($B$10="","",IF($K$5+ROW()-26&gt;$K$6,"",IF(INDEX('Raw Flow Data'!$A:$ZZ,$K$5+ROW()-26+$D$10,MATCH($B$10,'Raw Flow Data'!$1:$1,0))=-999,"",INDEX('Raw Flow Data'!$A:$ZZ,$K$5+ROW()-26+$D$10,MATCH($B$10,'Raw Flow Data'!$1:$1,0))*$C$10))),"")</f>
        <v/>
      </c>
      <c r="J172" s="24">
        <f>IFERROR(IF($B$11="","",IF($K$5+ROW()-26&gt;$K$6,"",IF(INDEX('Raw Flow Data'!$A:$ZZ,$K$5+ROW()-26+$D$11,MATCH($B$11,'Raw Flow Data'!$1:$1,0))=-999,"",INDEX('Raw Flow Data'!$A:$ZZ,$K$5+ROW()-26+$D$11,MATCH($B$11,'Raw Flow Data'!$1:$1,0))*$C$11))),"")</f>
        <v/>
      </c>
      <c r="K172" s="24">
        <f>IFERROR(IF($B$12="","",IF($K$5+ROW()-26&gt;$K$6,"",IF(INDEX('Raw Flow Data'!$A:$ZZ,$K$5+ROW()-26+$D$12,MATCH($B$12,'Raw Flow Data'!$1:$1,0))=-999,"",INDEX('Raw Flow Data'!$A:$ZZ,$K$5+ROW()-26+$D$12,MATCH($B$12,'Raw Flow Data'!$1:$1,0))*$C$12))),"")</f>
        <v/>
      </c>
      <c r="L172" s="24">
        <f>IFERROR(IF($F$3="","",IF($K$5+ROW()-26&gt;$K$6,"",IF(INDEX('Raw Pressure Data'!$A:$ZZ,$K$5+ROW()-26+$H$3,MATCH($F$3,'Raw Pressure Data'!$1:$1,0))=-999,"",INDEX('Raw Pressure Data'!$A:$ZZ,$K$5+ROW()-26+$H$3,MATCH($F$3,'Raw Pressure Data'!$1:$1,0))+$G$3))),"")</f>
        <v/>
      </c>
      <c r="M172" s="24">
        <f>IFERROR(IF($F$4="","",IF($K$5+ROW()-26&gt;$K$6,"",IF(INDEX('Raw Pressure Data'!$A:$ZZ,$K$5+ROW()-26+$H$4,MATCH($F$4,'Raw Pressure Data'!$1:$1,0))=-999,"",INDEX('Raw Pressure Data'!$A:$ZZ,$K$5+ROW()-26+$H$4,MATCH($F$4,'Raw Pressure Data'!$1:$1,0))+$G$4))),"")</f>
        <v/>
      </c>
      <c r="N172" s="24">
        <f>IFERROR(IF($F$5="","",IF($K$5+ROW()-26&gt;$K$6,"",IF(INDEX('Raw Pressure Data'!$A:$ZZ,$K$5+ROW()-26+$H$5,MATCH($F$5,'Raw Pressure Data'!$1:$1,0))=-999,"",INDEX('Raw Pressure Data'!$A:$ZZ,$K$5+ROW()-26+$H$5,MATCH($F$5,'Raw Pressure Data'!$1:$1,0))+$G$5))),"")</f>
        <v/>
      </c>
      <c r="O172" s="24">
        <f>IFERROR(IF($F$6="","",IF($K$5+ROW()-26&gt;$K$6,"",IF(INDEX('Raw Pressure Data'!$A:$ZZ,$K$5+ROW()-26+$H$6,MATCH($F$6,'Raw Pressure Data'!$1:$1,0))=-999,"",INDEX('Raw Pressure Data'!$A:$ZZ,$K$5+ROW()-26+$H$6,MATCH($F$6,'Raw Pressure Data'!$1:$1,0))+$G$6))),"")</f>
        <v/>
      </c>
      <c r="P172" s="24">
        <f>IFERROR(IF($F$7="","",IF($K$5+ROW()-26&gt;$K$6,"",IF(INDEX('Raw Pressure Data'!$A:$ZZ,$K$5+ROW()-26+$H$7,MATCH($F$7,'Raw Pressure Data'!$1:$1,0))=-999,"",INDEX('Raw Pressure Data'!$A:$ZZ,$K$5+ROW()-26+$H$7,MATCH($F$7,'Raw Pressure Data'!$1:$1,0))+$G$7))),"")</f>
        <v/>
      </c>
      <c r="Q172" s="24">
        <f>IFERROR(IF($F$8="","",IF($K$5+ROW()-26&gt;$K$6,"",IF(INDEX('Raw Pressure Data'!$A:$ZZ,$K$5+ROW()-26+$H$8,MATCH($F$8,'Raw Pressure Data'!$1:$1,0))=-999,"",INDEX('Raw Pressure Data'!$A:$ZZ,$K$5+ROW()-26+$H$8,MATCH($F$8,'Raw Pressure Data'!$1:$1,0))+$G$8))),"")</f>
        <v/>
      </c>
      <c r="R172" s="24">
        <f>IFERROR(IF($F$9="","",IF($K$5+ROW()-26&gt;$K$6,"",IF(INDEX('Raw Pressure Data'!$A:$ZZ,$K$5+ROW()-26+$H$9,MATCH($F$9,'Raw Pressure Data'!$1:$1,0))=-999,"",INDEX('Raw Pressure Data'!$A:$ZZ,$K$5+ROW()-26+$H$9,MATCH($F$9,'Raw Pressure Data'!$1:$1,0))+$G$9))),"")</f>
        <v/>
      </c>
      <c r="S172" s="24">
        <f>IFERROR(IF($F$10="","",IF($K$5+ROW()-26&gt;$K$6,"",IF(INDEX('Raw Pressure Data'!$A:$ZZ,$K$5+ROW()-26+$H$10,MATCH($F$10,'Raw Pressure Data'!$1:$1,0))=-999,"",INDEX('Raw Pressure Data'!$A:$ZZ,$K$5+ROW()-26+$H$10,MATCH($F$10,'Raw Pressure Data'!$1:$1,0))+$G$10))),"")</f>
        <v/>
      </c>
      <c r="T172" s="24">
        <f>IFERROR(IF($F$11="","",IF($K$5+ROW()-26&gt;$K$6,"",IF(INDEX('Raw Pressure Data'!$A:$ZZ,$K$5+ROW()-26+$H$11,MATCH($F$11,'Raw Pressure Data'!$1:$1,0))=-999,"",INDEX('Raw Pressure Data'!$A:$ZZ,$K$5+ROW()-26+$H$11,MATCH($F$11,'Raw Pressure Data'!$1:$1,0))+$G$11))),"")</f>
        <v/>
      </c>
      <c r="U172" s="24">
        <f>IFERROR(IF($F$12="","",IF($K$5+ROW()-26&gt;$K$6,"",IF(INDEX('Raw Pressure Data'!$A:$ZZ,$K$5+ROW()-26+$H$12,MATCH($F$12,'Raw Pressure Data'!$1:$1,0))=-999,"",INDEX('Raw Pressure Data'!$A:$ZZ,$K$5+ROW()-26+$H$12,MATCH($F$12,'Raw Pressure Data'!$1:$1,0))+$G$12))),"")</f>
        <v/>
      </c>
      <c r="V172" s="24">
        <f>IFERROR(IF($F$13="","",IF($K$5+ROW()-26&gt;$K$6,"",IF(INDEX('Raw Pressure Data'!$A:$ZZ,$K$5+ROW()-26+$H$13,MATCH($F$13,'Raw Pressure Data'!$1:$1,0))=-999,"",INDEX('Raw Pressure Data'!$A:$ZZ,$K$5+ROW()-26+$H$13,MATCH($F$13,'Raw Pressure Data'!$1:$1,0))+$G$13))),"")</f>
        <v/>
      </c>
      <c r="W172" s="24">
        <f>IFERROR(IF($F$14="","",IF($K$5+ROW()-26&gt;$K$6,"",IF(INDEX('Raw Pressure Data'!$A:$ZZ,$K$5+ROW()-26+$H$14,MATCH($F$14,'Raw Pressure Data'!$1:$1,0))=-999,"",INDEX('Raw Pressure Data'!$A:$ZZ,$K$5+ROW()-26+$H$14,MATCH($F$14,'Raw Pressure Data'!$1:$1,0))+$G$14))),"")</f>
        <v/>
      </c>
      <c r="X172" s="24">
        <f>IFERROR(IF($F$15="","",IF($K$5+ROW()-26&gt;$K$6,"",IF(INDEX('Raw Pressure Data'!$A:$ZZ,$K$5+ROW()-26+$H$15,MATCH($F$15,'Raw Pressure Data'!$1:$1,0))=-999,"",INDEX('Raw Pressure Data'!$A:$ZZ,$K$5+ROW()-26+$H$15,MATCH($F$15,'Raw Pressure Data'!$1:$1,0))+$G$15))),"")</f>
        <v/>
      </c>
      <c r="Y172" s="24">
        <f>IFERROR(IF($F$16="","",IF($K$5+ROW()-26&gt;$K$6,"",IF(INDEX('Raw Pressure Data'!$A:$ZZ,$K$5+ROW()-26+$H$16,MATCH($F$16,'Raw Pressure Data'!$1:$1,0))=-999,"",INDEX('Raw Pressure Data'!$A:$ZZ,$K$5+ROW()-26+$H$16,MATCH($F$16,'Raw Pressure Data'!$1:$1,0))+$G$16))),"")</f>
        <v/>
      </c>
      <c r="Z172" s="24">
        <f>IFERROR(IF($F$17="","",IF($K$5+ROW()-26&gt;$K$6,"",IF(INDEX('Raw Pressure Data'!$A:$ZZ,$K$5+ROW()-26+$H$17,MATCH($F$17,'Raw Pressure Data'!$1:$1,0))=-999,"",INDEX('Raw Pressure Data'!$A:$ZZ,$K$5+ROW()-26+$H$17,MATCH($F$17,'Raw Pressure Data'!$1:$1,0))+$G$17))),"")</f>
        <v/>
      </c>
      <c r="AA172" s="24">
        <f>IFERROR(IF($F$18="","",IF($K$5+ROW()-26&gt;$K$6,"",IF(INDEX('Raw Pressure Data'!$A:$ZZ,$K$5+ROW()-26+$H$18,MATCH($F$18,'Raw Pressure Data'!$1:$1,0))=-999,"",INDEX('Raw Pressure Data'!$A:$ZZ,$K$5+ROW()-26+$H$18,MATCH($F$18,'Raw Pressure Data'!$1:$1,0))+$G$18))),"")</f>
        <v/>
      </c>
      <c r="AB172" s="24">
        <f>IFERROR(IF($F$19="","",IF($K$5+ROW()-26&gt;$K$6,"",IF(INDEX('Raw Pressure Data'!$A:$ZZ,$K$5+ROW()-26+$H$19,MATCH($F$19,'Raw Pressure Data'!$1:$1,0))=-999,"",INDEX('Raw Pressure Data'!$A:$ZZ,$K$5+ROW()-26+$H$19,MATCH($F$19,'Raw Pressure Data'!$1:$1,0))+$G$19))),"")</f>
        <v/>
      </c>
      <c r="AC172" s="24">
        <f>IFERROR(IF($F$20="","",IF($K$5+ROW()-26&gt;$K$6,"",IF(INDEX('Raw Pressure Data'!$A:$ZZ,$K$5+ROW()-26+$H$20,MATCH($F$20,'Raw Pressure Data'!$1:$1,0))=-999,"",INDEX('Raw Pressure Data'!$A:$ZZ,$K$5+ROW()-26+$H$20,MATCH($F$20,'Raw Pressure Data'!$1:$1,0))+$G$20))),"")</f>
        <v/>
      </c>
      <c r="AD172" s="24">
        <f>IFERROR(IF($F$21="","",IF($K$5+ROW()-26&gt;$K$6,"",IF(INDEX('Raw Pressure Data'!$A:$ZZ,$K$5+ROW()-26+$H$21,MATCH($F$21,'Raw Pressure Data'!$1:$1,0))=-999,"",INDEX('Raw Pressure Data'!$A:$ZZ,$K$5+ROW()-26+$H$21,MATCH($F$21,'Raw Pressure Data'!$1:$1,0))+$G$21))),"")</f>
        <v/>
      </c>
      <c r="AE172" s="24">
        <f>IFERROR(IF($F$22="","",IF($K$5+ROW()-26&gt;$K$6,"",IF(INDEX('Raw Pressure Data'!$A:$ZZ,$K$5+ROW()-26+$H$22,MATCH($F$22,'Raw Pressure Data'!$1:$1,0))=-999,"",INDEX('Raw Pressure Data'!$A:$ZZ,$K$5+ROW()-26+$H$22,MATCH($F$22,'Raw Pressure Data'!$1:$1,0))+$G$22))),"")</f>
        <v/>
      </c>
    </row>
    <row r="173" ht="15" customHeight="1">
      <c r="A173" s="25">
        <f>IFERROR(IF($K$5+ROW()-26&gt;$K$6,"",IF(INDEX('Raw Flow Data'!$A:$A,$K$5+ROW()-26)="","",INDEX('Raw Flow Data'!$A:$A,$K$5+ROW()-26))),"")</f>
        <v/>
      </c>
      <c r="B173" s="26">
        <f>IFERROR(IF($B$3="","",IF($K$5+ROW()-26&gt;$K$6,"",IF(INDEX('Raw Flow Data'!$A:$ZZ,$K$5+ROW()-26+$D$3,MATCH($B$3,'Raw Flow Data'!$1:$1,0))=-999,"",INDEX('Raw Flow Data'!$A:$ZZ,$K$5+ROW()-26+$D$3,MATCH($B$3,'Raw Flow Data'!$1:$1,0))*$C$3))),"")</f>
        <v/>
      </c>
      <c r="C173" s="26">
        <f>IFERROR(IF($B$4="","",IF($K$5+ROW()-26&gt;$K$6,"",IF(INDEX('Raw Flow Data'!$A:$ZZ,$K$5+ROW()-26+$D$4,MATCH($B$4,'Raw Flow Data'!$1:$1,0))=-999,"",INDEX('Raw Flow Data'!$A:$ZZ,$K$5+ROW()-26+$D$4,MATCH($B$4,'Raw Flow Data'!$1:$1,0))*$C$4))),"")</f>
        <v/>
      </c>
      <c r="D173" s="26">
        <f>IFERROR(IF($B$5="","",IF($K$5+ROW()-26&gt;$K$6,"",IF(INDEX('Raw Flow Data'!$A:$ZZ,$K$5+ROW()-26+$D$5,MATCH($B$5,'Raw Flow Data'!$1:$1,0))=-999,"",INDEX('Raw Flow Data'!$A:$ZZ,$K$5+ROW()-26+$D$5,MATCH($B$5,'Raw Flow Data'!$1:$1,0))*$C$5))),"")</f>
        <v/>
      </c>
      <c r="E173" s="26">
        <f>IFERROR(IF($B$6="","",IF($K$5+ROW()-26&gt;$K$6,"",IF(INDEX('Raw Flow Data'!$A:$ZZ,$K$5+ROW()-26+$D$6,MATCH($B$6,'Raw Flow Data'!$1:$1,0))=-999,"",INDEX('Raw Flow Data'!$A:$ZZ,$K$5+ROW()-26+$D$6,MATCH($B$6,'Raw Flow Data'!$1:$1,0))*$C$6))),"")</f>
        <v/>
      </c>
      <c r="F173" s="26">
        <f>IFERROR(IF($B$7="","",IF($K$5+ROW()-26&gt;$K$6,"",IF(INDEX('Raw Flow Data'!$A:$ZZ,$K$5+ROW()-26+$D$7,MATCH($B$7,'Raw Flow Data'!$1:$1,0))=-999,"",INDEX('Raw Flow Data'!$A:$ZZ,$K$5+ROW()-26+$D$7,MATCH($B$7,'Raw Flow Data'!$1:$1,0))*$C$7))),"")</f>
        <v/>
      </c>
      <c r="G173" s="26">
        <f>IFERROR(IF($B$8="","",IF($K$5+ROW()-26&gt;$K$6,"",IF(INDEX('Raw Flow Data'!$A:$ZZ,$K$5+ROW()-26+$D$8,MATCH($B$8,'Raw Flow Data'!$1:$1,0))=-999,"",INDEX('Raw Flow Data'!$A:$ZZ,$K$5+ROW()-26+$D$8,MATCH($B$8,'Raw Flow Data'!$1:$1,0))*$C$8))),"")</f>
        <v/>
      </c>
      <c r="H173" s="26">
        <f>IFERROR(IF($B$9="","",IF($K$5+ROW()-26&gt;$K$6,"",IF(INDEX('Raw Flow Data'!$A:$ZZ,$K$5+ROW()-26+$D$9,MATCH($B$9,'Raw Flow Data'!$1:$1,0))=-999,"",INDEX('Raw Flow Data'!$A:$ZZ,$K$5+ROW()-26+$D$9,MATCH($B$9,'Raw Flow Data'!$1:$1,0))*$C$9))),"")</f>
        <v/>
      </c>
      <c r="I173" s="26">
        <f>IFERROR(IF($B$10="","",IF($K$5+ROW()-26&gt;$K$6,"",IF(INDEX('Raw Flow Data'!$A:$ZZ,$K$5+ROW()-26+$D$10,MATCH($B$10,'Raw Flow Data'!$1:$1,0))=-999,"",INDEX('Raw Flow Data'!$A:$ZZ,$K$5+ROW()-26+$D$10,MATCH($B$10,'Raw Flow Data'!$1:$1,0))*$C$10))),"")</f>
        <v/>
      </c>
      <c r="J173" s="26">
        <f>IFERROR(IF($B$11="","",IF($K$5+ROW()-26&gt;$K$6,"",IF(INDEX('Raw Flow Data'!$A:$ZZ,$K$5+ROW()-26+$D$11,MATCH($B$11,'Raw Flow Data'!$1:$1,0))=-999,"",INDEX('Raw Flow Data'!$A:$ZZ,$K$5+ROW()-26+$D$11,MATCH($B$11,'Raw Flow Data'!$1:$1,0))*$C$11))),"")</f>
        <v/>
      </c>
      <c r="K173" s="26">
        <f>IFERROR(IF($B$12="","",IF($K$5+ROW()-26&gt;$K$6,"",IF(INDEX('Raw Flow Data'!$A:$ZZ,$K$5+ROW()-26+$D$12,MATCH($B$12,'Raw Flow Data'!$1:$1,0))=-999,"",INDEX('Raw Flow Data'!$A:$ZZ,$K$5+ROW()-26+$D$12,MATCH($B$12,'Raw Flow Data'!$1:$1,0))*$C$12))),"")</f>
        <v/>
      </c>
      <c r="L173" s="26">
        <f>IFERROR(IF($F$3="","",IF($K$5+ROW()-26&gt;$K$6,"",IF(INDEX('Raw Pressure Data'!$A:$ZZ,$K$5+ROW()-26+$H$3,MATCH($F$3,'Raw Pressure Data'!$1:$1,0))=-999,"",INDEX('Raw Pressure Data'!$A:$ZZ,$K$5+ROW()-26+$H$3,MATCH($F$3,'Raw Pressure Data'!$1:$1,0))+$G$3))),"")</f>
        <v/>
      </c>
      <c r="M173" s="26">
        <f>IFERROR(IF($F$4="","",IF($K$5+ROW()-26&gt;$K$6,"",IF(INDEX('Raw Pressure Data'!$A:$ZZ,$K$5+ROW()-26+$H$4,MATCH($F$4,'Raw Pressure Data'!$1:$1,0))=-999,"",INDEX('Raw Pressure Data'!$A:$ZZ,$K$5+ROW()-26+$H$4,MATCH($F$4,'Raw Pressure Data'!$1:$1,0))+$G$4))),"")</f>
        <v/>
      </c>
      <c r="N173" s="26">
        <f>IFERROR(IF($F$5="","",IF($K$5+ROW()-26&gt;$K$6,"",IF(INDEX('Raw Pressure Data'!$A:$ZZ,$K$5+ROW()-26+$H$5,MATCH($F$5,'Raw Pressure Data'!$1:$1,0))=-999,"",INDEX('Raw Pressure Data'!$A:$ZZ,$K$5+ROW()-26+$H$5,MATCH($F$5,'Raw Pressure Data'!$1:$1,0))+$G$5))),"")</f>
        <v/>
      </c>
      <c r="O173" s="26">
        <f>IFERROR(IF($F$6="","",IF($K$5+ROW()-26&gt;$K$6,"",IF(INDEX('Raw Pressure Data'!$A:$ZZ,$K$5+ROW()-26+$H$6,MATCH($F$6,'Raw Pressure Data'!$1:$1,0))=-999,"",INDEX('Raw Pressure Data'!$A:$ZZ,$K$5+ROW()-26+$H$6,MATCH($F$6,'Raw Pressure Data'!$1:$1,0))+$G$6))),"")</f>
        <v/>
      </c>
      <c r="P173" s="26">
        <f>IFERROR(IF($F$7="","",IF($K$5+ROW()-26&gt;$K$6,"",IF(INDEX('Raw Pressure Data'!$A:$ZZ,$K$5+ROW()-26+$H$7,MATCH($F$7,'Raw Pressure Data'!$1:$1,0))=-999,"",INDEX('Raw Pressure Data'!$A:$ZZ,$K$5+ROW()-26+$H$7,MATCH($F$7,'Raw Pressure Data'!$1:$1,0))+$G$7))),"")</f>
        <v/>
      </c>
      <c r="Q173" s="26">
        <f>IFERROR(IF($F$8="","",IF($K$5+ROW()-26&gt;$K$6,"",IF(INDEX('Raw Pressure Data'!$A:$ZZ,$K$5+ROW()-26+$H$8,MATCH($F$8,'Raw Pressure Data'!$1:$1,0))=-999,"",INDEX('Raw Pressure Data'!$A:$ZZ,$K$5+ROW()-26+$H$8,MATCH($F$8,'Raw Pressure Data'!$1:$1,0))+$G$8))),"")</f>
        <v/>
      </c>
      <c r="R173" s="26">
        <f>IFERROR(IF($F$9="","",IF($K$5+ROW()-26&gt;$K$6,"",IF(INDEX('Raw Pressure Data'!$A:$ZZ,$K$5+ROW()-26+$H$9,MATCH($F$9,'Raw Pressure Data'!$1:$1,0))=-999,"",INDEX('Raw Pressure Data'!$A:$ZZ,$K$5+ROW()-26+$H$9,MATCH($F$9,'Raw Pressure Data'!$1:$1,0))+$G$9))),"")</f>
        <v/>
      </c>
      <c r="S173" s="26">
        <f>IFERROR(IF($F$10="","",IF($K$5+ROW()-26&gt;$K$6,"",IF(INDEX('Raw Pressure Data'!$A:$ZZ,$K$5+ROW()-26+$H$10,MATCH($F$10,'Raw Pressure Data'!$1:$1,0))=-999,"",INDEX('Raw Pressure Data'!$A:$ZZ,$K$5+ROW()-26+$H$10,MATCH($F$10,'Raw Pressure Data'!$1:$1,0))+$G$10))),"")</f>
        <v/>
      </c>
      <c r="T173" s="26">
        <f>IFERROR(IF($F$11="","",IF($K$5+ROW()-26&gt;$K$6,"",IF(INDEX('Raw Pressure Data'!$A:$ZZ,$K$5+ROW()-26+$H$11,MATCH($F$11,'Raw Pressure Data'!$1:$1,0))=-999,"",INDEX('Raw Pressure Data'!$A:$ZZ,$K$5+ROW()-26+$H$11,MATCH($F$11,'Raw Pressure Data'!$1:$1,0))+$G$11))),"")</f>
        <v/>
      </c>
      <c r="U173" s="26">
        <f>IFERROR(IF($F$12="","",IF($K$5+ROW()-26&gt;$K$6,"",IF(INDEX('Raw Pressure Data'!$A:$ZZ,$K$5+ROW()-26+$H$12,MATCH($F$12,'Raw Pressure Data'!$1:$1,0))=-999,"",INDEX('Raw Pressure Data'!$A:$ZZ,$K$5+ROW()-26+$H$12,MATCH($F$12,'Raw Pressure Data'!$1:$1,0))+$G$12))),"")</f>
        <v/>
      </c>
      <c r="V173" s="26">
        <f>IFERROR(IF($F$13="","",IF($K$5+ROW()-26&gt;$K$6,"",IF(INDEX('Raw Pressure Data'!$A:$ZZ,$K$5+ROW()-26+$H$13,MATCH($F$13,'Raw Pressure Data'!$1:$1,0))=-999,"",INDEX('Raw Pressure Data'!$A:$ZZ,$K$5+ROW()-26+$H$13,MATCH($F$13,'Raw Pressure Data'!$1:$1,0))+$G$13))),"")</f>
        <v/>
      </c>
      <c r="W173" s="26">
        <f>IFERROR(IF($F$14="","",IF($K$5+ROW()-26&gt;$K$6,"",IF(INDEX('Raw Pressure Data'!$A:$ZZ,$K$5+ROW()-26+$H$14,MATCH($F$14,'Raw Pressure Data'!$1:$1,0))=-999,"",INDEX('Raw Pressure Data'!$A:$ZZ,$K$5+ROW()-26+$H$14,MATCH($F$14,'Raw Pressure Data'!$1:$1,0))+$G$14))),"")</f>
        <v/>
      </c>
      <c r="X173" s="26">
        <f>IFERROR(IF($F$15="","",IF($K$5+ROW()-26&gt;$K$6,"",IF(INDEX('Raw Pressure Data'!$A:$ZZ,$K$5+ROW()-26+$H$15,MATCH($F$15,'Raw Pressure Data'!$1:$1,0))=-999,"",INDEX('Raw Pressure Data'!$A:$ZZ,$K$5+ROW()-26+$H$15,MATCH($F$15,'Raw Pressure Data'!$1:$1,0))+$G$15))),"")</f>
        <v/>
      </c>
      <c r="Y173" s="26">
        <f>IFERROR(IF($F$16="","",IF($K$5+ROW()-26&gt;$K$6,"",IF(INDEX('Raw Pressure Data'!$A:$ZZ,$K$5+ROW()-26+$H$16,MATCH($F$16,'Raw Pressure Data'!$1:$1,0))=-999,"",INDEX('Raw Pressure Data'!$A:$ZZ,$K$5+ROW()-26+$H$16,MATCH($F$16,'Raw Pressure Data'!$1:$1,0))+$G$16))),"")</f>
        <v/>
      </c>
      <c r="Z173" s="26">
        <f>IFERROR(IF($F$17="","",IF($K$5+ROW()-26&gt;$K$6,"",IF(INDEX('Raw Pressure Data'!$A:$ZZ,$K$5+ROW()-26+$H$17,MATCH($F$17,'Raw Pressure Data'!$1:$1,0))=-999,"",INDEX('Raw Pressure Data'!$A:$ZZ,$K$5+ROW()-26+$H$17,MATCH($F$17,'Raw Pressure Data'!$1:$1,0))+$G$17))),"")</f>
        <v/>
      </c>
      <c r="AA173" s="26">
        <f>IFERROR(IF($F$18="","",IF($K$5+ROW()-26&gt;$K$6,"",IF(INDEX('Raw Pressure Data'!$A:$ZZ,$K$5+ROW()-26+$H$18,MATCH($F$18,'Raw Pressure Data'!$1:$1,0))=-999,"",INDEX('Raw Pressure Data'!$A:$ZZ,$K$5+ROW()-26+$H$18,MATCH($F$18,'Raw Pressure Data'!$1:$1,0))+$G$18))),"")</f>
        <v/>
      </c>
      <c r="AB173" s="26">
        <f>IFERROR(IF($F$19="","",IF($K$5+ROW()-26&gt;$K$6,"",IF(INDEX('Raw Pressure Data'!$A:$ZZ,$K$5+ROW()-26+$H$19,MATCH($F$19,'Raw Pressure Data'!$1:$1,0))=-999,"",INDEX('Raw Pressure Data'!$A:$ZZ,$K$5+ROW()-26+$H$19,MATCH($F$19,'Raw Pressure Data'!$1:$1,0))+$G$19))),"")</f>
        <v/>
      </c>
      <c r="AC173" s="26">
        <f>IFERROR(IF($F$20="","",IF($K$5+ROW()-26&gt;$K$6,"",IF(INDEX('Raw Pressure Data'!$A:$ZZ,$K$5+ROW()-26+$H$20,MATCH($F$20,'Raw Pressure Data'!$1:$1,0))=-999,"",INDEX('Raw Pressure Data'!$A:$ZZ,$K$5+ROW()-26+$H$20,MATCH($F$20,'Raw Pressure Data'!$1:$1,0))+$G$20))),"")</f>
        <v/>
      </c>
      <c r="AD173" s="26">
        <f>IFERROR(IF($F$21="","",IF($K$5+ROW()-26&gt;$K$6,"",IF(INDEX('Raw Pressure Data'!$A:$ZZ,$K$5+ROW()-26+$H$21,MATCH($F$21,'Raw Pressure Data'!$1:$1,0))=-999,"",INDEX('Raw Pressure Data'!$A:$ZZ,$K$5+ROW()-26+$H$21,MATCH($F$21,'Raw Pressure Data'!$1:$1,0))+$G$21))),"")</f>
        <v/>
      </c>
      <c r="AE173" s="26">
        <f>IFERROR(IF($F$22="","",IF($K$5+ROW()-26&gt;$K$6,"",IF(INDEX('Raw Pressure Data'!$A:$ZZ,$K$5+ROW()-26+$H$22,MATCH($F$22,'Raw Pressure Data'!$1:$1,0))=-999,"",INDEX('Raw Pressure Data'!$A:$ZZ,$K$5+ROW()-26+$H$22,MATCH($F$22,'Raw Pressure Data'!$1:$1,0))+$G$22))),"")</f>
        <v/>
      </c>
    </row>
    <row r="174" ht="15" customHeight="1">
      <c r="A174" s="23">
        <f>IFERROR(IF($K$5+ROW()-26&gt;$K$6,"",IF(INDEX('Raw Flow Data'!$A:$A,$K$5+ROW()-26)="","",INDEX('Raw Flow Data'!$A:$A,$K$5+ROW()-26))),"")</f>
        <v/>
      </c>
      <c r="B174" s="24">
        <f>IFERROR(IF($B$3="","",IF($K$5+ROW()-26&gt;$K$6,"",IF(INDEX('Raw Flow Data'!$A:$ZZ,$K$5+ROW()-26+$D$3,MATCH($B$3,'Raw Flow Data'!$1:$1,0))=-999,"",INDEX('Raw Flow Data'!$A:$ZZ,$K$5+ROW()-26+$D$3,MATCH($B$3,'Raw Flow Data'!$1:$1,0))*$C$3))),"")</f>
        <v/>
      </c>
      <c r="C174" s="24">
        <f>IFERROR(IF($B$4="","",IF($K$5+ROW()-26&gt;$K$6,"",IF(INDEX('Raw Flow Data'!$A:$ZZ,$K$5+ROW()-26+$D$4,MATCH($B$4,'Raw Flow Data'!$1:$1,0))=-999,"",INDEX('Raw Flow Data'!$A:$ZZ,$K$5+ROW()-26+$D$4,MATCH($B$4,'Raw Flow Data'!$1:$1,0))*$C$4))),"")</f>
        <v/>
      </c>
      <c r="D174" s="24">
        <f>IFERROR(IF($B$5="","",IF($K$5+ROW()-26&gt;$K$6,"",IF(INDEX('Raw Flow Data'!$A:$ZZ,$K$5+ROW()-26+$D$5,MATCH($B$5,'Raw Flow Data'!$1:$1,0))=-999,"",INDEX('Raw Flow Data'!$A:$ZZ,$K$5+ROW()-26+$D$5,MATCH($B$5,'Raw Flow Data'!$1:$1,0))*$C$5))),"")</f>
        <v/>
      </c>
      <c r="E174" s="24">
        <f>IFERROR(IF($B$6="","",IF($K$5+ROW()-26&gt;$K$6,"",IF(INDEX('Raw Flow Data'!$A:$ZZ,$K$5+ROW()-26+$D$6,MATCH($B$6,'Raw Flow Data'!$1:$1,0))=-999,"",INDEX('Raw Flow Data'!$A:$ZZ,$K$5+ROW()-26+$D$6,MATCH($B$6,'Raw Flow Data'!$1:$1,0))*$C$6))),"")</f>
        <v/>
      </c>
      <c r="F174" s="24">
        <f>IFERROR(IF($B$7="","",IF($K$5+ROW()-26&gt;$K$6,"",IF(INDEX('Raw Flow Data'!$A:$ZZ,$K$5+ROW()-26+$D$7,MATCH($B$7,'Raw Flow Data'!$1:$1,0))=-999,"",INDEX('Raw Flow Data'!$A:$ZZ,$K$5+ROW()-26+$D$7,MATCH($B$7,'Raw Flow Data'!$1:$1,0))*$C$7))),"")</f>
        <v/>
      </c>
      <c r="G174" s="24">
        <f>IFERROR(IF($B$8="","",IF($K$5+ROW()-26&gt;$K$6,"",IF(INDEX('Raw Flow Data'!$A:$ZZ,$K$5+ROW()-26+$D$8,MATCH($B$8,'Raw Flow Data'!$1:$1,0))=-999,"",INDEX('Raw Flow Data'!$A:$ZZ,$K$5+ROW()-26+$D$8,MATCH($B$8,'Raw Flow Data'!$1:$1,0))*$C$8))),"")</f>
        <v/>
      </c>
      <c r="H174" s="24">
        <f>IFERROR(IF($B$9="","",IF($K$5+ROW()-26&gt;$K$6,"",IF(INDEX('Raw Flow Data'!$A:$ZZ,$K$5+ROW()-26+$D$9,MATCH($B$9,'Raw Flow Data'!$1:$1,0))=-999,"",INDEX('Raw Flow Data'!$A:$ZZ,$K$5+ROW()-26+$D$9,MATCH($B$9,'Raw Flow Data'!$1:$1,0))*$C$9))),"")</f>
        <v/>
      </c>
      <c r="I174" s="24">
        <f>IFERROR(IF($B$10="","",IF($K$5+ROW()-26&gt;$K$6,"",IF(INDEX('Raw Flow Data'!$A:$ZZ,$K$5+ROW()-26+$D$10,MATCH($B$10,'Raw Flow Data'!$1:$1,0))=-999,"",INDEX('Raw Flow Data'!$A:$ZZ,$K$5+ROW()-26+$D$10,MATCH($B$10,'Raw Flow Data'!$1:$1,0))*$C$10))),"")</f>
        <v/>
      </c>
      <c r="J174" s="24">
        <f>IFERROR(IF($B$11="","",IF($K$5+ROW()-26&gt;$K$6,"",IF(INDEX('Raw Flow Data'!$A:$ZZ,$K$5+ROW()-26+$D$11,MATCH($B$11,'Raw Flow Data'!$1:$1,0))=-999,"",INDEX('Raw Flow Data'!$A:$ZZ,$K$5+ROW()-26+$D$11,MATCH($B$11,'Raw Flow Data'!$1:$1,0))*$C$11))),"")</f>
        <v/>
      </c>
      <c r="K174" s="24">
        <f>IFERROR(IF($B$12="","",IF($K$5+ROW()-26&gt;$K$6,"",IF(INDEX('Raw Flow Data'!$A:$ZZ,$K$5+ROW()-26+$D$12,MATCH($B$12,'Raw Flow Data'!$1:$1,0))=-999,"",INDEX('Raw Flow Data'!$A:$ZZ,$K$5+ROW()-26+$D$12,MATCH($B$12,'Raw Flow Data'!$1:$1,0))*$C$12))),"")</f>
        <v/>
      </c>
      <c r="L174" s="24">
        <f>IFERROR(IF($F$3="","",IF($K$5+ROW()-26&gt;$K$6,"",IF(INDEX('Raw Pressure Data'!$A:$ZZ,$K$5+ROW()-26+$H$3,MATCH($F$3,'Raw Pressure Data'!$1:$1,0))=-999,"",INDEX('Raw Pressure Data'!$A:$ZZ,$K$5+ROW()-26+$H$3,MATCH($F$3,'Raw Pressure Data'!$1:$1,0))+$G$3))),"")</f>
        <v/>
      </c>
      <c r="M174" s="24">
        <f>IFERROR(IF($F$4="","",IF($K$5+ROW()-26&gt;$K$6,"",IF(INDEX('Raw Pressure Data'!$A:$ZZ,$K$5+ROW()-26+$H$4,MATCH($F$4,'Raw Pressure Data'!$1:$1,0))=-999,"",INDEX('Raw Pressure Data'!$A:$ZZ,$K$5+ROW()-26+$H$4,MATCH($F$4,'Raw Pressure Data'!$1:$1,0))+$G$4))),"")</f>
        <v/>
      </c>
      <c r="N174" s="24">
        <f>IFERROR(IF($F$5="","",IF($K$5+ROW()-26&gt;$K$6,"",IF(INDEX('Raw Pressure Data'!$A:$ZZ,$K$5+ROW()-26+$H$5,MATCH($F$5,'Raw Pressure Data'!$1:$1,0))=-999,"",INDEX('Raw Pressure Data'!$A:$ZZ,$K$5+ROW()-26+$H$5,MATCH($F$5,'Raw Pressure Data'!$1:$1,0))+$G$5))),"")</f>
        <v/>
      </c>
      <c r="O174" s="24">
        <f>IFERROR(IF($F$6="","",IF($K$5+ROW()-26&gt;$K$6,"",IF(INDEX('Raw Pressure Data'!$A:$ZZ,$K$5+ROW()-26+$H$6,MATCH($F$6,'Raw Pressure Data'!$1:$1,0))=-999,"",INDEX('Raw Pressure Data'!$A:$ZZ,$K$5+ROW()-26+$H$6,MATCH($F$6,'Raw Pressure Data'!$1:$1,0))+$G$6))),"")</f>
        <v/>
      </c>
      <c r="P174" s="24">
        <f>IFERROR(IF($F$7="","",IF($K$5+ROW()-26&gt;$K$6,"",IF(INDEX('Raw Pressure Data'!$A:$ZZ,$K$5+ROW()-26+$H$7,MATCH($F$7,'Raw Pressure Data'!$1:$1,0))=-999,"",INDEX('Raw Pressure Data'!$A:$ZZ,$K$5+ROW()-26+$H$7,MATCH($F$7,'Raw Pressure Data'!$1:$1,0))+$G$7))),"")</f>
        <v/>
      </c>
      <c r="Q174" s="24">
        <f>IFERROR(IF($F$8="","",IF($K$5+ROW()-26&gt;$K$6,"",IF(INDEX('Raw Pressure Data'!$A:$ZZ,$K$5+ROW()-26+$H$8,MATCH($F$8,'Raw Pressure Data'!$1:$1,0))=-999,"",INDEX('Raw Pressure Data'!$A:$ZZ,$K$5+ROW()-26+$H$8,MATCH($F$8,'Raw Pressure Data'!$1:$1,0))+$G$8))),"")</f>
        <v/>
      </c>
      <c r="R174" s="24">
        <f>IFERROR(IF($F$9="","",IF($K$5+ROW()-26&gt;$K$6,"",IF(INDEX('Raw Pressure Data'!$A:$ZZ,$K$5+ROW()-26+$H$9,MATCH($F$9,'Raw Pressure Data'!$1:$1,0))=-999,"",INDEX('Raw Pressure Data'!$A:$ZZ,$K$5+ROW()-26+$H$9,MATCH($F$9,'Raw Pressure Data'!$1:$1,0))+$G$9))),"")</f>
        <v/>
      </c>
      <c r="S174" s="24">
        <f>IFERROR(IF($F$10="","",IF($K$5+ROW()-26&gt;$K$6,"",IF(INDEX('Raw Pressure Data'!$A:$ZZ,$K$5+ROW()-26+$H$10,MATCH($F$10,'Raw Pressure Data'!$1:$1,0))=-999,"",INDEX('Raw Pressure Data'!$A:$ZZ,$K$5+ROW()-26+$H$10,MATCH($F$10,'Raw Pressure Data'!$1:$1,0))+$G$10))),"")</f>
        <v/>
      </c>
      <c r="T174" s="24">
        <f>IFERROR(IF($F$11="","",IF($K$5+ROW()-26&gt;$K$6,"",IF(INDEX('Raw Pressure Data'!$A:$ZZ,$K$5+ROW()-26+$H$11,MATCH($F$11,'Raw Pressure Data'!$1:$1,0))=-999,"",INDEX('Raw Pressure Data'!$A:$ZZ,$K$5+ROW()-26+$H$11,MATCH($F$11,'Raw Pressure Data'!$1:$1,0))+$G$11))),"")</f>
        <v/>
      </c>
      <c r="U174" s="24">
        <f>IFERROR(IF($F$12="","",IF($K$5+ROW()-26&gt;$K$6,"",IF(INDEX('Raw Pressure Data'!$A:$ZZ,$K$5+ROW()-26+$H$12,MATCH($F$12,'Raw Pressure Data'!$1:$1,0))=-999,"",INDEX('Raw Pressure Data'!$A:$ZZ,$K$5+ROW()-26+$H$12,MATCH($F$12,'Raw Pressure Data'!$1:$1,0))+$G$12))),"")</f>
        <v/>
      </c>
      <c r="V174" s="24">
        <f>IFERROR(IF($F$13="","",IF($K$5+ROW()-26&gt;$K$6,"",IF(INDEX('Raw Pressure Data'!$A:$ZZ,$K$5+ROW()-26+$H$13,MATCH($F$13,'Raw Pressure Data'!$1:$1,0))=-999,"",INDEX('Raw Pressure Data'!$A:$ZZ,$K$5+ROW()-26+$H$13,MATCH($F$13,'Raw Pressure Data'!$1:$1,0))+$G$13))),"")</f>
        <v/>
      </c>
      <c r="W174" s="24">
        <f>IFERROR(IF($F$14="","",IF($K$5+ROW()-26&gt;$K$6,"",IF(INDEX('Raw Pressure Data'!$A:$ZZ,$K$5+ROW()-26+$H$14,MATCH($F$14,'Raw Pressure Data'!$1:$1,0))=-999,"",INDEX('Raw Pressure Data'!$A:$ZZ,$K$5+ROW()-26+$H$14,MATCH($F$14,'Raw Pressure Data'!$1:$1,0))+$G$14))),"")</f>
        <v/>
      </c>
      <c r="X174" s="24">
        <f>IFERROR(IF($F$15="","",IF($K$5+ROW()-26&gt;$K$6,"",IF(INDEX('Raw Pressure Data'!$A:$ZZ,$K$5+ROW()-26+$H$15,MATCH($F$15,'Raw Pressure Data'!$1:$1,0))=-999,"",INDEX('Raw Pressure Data'!$A:$ZZ,$K$5+ROW()-26+$H$15,MATCH($F$15,'Raw Pressure Data'!$1:$1,0))+$G$15))),"")</f>
        <v/>
      </c>
      <c r="Y174" s="24">
        <f>IFERROR(IF($F$16="","",IF($K$5+ROW()-26&gt;$K$6,"",IF(INDEX('Raw Pressure Data'!$A:$ZZ,$K$5+ROW()-26+$H$16,MATCH($F$16,'Raw Pressure Data'!$1:$1,0))=-999,"",INDEX('Raw Pressure Data'!$A:$ZZ,$K$5+ROW()-26+$H$16,MATCH($F$16,'Raw Pressure Data'!$1:$1,0))+$G$16))),"")</f>
        <v/>
      </c>
      <c r="Z174" s="24">
        <f>IFERROR(IF($F$17="","",IF($K$5+ROW()-26&gt;$K$6,"",IF(INDEX('Raw Pressure Data'!$A:$ZZ,$K$5+ROW()-26+$H$17,MATCH($F$17,'Raw Pressure Data'!$1:$1,0))=-999,"",INDEX('Raw Pressure Data'!$A:$ZZ,$K$5+ROW()-26+$H$17,MATCH($F$17,'Raw Pressure Data'!$1:$1,0))+$G$17))),"")</f>
        <v/>
      </c>
      <c r="AA174" s="24">
        <f>IFERROR(IF($F$18="","",IF($K$5+ROW()-26&gt;$K$6,"",IF(INDEX('Raw Pressure Data'!$A:$ZZ,$K$5+ROW()-26+$H$18,MATCH($F$18,'Raw Pressure Data'!$1:$1,0))=-999,"",INDEX('Raw Pressure Data'!$A:$ZZ,$K$5+ROW()-26+$H$18,MATCH($F$18,'Raw Pressure Data'!$1:$1,0))+$G$18))),"")</f>
        <v/>
      </c>
      <c r="AB174" s="24">
        <f>IFERROR(IF($F$19="","",IF($K$5+ROW()-26&gt;$K$6,"",IF(INDEX('Raw Pressure Data'!$A:$ZZ,$K$5+ROW()-26+$H$19,MATCH($F$19,'Raw Pressure Data'!$1:$1,0))=-999,"",INDEX('Raw Pressure Data'!$A:$ZZ,$K$5+ROW()-26+$H$19,MATCH($F$19,'Raw Pressure Data'!$1:$1,0))+$G$19))),"")</f>
        <v/>
      </c>
      <c r="AC174" s="24">
        <f>IFERROR(IF($F$20="","",IF($K$5+ROW()-26&gt;$K$6,"",IF(INDEX('Raw Pressure Data'!$A:$ZZ,$K$5+ROW()-26+$H$20,MATCH($F$20,'Raw Pressure Data'!$1:$1,0))=-999,"",INDEX('Raw Pressure Data'!$A:$ZZ,$K$5+ROW()-26+$H$20,MATCH($F$20,'Raw Pressure Data'!$1:$1,0))+$G$20))),"")</f>
        <v/>
      </c>
      <c r="AD174" s="24">
        <f>IFERROR(IF($F$21="","",IF($K$5+ROW()-26&gt;$K$6,"",IF(INDEX('Raw Pressure Data'!$A:$ZZ,$K$5+ROW()-26+$H$21,MATCH($F$21,'Raw Pressure Data'!$1:$1,0))=-999,"",INDEX('Raw Pressure Data'!$A:$ZZ,$K$5+ROW()-26+$H$21,MATCH($F$21,'Raw Pressure Data'!$1:$1,0))+$G$21))),"")</f>
        <v/>
      </c>
      <c r="AE174" s="24">
        <f>IFERROR(IF($F$22="","",IF($K$5+ROW()-26&gt;$K$6,"",IF(INDEX('Raw Pressure Data'!$A:$ZZ,$K$5+ROW()-26+$H$22,MATCH($F$22,'Raw Pressure Data'!$1:$1,0))=-999,"",INDEX('Raw Pressure Data'!$A:$ZZ,$K$5+ROW()-26+$H$22,MATCH($F$22,'Raw Pressure Data'!$1:$1,0))+$G$22))),"")</f>
        <v/>
      </c>
    </row>
    <row r="175" ht="15" customHeight="1">
      <c r="A175" s="25">
        <f>IFERROR(IF($K$5+ROW()-26&gt;$K$6,"",IF(INDEX('Raw Flow Data'!$A:$A,$K$5+ROW()-26)="","",INDEX('Raw Flow Data'!$A:$A,$K$5+ROW()-26))),"")</f>
        <v/>
      </c>
      <c r="B175" s="26">
        <f>IFERROR(IF($B$3="","",IF($K$5+ROW()-26&gt;$K$6,"",IF(INDEX('Raw Flow Data'!$A:$ZZ,$K$5+ROW()-26+$D$3,MATCH($B$3,'Raw Flow Data'!$1:$1,0))=-999,"",INDEX('Raw Flow Data'!$A:$ZZ,$K$5+ROW()-26+$D$3,MATCH($B$3,'Raw Flow Data'!$1:$1,0))*$C$3))),"")</f>
        <v/>
      </c>
      <c r="C175" s="26">
        <f>IFERROR(IF($B$4="","",IF($K$5+ROW()-26&gt;$K$6,"",IF(INDEX('Raw Flow Data'!$A:$ZZ,$K$5+ROW()-26+$D$4,MATCH($B$4,'Raw Flow Data'!$1:$1,0))=-999,"",INDEX('Raw Flow Data'!$A:$ZZ,$K$5+ROW()-26+$D$4,MATCH($B$4,'Raw Flow Data'!$1:$1,0))*$C$4))),"")</f>
        <v/>
      </c>
      <c r="D175" s="26">
        <f>IFERROR(IF($B$5="","",IF($K$5+ROW()-26&gt;$K$6,"",IF(INDEX('Raw Flow Data'!$A:$ZZ,$K$5+ROW()-26+$D$5,MATCH($B$5,'Raw Flow Data'!$1:$1,0))=-999,"",INDEX('Raw Flow Data'!$A:$ZZ,$K$5+ROW()-26+$D$5,MATCH($B$5,'Raw Flow Data'!$1:$1,0))*$C$5))),"")</f>
        <v/>
      </c>
      <c r="E175" s="26">
        <f>IFERROR(IF($B$6="","",IF($K$5+ROW()-26&gt;$K$6,"",IF(INDEX('Raw Flow Data'!$A:$ZZ,$K$5+ROW()-26+$D$6,MATCH($B$6,'Raw Flow Data'!$1:$1,0))=-999,"",INDEX('Raw Flow Data'!$A:$ZZ,$K$5+ROW()-26+$D$6,MATCH($B$6,'Raw Flow Data'!$1:$1,0))*$C$6))),"")</f>
        <v/>
      </c>
      <c r="F175" s="26">
        <f>IFERROR(IF($B$7="","",IF($K$5+ROW()-26&gt;$K$6,"",IF(INDEX('Raw Flow Data'!$A:$ZZ,$K$5+ROW()-26+$D$7,MATCH($B$7,'Raw Flow Data'!$1:$1,0))=-999,"",INDEX('Raw Flow Data'!$A:$ZZ,$K$5+ROW()-26+$D$7,MATCH($B$7,'Raw Flow Data'!$1:$1,0))*$C$7))),"")</f>
        <v/>
      </c>
      <c r="G175" s="26">
        <f>IFERROR(IF($B$8="","",IF($K$5+ROW()-26&gt;$K$6,"",IF(INDEX('Raw Flow Data'!$A:$ZZ,$K$5+ROW()-26+$D$8,MATCH($B$8,'Raw Flow Data'!$1:$1,0))=-999,"",INDEX('Raw Flow Data'!$A:$ZZ,$K$5+ROW()-26+$D$8,MATCH($B$8,'Raw Flow Data'!$1:$1,0))*$C$8))),"")</f>
        <v/>
      </c>
      <c r="H175" s="26">
        <f>IFERROR(IF($B$9="","",IF($K$5+ROW()-26&gt;$K$6,"",IF(INDEX('Raw Flow Data'!$A:$ZZ,$K$5+ROW()-26+$D$9,MATCH($B$9,'Raw Flow Data'!$1:$1,0))=-999,"",INDEX('Raw Flow Data'!$A:$ZZ,$K$5+ROW()-26+$D$9,MATCH($B$9,'Raw Flow Data'!$1:$1,0))*$C$9))),"")</f>
        <v/>
      </c>
      <c r="I175" s="26">
        <f>IFERROR(IF($B$10="","",IF($K$5+ROW()-26&gt;$K$6,"",IF(INDEX('Raw Flow Data'!$A:$ZZ,$K$5+ROW()-26+$D$10,MATCH($B$10,'Raw Flow Data'!$1:$1,0))=-999,"",INDEX('Raw Flow Data'!$A:$ZZ,$K$5+ROW()-26+$D$10,MATCH($B$10,'Raw Flow Data'!$1:$1,0))*$C$10))),"")</f>
        <v/>
      </c>
      <c r="J175" s="26">
        <f>IFERROR(IF($B$11="","",IF($K$5+ROW()-26&gt;$K$6,"",IF(INDEX('Raw Flow Data'!$A:$ZZ,$K$5+ROW()-26+$D$11,MATCH($B$11,'Raw Flow Data'!$1:$1,0))=-999,"",INDEX('Raw Flow Data'!$A:$ZZ,$K$5+ROW()-26+$D$11,MATCH($B$11,'Raw Flow Data'!$1:$1,0))*$C$11))),"")</f>
        <v/>
      </c>
      <c r="K175" s="26">
        <f>IFERROR(IF($B$12="","",IF($K$5+ROW()-26&gt;$K$6,"",IF(INDEX('Raw Flow Data'!$A:$ZZ,$K$5+ROW()-26+$D$12,MATCH($B$12,'Raw Flow Data'!$1:$1,0))=-999,"",INDEX('Raw Flow Data'!$A:$ZZ,$K$5+ROW()-26+$D$12,MATCH($B$12,'Raw Flow Data'!$1:$1,0))*$C$12))),"")</f>
        <v/>
      </c>
      <c r="L175" s="26">
        <f>IFERROR(IF($F$3="","",IF($K$5+ROW()-26&gt;$K$6,"",IF(INDEX('Raw Pressure Data'!$A:$ZZ,$K$5+ROW()-26+$H$3,MATCH($F$3,'Raw Pressure Data'!$1:$1,0))=-999,"",INDEX('Raw Pressure Data'!$A:$ZZ,$K$5+ROW()-26+$H$3,MATCH($F$3,'Raw Pressure Data'!$1:$1,0))+$G$3))),"")</f>
        <v/>
      </c>
      <c r="M175" s="26">
        <f>IFERROR(IF($F$4="","",IF($K$5+ROW()-26&gt;$K$6,"",IF(INDEX('Raw Pressure Data'!$A:$ZZ,$K$5+ROW()-26+$H$4,MATCH($F$4,'Raw Pressure Data'!$1:$1,0))=-999,"",INDEX('Raw Pressure Data'!$A:$ZZ,$K$5+ROW()-26+$H$4,MATCH($F$4,'Raw Pressure Data'!$1:$1,0))+$G$4))),"")</f>
        <v/>
      </c>
      <c r="N175" s="26">
        <f>IFERROR(IF($F$5="","",IF($K$5+ROW()-26&gt;$K$6,"",IF(INDEX('Raw Pressure Data'!$A:$ZZ,$K$5+ROW()-26+$H$5,MATCH($F$5,'Raw Pressure Data'!$1:$1,0))=-999,"",INDEX('Raw Pressure Data'!$A:$ZZ,$K$5+ROW()-26+$H$5,MATCH($F$5,'Raw Pressure Data'!$1:$1,0))+$G$5))),"")</f>
        <v/>
      </c>
      <c r="O175" s="26">
        <f>IFERROR(IF($F$6="","",IF($K$5+ROW()-26&gt;$K$6,"",IF(INDEX('Raw Pressure Data'!$A:$ZZ,$K$5+ROW()-26+$H$6,MATCH($F$6,'Raw Pressure Data'!$1:$1,0))=-999,"",INDEX('Raw Pressure Data'!$A:$ZZ,$K$5+ROW()-26+$H$6,MATCH($F$6,'Raw Pressure Data'!$1:$1,0))+$G$6))),"")</f>
        <v/>
      </c>
      <c r="P175" s="26">
        <f>IFERROR(IF($F$7="","",IF($K$5+ROW()-26&gt;$K$6,"",IF(INDEX('Raw Pressure Data'!$A:$ZZ,$K$5+ROW()-26+$H$7,MATCH($F$7,'Raw Pressure Data'!$1:$1,0))=-999,"",INDEX('Raw Pressure Data'!$A:$ZZ,$K$5+ROW()-26+$H$7,MATCH($F$7,'Raw Pressure Data'!$1:$1,0))+$G$7))),"")</f>
        <v/>
      </c>
      <c r="Q175" s="26">
        <f>IFERROR(IF($F$8="","",IF($K$5+ROW()-26&gt;$K$6,"",IF(INDEX('Raw Pressure Data'!$A:$ZZ,$K$5+ROW()-26+$H$8,MATCH($F$8,'Raw Pressure Data'!$1:$1,0))=-999,"",INDEX('Raw Pressure Data'!$A:$ZZ,$K$5+ROW()-26+$H$8,MATCH($F$8,'Raw Pressure Data'!$1:$1,0))+$G$8))),"")</f>
        <v/>
      </c>
      <c r="R175" s="26">
        <f>IFERROR(IF($F$9="","",IF($K$5+ROW()-26&gt;$K$6,"",IF(INDEX('Raw Pressure Data'!$A:$ZZ,$K$5+ROW()-26+$H$9,MATCH($F$9,'Raw Pressure Data'!$1:$1,0))=-999,"",INDEX('Raw Pressure Data'!$A:$ZZ,$K$5+ROW()-26+$H$9,MATCH($F$9,'Raw Pressure Data'!$1:$1,0))+$G$9))),"")</f>
        <v/>
      </c>
      <c r="S175" s="26">
        <f>IFERROR(IF($F$10="","",IF($K$5+ROW()-26&gt;$K$6,"",IF(INDEX('Raw Pressure Data'!$A:$ZZ,$K$5+ROW()-26+$H$10,MATCH($F$10,'Raw Pressure Data'!$1:$1,0))=-999,"",INDEX('Raw Pressure Data'!$A:$ZZ,$K$5+ROW()-26+$H$10,MATCH($F$10,'Raw Pressure Data'!$1:$1,0))+$G$10))),"")</f>
        <v/>
      </c>
      <c r="T175" s="26">
        <f>IFERROR(IF($F$11="","",IF($K$5+ROW()-26&gt;$K$6,"",IF(INDEX('Raw Pressure Data'!$A:$ZZ,$K$5+ROW()-26+$H$11,MATCH($F$11,'Raw Pressure Data'!$1:$1,0))=-999,"",INDEX('Raw Pressure Data'!$A:$ZZ,$K$5+ROW()-26+$H$11,MATCH($F$11,'Raw Pressure Data'!$1:$1,0))+$G$11))),"")</f>
        <v/>
      </c>
      <c r="U175" s="26">
        <f>IFERROR(IF($F$12="","",IF($K$5+ROW()-26&gt;$K$6,"",IF(INDEX('Raw Pressure Data'!$A:$ZZ,$K$5+ROW()-26+$H$12,MATCH($F$12,'Raw Pressure Data'!$1:$1,0))=-999,"",INDEX('Raw Pressure Data'!$A:$ZZ,$K$5+ROW()-26+$H$12,MATCH($F$12,'Raw Pressure Data'!$1:$1,0))+$G$12))),"")</f>
        <v/>
      </c>
      <c r="V175" s="26">
        <f>IFERROR(IF($F$13="","",IF($K$5+ROW()-26&gt;$K$6,"",IF(INDEX('Raw Pressure Data'!$A:$ZZ,$K$5+ROW()-26+$H$13,MATCH($F$13,'Raw Pressure Data'!$1:$1,0))=-999,"",INDEX('Raw Pressure Data'!$A:$ZZ,$K$5+ROW()-26+$H$13,MATCH($F$13,'Raw Pressure Data'!$1:$1,0))+$G$13))),"")</f>
        <v/>
      </c>
      <c r="W175" s="26">
        <f>IFERROR(IF($F$14="","",IF($K$5+ROW()-26&gt;$K$6,"",IF(INDEX('Raw Pressure Data'!$A:$ZZ,$K$5+ROW()-26+$H$14,MATCH($F$14,'Raw Pressure Data'!$1:$1,0))=-999,"",INDEX('Raw Pressure Data'!$A:$ZZ,$K$5+ROW()-26+$H$14,MATCH($F$14,'Raw Pressure Data'!$1:$1,0))+$G$14))),"")</f>
        <v/>
      </c>
      <c r="X175" s="26">
        <f>IFERROR(IF($F$15="","",IF($K$5+ROW()-26&gt;$K$6,"",IF(INDEX('Raw Pressure Data'!$A:$ZZ,$K$5+ROW()-26+$H$15,MATCH($F$15,'Raw Pressure Data'!$1:$1,0))=-999,"",INDEX('Raw Pressure Data'!$A:$ZZ,$K$5+ROW()-26+$H$15,MATCH($F$15,'Raw Pressure Data'!$1:$1,0))+$G$15))),"")</f>
        <v/>
      </c>
      <c r="Y175" s="26">
        <f>IFERROR(IF($F$16="","",IF($K$5+ROW()-26&gt;$K$6,"",IF(INDEX('Raw Pressure Data'!$A:$ZZ,$K$5+ROW()-26+$H$16,MATCH($F$16,'Raw Pressure Data'!$1:$1,0))=-999,"",INDEX('Raw Pressure Data'!$A:$ZZ,$K$5+ROW()-26+$H$16,MATCH($F$16,'Raw Pressure Data'!$1:$1,0))+$G$16))),"")</f>
        <v/>
      </c>
      <c r="Z175" s="26">
        <f>IFERROR(IF($F$17="","",IF($K$5+ROW()-26&gt;$K$6,"",IF(INDEX('Raw Pressure Data'!$A:$ZZ,$K$5+ROW()-26+$H$17,MATCH($F$17,'Raw Pressure Data'!$1:$1,0))=-999,"",INDEX('Raw Pressure Data'!$A:$ZZ,$K$5+ROW()-26+$H$17,MATCH($F$17,'Raw Pressure Data'!$1:$1,0))+$G$17))),"")</f>
        <v/>
      </c>
      <c r="AA175" s="26">
        <f>IFERROR(IF($F$18="","",IF($K$5+ROW()-26&gt;$K$6,"",IF(INDEX('Raw Pressure Data'!$A:$ZZ,$K$5+ROW()-26+$H$18,MATCH($F$18,'Raw Pressure Data'!$1:$1,0))=-999,"",INDEX('Raw Pressure Data'!$A:$ZZ,$K$5+ROW()-26+$H$18,MATCH($F$18,'Raw Pressure Data'!$1:$1,0))+$G$18))),"")</f>
        <v/>
      </c>
      <c r="AB175" s="26">
        <f>IFERROR(IF($F$19="","",IF($K$5+ROW()-26&gt;$K$6,"",IF(INDEX('Raw Pressure Data'!$A:$ZZ,$K$5+ROW()-26+$H$19,MATCH($F$19,'Raw Pressure Data'!$1:$1,0))=-999,"",INDEX('Raw Pressure Data'!$A:$ZZ,$K$5+ROW()-26+$H$19,MATCH($F$19,'Raw Pressure Data'!$1:$1,0))+$G$19))),"")</f>
        <v/>
      </c>
      <c r="AC175" s="26">
        <f>IFERROR(IF($F$20="","",IF($K$5+ROW()-26&gt;$K$6,"",IF(INDEX('Raw Pressure Data'!$A:$ZZ,$K$5+ROW()-26+$H$20,MATCH($F$20,'Raw Pressure Data'!$1:$1,0))=-999,"",INDEX('Raw Pressure Data'!$A:$ZZ,$K$5+ROW()-26+$H$20,MATCH($F$20,'Raw Pressure Data'!$1:$1,0))+$G$20))),"")</f>
        <v/>
      </c>
      <c r="AD175" s="26">
        <f>IFERROR(IF($F$21="","",IF($K$5+ROW()-26&gt;$K$6,"",IF(INDEX('Raw Pressure Data'!$A:$ZZ,$K$5+ROW()-26+$H$21,MATCH($F$21,'Raw Pressure Data'!$1:$1,0))=-999,"",INDEX('Raw Pressure Data'!$A:$ZZ,$K$5+ROW()-26+$H$21,MATCH($F$21,'Raw Pressure Data'!$1:$1,0))+$G$21))),"")</f>
        <v/>
      </c>
      <c r="AE175" s="26">
        <f>IFERROR(IF($F$22="","",IF($K$5+ROW()-26&gt;$K$6,"",IF(INDEX('Raw Pressure Data'!$A:$ZZ,$K$5+ROW()-26+$H$22,MATCH($F$22,'Raw Pressure Data'!$1:$1,0))=-999,"",INDEX('Raw Pressure Data'!$A:$ZZ,$K$5+ROW()-26+$H$22,MATCH($F$22,'Raw Pressure Data'!$1:$1,0))+$G$22))),"")</f>
        <v/>
      </c>
    </row>
    <row r="176" ht="15" customHeight="1">
      <c r="A176" s="23">
        <f>IFERROR(IF($K$5+ROW()-26&gt;$K$6,"",IF(INDEX('Raw Flow Data'!$A:$A,$K$5+ROW()-26)="","",INDEX('Raw Flow Data'!$A:$A,$K$5+ROW()-26))),"")</f>
        <v/>
      </c>
      <c r="B176" s="24">
        <f>IFERROR(IF($B$3="","",IF($K$5+ROW()-26&gt;$K$6,"",IF(INDEX('Raw Flow Data'!$A:$ZZ,$K$5+ROW()-26+$D$3,MATCH($B$3,'Raw Flow Data'!$1:$1,0))=-999,"",INDEX('Raw Flow Data'!$A:$ZZ,$K$5+ROW()-26+$D$3,MATCH($B$3,'Raw Flow Data'!$1:$1,0))*$C$3))),"")</f>
        <v/>
      </c>
      <c r="C176" s="24">
        <f>IFERROR(IF($B$4="","",IF($K$5+ROW()-26&gt;$K$6,"",IF(INDEX('Raw Flow Data'!$A:$ZZ,$K$5+ROW()-26+$D$4,MATCH($B$4,'Raw Flow Data'!$1:$1,0))=-999,"",INDEX('Raw Flow Data'!$A:$ZZ,$K$5+ROW()-26+$D$4,MATCH($B$4,'Raw Flow Data'!$1:$1,0))*$C$4))),"")</f>
        <v/>
      </c>
      <c r="D176" s="24">
        <f>IFERROR(IF($B$5="","",IF($K$5+ROW()-26&gt;$K$6,"",IF(INDEX('Raw Flow Data'!$A:$ZZ,$K$5+ROW()-26+$D$5,MATCH($B$5,'Raw Flow Data'!$1:$1,0))=-999,"",INDEX('Raw Flow Data'!$A:$ZZ,$K$5+ROW()-26+$D$5,MATCH($B$5,'Raw Flow Data'!$1:$1,0))*$C$5))),"")</f>
        <v/>
      </c>
      <c r="E176" s="24">
        <f>IFERROR(IF($B$6="","",IF($K$5+ROW()-26&gt;$K$6,"",IF(INDEX('Raw Flow Data'!$A:$ZZ,$K$5+ROW()-26+$D$6,MATCH($B$6,'Raw Flow Data'!$1:$1,0))=-999,"",INDEX('Raw Flow Data'!$A:$ZZ,$K$5+ROW()-26+$D$6,MATCH($B$6,'Raw Flow Data'!$1:$1,0))*$C$6))),"")</f>
        <v/>
      </c>
      <c r="F176" s="24">
        <f>IFERROR(IF($B$7="","",IF($K$5+ROW()-26&gt;$K$6,"",IF(INDEX('Raw Flow Data'!$A:$ZZ,$K$5+ROW()-26+$D$7,MATCH($B$7,'Raw Flow Data'!$1:$1,0))=-999,"",INDEX('Raw Flow Data'!$A:$ZZ,$K$5+ROW()-26+$D$7,MATCH($B$7,'Raw Flow Data'!$1:$1,0))*$C$7))),"")</f>
        <v/>
      </c>
      <c r="G176" s="24">
        <f>IFERROR(IF($B$8="","",IF($K$5+ROW()-26&gt;$K$6,"",IF(INDEX('Raw Flow Data'!$A:$ZZ,$K$5+ROW()-26+$D$8,MATCH($B$8,'Raw Flow Data'!$1:$1,0))=-999,"",INDEX('Raw Flow Data'!$A:$ZZ,$K$5+ROW()-26+$D$8,MATCH($B$8,'Raw Flow Data'!$1:$1,0))*$C$8))),"")</f>
        <v/>
      </c>
      <c r="H176" s="24">
        <f>IFERROR(IF($B$9="","",IF($K$5+ROW()-26&gt;$K$6,"",IF(INDEX('Raw Flow Data'!$A:$ZZ,$K$5+ROW()-26+$D$9,MATCH($B$9,'Raw Flow Data'!$1:$1,0))=-999,"",INDEX('Raw Flow Data'!$A:$ZZ,$K$5+ROW()-26+$D$9,MATCH($B$9,'Raw Flow Data'!$1:$1,0))*$C$9))),"")</f>
        <v/>
      </c>
      <c r="I176" s="24">
        <f>IFERROR(IF($B$10="","",IF($K$5+ROW()-26&gt;$K$6,"",IF(INDEX('Raw Flow Data'!$A:$ZZ,$K$5+ROW()-26+$D$10,MATCH($B$10,'Raw Flow Data'!$1:$1,0))=-999,"",INDEX('Raw Flow Data'!$A:$ZZ,$K$5+ROW()-26+$D$10,MATCH($B$10,'Raw Flow Data'!$1:$1,0))*$C$10))),"")</f>
        <v/>
      </c>
      <c r="J176" s="24">
        <f>IFERROR(IF($B$11="","",IF($K$5+ROW()-26&gt;$K$6,"",IF(INDEX('Raw Flow Data'!$A:$ZZ,$K$5+ROW()-26+$D$11,MATCH($B$11,'Raw Flow Data'!$1:$1,0))=-999,"",INDEX('Raw Flow Data'!$A:$ZZ,$K$5+ROW()-26+$D$11,MATCH($B$11,'Raw Flow Data'!$1:$1,0))*$C$11))),"")</f>
        <v/>
      </c>
      <c r="K176" s="24">
        <f>IFERROR(IF($B$12="","",IF($K$5+ROW()-26&gt;$K$6,"",IF(INDEX('Raw Flow Data'!$A:$ZZ,$K$5+ROW()-26+$D$12,MATCH($B$12,'Raw Flow Data'!$1:$1,0))=-999,"",INDEX('Raw Flow Data'!$A:$ZZ,$K$5+ROW()-26+$D$12,MATCH($B$12,'Raw Flow Data'!$1:$1,0))*$C$12))),"")</f>
        <v/>
      </c>
      <c r="L176" s="24">
        <f>IFERROR(IF($F$3="","",IF($K$5+ROW()-26&gt;$K$6,"",IF(INDEX('Raw Pressure Data'!$A:$ZZ,$K$5+ROW()-26+$H$3,MATCH($F$3,'Raw Pressure Data'!$1:$1,0))=-999,"",INDEX('Raw Pressure Data'!$A:$ZZ,$K$5+ROW()-26+$H$3,MATCH($F$3,'Raw Pressure Data'!$1:$1,0))+$G$3))),"")</f>
        <v/>
      </c>
      <c r="M176" s="24">
        <f>IFERROR(IF($F$4="","",IF($K$5+ROW()-26&gt;$K$6,"",IF(INDEX('Raw Pressure Data'!$A:$ZZ,$K$5+ROW()-26+$H$4,MATCH($F$4,'Raw Pressure Data'!$1:$1,0))=-999,"",INDEX('Raw Pressure Data'!$A:$ZZ,$K$5+ROW()-26+$H$4,MATCH($F$4,'Raw Pressure Data'!$1:$1,0))+$G$4))),"")</f>
        <v/>
      </c>
      <c r="N176" s="24">
        <f>IFERROR(IF($F$5="","",IF($K$5+ROW()-26&gt;$K$6,"",IF(INDEX('Raw Pressure Data'!$A:$ZZ,$K$5+ROW()-26+$H$5,MATCH($F$5,'Raw Pressure Data'!$1:$1,0))=-999,"",INDEX('Raw Pressure Data'!$A:$ZZ,$K$5+ROW()-26+$H$5,MATCH($F$5,'Raw Pressure Data'!$1:$1,0))+$G$5))),"")</f>
        <v/>
      </c>
      <c r="O176" s="24">
        <f>IFERROR(IF($F$6="","",IF($K$5+ROW()-26&gt;$K$6,"",IF(INDEX('Raw Pressure Data'!$A:$ZZ,$K$5+ROW()-26+$H$6,MATCH($F$6,'Raw Pressure Data'!$1:$1,0))=-999,"",INDEX('Raw Pressure Data'!$A:$ZZ,$K$5+ROW()-26+$H$6,MATCH($F$6,'Raw Pressure Data'!$1:$1,0))+$G$6))),"")</f>
        <v/>
      </c>
      <c r="P176" s="24">
        <f>IFERROR(IF($F$7="","",IF($K$5+ROW()-26&gt;$K$6,"",IF(INDEX('Raw Pressure Data'!$A:$ZZ,$K$5+ROW()-26+$H$7,MATCH($F$7,'Raw Pressure Data'!$1:$1,0))=-999,"",INDEX('Raw Pressure Data'!$A:$ZZ,$K$5+ROW()-26+$H$7,MATCH($F$7,'Raw Pressure Data'!$1:$1,0))+$G$7))),"")</f>
        <v/>
      </c>
      <c r="Q176" s="24">
        <f>IFERROR(IF($F$8="","",IF($K$5+ROW()-26&gt;$K$6,"",IF(INDEX('Raw Pressure Data'!$A:$ZZ,$K$5+ROW()-26+$H$8,MATCH($F$8,'Raw Pressure Data'!$1:$1,0))=-999,"",INDEX('Raw Pressure Data'!$A:$ZZ,$K$5+ROW()-26+$H$8,MATCH($F$8,'Raw Pressure Data'!$1:$1,0))+$G$8))),"")</f>
        <v/>
      </c>
      <c r="R176" s="24">
        <f>IFERROR(IF($F$9="","",IF($K$5+ROW()-26&gt;$K$6,"",IF(INDEX('Raw Pressure Data'!$A:$ZZ,$K$5+ROW()-26+$H$9,MATCH($F$9,'Raw Pressure Data'!$1:$1,0))=-999,"",INDEX('Raw Pressure Data'!$A:$ZZ,$K$5+ROW()-26+$H$9,MATCH($F$9,'Raw Pressure Data'!$1:$1,0))+$G$9))),"")</f>
        <v/>
      </c>
      <c r="S176" s="24">
        <f>IFERROR(IF($F$10="","",IF($K$5+ROW()-26&gt;$K$6,"",IF(INDEX('Raw Pressure Data'!$A:$ZZ,$K$5+ROW()-26+$H$10,MATCH($F$10,'Raw Pressure Data'!$1:$1,0))=-999,"",INDEX('Raw Pressure Data'!$A:$ZZ,$K$5+ROW()-26+$H$10,MATCH($F$10,'Raw Pressure Data'!$1:$1,0))+$G$10))),"")</f>
        <v/>
      </c>
      <c r="T176" s="24">
        <f>IFERROR(IF($F$11="","",IF($K$5+ROW()-26&gt;$K$6,"",IF(INDEX('Raw Pressure Data'!$A:$ZZ,$K$5+ROW()-26+$H$11,MATCH($F$11,'Raw Pressure Data'!$1:$1,0))=-999,"",INDEX('Raw Pressure Data'!$A:$ZZ,$K$5+ROW()-26+$H$11,MATCH($F$11,'Raw Pressure Data'!$1:$1,0))+$G$11))),"")</f>
        <v/>
      </c>
      <c r="U176" s="24">
        <f>IFERROR(IF($F$12="","",IF($K$5+ROW()-26&gt;$K$6,"",IF(INDEX('Raw Pressure Data'!$A:$ZZ,$K$5+ROW()-26+$H$12,MATCH($F$12,'Raw Pressure Data'!$1:$1,0))=-999,"",INDEX('Raw Pressure Data'!$A:$ZZ,$K$5+ROW()-26+$H$12,MATCH($F$12,'Raw Pressure Data'!$1:$1,0))+$G$12))),"")</f>
        <v/>
      </c>
      <c r="V176" s="24">
        <f>IFERROR(IF($F$13="","",IF($K$5+ROW()-26&gt;$K$6,"",IF(INDEX('Raw Pressure Data'!$A:$ZZ,$K$5+ROW()-26+$H$13,MATCH($F$13,'Raw Pressure Data'!$1:$1,0))=-999,"",INDEX('Raw Pressure Data'!$A:$ZZ,$K$5+ROW()-26+$H$13,MATCH($F$13,'Raw Pressure Data'!$1:$1,0))+$G$13))),"")</f>
        <v/>
      </c>
      <c r="W176" s="24">
        <f>IFERROR(IF($F$14="","",IF($K$5+ROW()-26&gt;$K$6,"",IF(INDEX('Raw Pressure Data'!$A:$ZZ,$K$5+ROW()-26+$H$14,MATCH($F$14,'Raw Pressure Data'!$1:$1,0))=-999,"",INDEX('Raw Pressure Data'!$A:$ZZ,$K$5+ROW()-26+$H$14,MATCH($F$14,'Raw Pressure Data'!$1:$1,0))+$G$14))),"")</f>
        <v/>
      </c>
      <c r="X176" s="24">
        <f>IFERROR(IF($F$15="","",IF($K$5+ROW()-26&gt;$K$6,"",IF(INDEX('Raw Pressure Data'!$A:$ZZ,$K$5+ROW()-26+$H$15,MATCH($F$15,'Raw Pressure Data'!$1:$1,0))=-999,"",INDEX('Raw Pressure Data'!$A:$ZZ,$K$5+ROW()-26+$H$15,MATCH($F$15,'Raw Pressure Data'!$1:$1,0))+$G$15))),"")</f>
        <v/>
      </c>
      <c r="Y176" s="24">
        <f>IFERROR(IF($F$16="","",IF($K$5+ROW()-26&gt;$K$6,"",IF(INDEX('Raw Pressure Data'!$A:$ZZ,$K$5+ROW()-26+$H$16,MATCH($F$16,'Raw Pressure Data'!$1:$1,0))=-999,"",INDEX('Raw Pressure Data'!$A:$ZZ,$K$5+ROW()-26+$H$16,MATCH($F$16,'Raw Pressure Data'!$1:$1,0))+$G$16))),"")</f>
        <v/>
      </c>
      <c r="Z176" s="24">
        <f>IFERROR(IF($F$17="","",IF($K$5+ROW()-26&gt;$K$6,"",IF(INDEX('Raw Pressure Data'!$A:$ZZ,$K$5+ROW()-26+$H$17,MATCH($F$17,'Raw Pressure Data'!$1:$1,0))=-999,"",INDEX('Raw Pressure Data'!$A:$ZZ,$K$5+ROW()-26+$H$17,MATCH($F$17,'Raw Pressure Data'!$1:$1,0))+$G$17))),"")</f>
        <v/>
      </c>
      <c r="AA176" s="24">
        <f>IFERROR(IF($F$18="","",IF($K$5+ROW()-26&gt;$K$6,"",IF(INDEX('Raw Pressure Data'!$A:$ZZ,$K$5+ROW()-26+$H$18,MATCH($F$18,'Raw Pressure Data'!$1:$1,0))=-999,"",INDEX('Raw Pressure Data'!$A:$ZZ,$K$5+ROW()-26+$H$18,MATCH($F$18,'Raw Pressure Data'!$1:$1,0))+$G$18))),"")</f>
        <v/>
      </c>
      <c r="AB176" s="24">
        <f>IFERROR(IF($F$19="","",IF($K$5+ROW()-26&gt;$K$6,"",IF(INDEX('Raw Pressure Data'!$A:$ZZ,$K$5+ROW()-26+$H$19,MATCH($F$19,'Raw Pressure Data'!$1:$1,0))=-999,"",INDEX('Raw Pressure Data'!$A:$ZZ,$K$5+ROW()-26+$H$19,MATCH($F$19,'Raw Pressure Data'!$1:$1,0))+$G$19))),"")</f>
        <v/>
      </c>
      <c r="AC176" s="24">
        <f>IFERROR(IF($F$20="","",IF($K$5+ROW()-26&gt;$K$6,"",IF(INDEX('Raw Pressure Data'!$A:$ZZ,$K$5+ROW()-26+$H$20,MATCH($F$20,'Raw Pressure Data'!$1:$1,0))=-999,"",INDEX('Raw Pressure Data'!$A:$ZZ,$K$5+ROW()-26+$H$20,MATCH($F$20,'Raw Pressure Data'!$1:$1,0))+$G$20))),"")</f>
        <v/>
      </c>
      <c r="AD176" s="24">
        <f>IFERROR(IF($F$21="","",IF($K$5+ROW()-26&gt;$K$6,"",IF(INDEX('Raw Pressure Data'!$A:$ZZ,$K$5+ROW()-26+$H$21,MATCH($F$21,'Raw Pressure Data'!$1:$1,0))=-999,"",INDEX('Raw Pressure Data'!$A:$ZZ,$K$5+ROW()-26+$H$21,MATCH($F$21,'Raw Pressure Data'!$1:$1,0))+$G$21))),"")</f>
        <v/>
      </c>
      <c r="AE176" s="24">
        <f>IFERROR(IF($F$22="","",IF($K$5+ROW()-26&gt;$K$6,"",IF(INDEX('Raw Pressure Data'!$A:$ZZ,$K$5+ROW()-26+$H$22,MATCH($F$22,'Raw Pressure Data'!$1:$1,0))=-999,"",INDEX('Raw Pressure Data'!$A:$ZZ,$K$5+ROW()-26+$H$22,MATCH($F$22,'Raw Pressure Data'!$1:$1,0))+$G$22))),"")</f>
        <v/>
      </c>
    </row>
    <row r="177" ht="15" customHeight="1">
      <c r="A177" s="25">
        <f>IFERROR(IF($K$5+ROW()-26&gt;$K$6,"",IF(INDEX('Raw Flow Data'!$A:$A,$K$5+ROW()-26)="","",INDEX('Raw Flow Data'!$A:$A,$K$5+ROW()-26))),"")</f>
        <v/>
      </c>
      <c r="B177" s="26">
        <f>IFERROR(IF($B$3="","",IF($K$5+ROW()-26&gt;$K$6,"",IF(INDEX('Raw Flow Data'!$A:$ZZ,$K$5+ROW()-26+$D$3,MATCH($B$3,'Raw Flow Data'!$1:$1,0))=-999,"",INDEX('Raw Flow Data'!$A:$ZZ,$K$5+ROW()-26+$D$3,MATCH($B$3,'Raw Flow Data'!$1:$1,0))*$C$3))),"")</f>
        <v/>
      </c>
      <c r="C177" s="26">
        <f>IFERROR(IF($B$4="","",IF($K$5+ROW()-26&gt;$K$6,"",IF(INDEX('Raw Flow Data'!$A:$ZZ,$K$5+ROW()-26+$D$4,MATCH($B$4,'Raw Flow Data'!$1:$1,0))=-999,"",INDEX('Raw Flow Data'!$A:$ZZ,$K$5+ROW()-26+$D$4,MATCH($B$4,'Raw Flow Data'!$1:$1,0))*$C$4))),"")</f>
        <v/>
      </c>
      <c r="D177" s="26">
        <f>IFERROR(IF($B$5="","",IF($K$5+ROW()-26&gt;$K$6,"",IF(INDEX('Raw Flow Data'!$A:$ZZ,$K$5+ROW()-26+$D$5,MATCH($B$5,'Raw Flow Data'!$1:$1,0))=-999,"",INDEX('Raw Flow Data'!$A:$ZZ,$K$5+ROW()-26+$D$5,MATCH($B$5,'Raw Flow Data'!$1:$1,0))*$C$5))),"")</f>
        <v/>
      </c>
      <c r="E177" s="26">
        <f>IFERROR(IF($B$6="","",IF($K$5+ROW()-26&gt;$K$6,"",IF(INDEX('Raw Flow Data'!$A:$ZZ,$K$5+ROW()-26+$D$6,MATCH($B$6,'Raw Flow Data'!$1:$1,0))=-999,"",INDEX('Raw Flow Data'!$A:$ZZ,$K$5+ROW()-26+$D$6,MATCH($B$6,'Raw Flow Data'!$1:$1,0))*$C$6))),"")</f>
        <v/>
      </c>
      <c r="F177" s="26">
        <f>IFERROR(IF($B$7="","",IF($K$5+ROW()-26&gt;$K$6,"",IF(INDEX('Raw Flow Data'!$A:$ZZ,$K$5+ROW()-26+$D$7,MATCH($B$7,'Raw Flow Data'!$1:$1,0))=-999,"",INDEX('Raw Flow Data'!$A:$ZZ,$K$5+ROW()-26+$D$7,MATCH($B$7,'Raw Flow Data'!$1:$1,0))*$C$7))),"")</f>
        <v/>
      </c>
      <c r="G177" s="26">
        <f>IFERROR(IF($B$8="","",IF($K$5+ROW()-26&gt;$K$6,"",IF(INDEX('Raw Flow Data'!$A:$ZZ,$K$5+ROW()-26+$D$8,MATCH($B$8,'Raw Flow Data'!$1:$1,0))=-999,"",INDEX('Raw Flow Data'!$A:$ZZ,$K$5+ROW()-26+$D$8,MATCH($B$8,'Raw Flow Data'!$1:$1,0))*$C$8))),"")</f>
        <v/>
      </c>
      <c r="H177" s="26">
        <f>IFERROR(IF($B$9="","",IF($K$5+ROW()-26&gt;$K$6,"",IF(INDEX('Raw Flow Data'!$A:$ZZ,$K$5+ROW()-26+$D$9,MATCH($B$9,'Raw Flow Data'!$1:$1,0))=-999,"",INDEX('Raw Flow Data'!$A:$ZZ,$K$5+ROW()-26+$D$9,MATCH($B$9,'Raw Flow Data'!$1:$1,0))*$C$9))),"")</f>
        <v/>
      </c>
      <c r="I177" s="26">
        <f>IFERROR(IF($B$10="","",IF($K$5+ROW()-26&gt;$K$6,"",IF(INDEX('Raw Flow Data'!$A:$ZZ,$K$5+ROW()-26+$D$10,MATCH($B$10,'Raw Flow Data'!$1:$1,0))=-999,"",INDEX('Raw Flow Data'!$A:$ZZ,$K$5+ROW()-26+$D$10,MATCH($B$10,'Raw Flow Data'!$1:$1,0))*$C$10))),"")</f>
        <v/>
      </c>
      <c r="J177" s="26">
        <f>IFERROR(IF($B$11="","",IF($K$5+ROW()-26&gt;$K$6,"",IF(INDEX('Raw Flow Data'!$A:$ZZ,$K$5+ROW()-26+$D$11,MATCH($B$11,'Raw Flow Data'!$1:$1,0))=-999,"",INDEX('Raw Flow Data'!$A:$ZZ,$K$5+ROW()-26+$D$11,MATCH($B$11,'Raw Flow Data'!$1:$1,0))*$C$11))),"")</f>
        <v/>
      </c>
      <c r="K177" s="26">
        <f>IFERROR(IF($B$12="","",IF($K$5+ROW()-26&gt;$K$6,"",IF(INDEX('Raw Flow Data'!$A:$ZZ,$K$5+ROW()-26+$D$12,MATCH($B$12,'Raw Flow Data'!$1:$1,0))=-999,"",INDEX('Raw Flow Data'!$A:$ZZ,$K$5+ROW()-26+$D$12,MATCH($B$12,'Raw Flow Data'!$1:$1,0))*$C$12))),"")</f>
        <v/>
      </c>
      <c r="L177" s="26">
        <f>IFERROR(IF($F$3="","",IF($K$5+ROW()-26&gt;$K$6,"",IF(INDEX('Raw Pressure Data'!$A:$ZZ,$K$5+ROW()-26+$H$3,MATCH($F$3,'Raw Pressure Data'!$1:$1,0))=-999,"",INDEX('Raw Pressure Data'!$A:$ZZ,$K$5+ROW()-26+$H$3,MATCH($F$3,'Raw Pressure Data'!$1:$1,0))+$G$3))),"")</f>
        <v/>
      </c>
      <c r="M177" s="26">
        <f>IFERROR(IF($F$4="","",IF($K$5+ROW()-26&gt;$K$6,"",IF(INDEX('Raw Pressure Data'!$A:$ZZ,$K$5+ROW()-26+$H$4,MATCH($F$4,'Raw Pressure Data'!$1:$1,0))=-999,"",INDEX('Raw Pressure Data'!$A:$ZZ,$K$5+ROW()-26+$H$4,MATCH($F$4,'Raw Pressure Data'!$1:$1,0))+$G$4))),"")</f>
        <v/>
      </c>
      <c r="N177" s="26">
        <f>IFERROR(IF($F$5="","",IF($K$5+ROW()-26&gt;$K$6,"",IF(INDEX('Raw Pressure Data'!$A:$ZZ,$K$5+ROW()-26+$H$5,MATCH($F$5,'Raw Pressure Data'!$1:$1,0))=-999,"",INDEX('Raw Pressure Data'!$A:$ZZ,$K$5+ROW()-26+$H$5,MATCH($F$5,'Raw Pressure Data'!$1:$1,0))+$G$5))),"")</f>
        <v/>
      </c>
      <c r="O177" s="26">
        <f>IFERROR(IF($F$6="","",IF($K$5+ROW()-26&gt;$K$6,"",IF(INDEX('Raw Pressure Data'!$A:$ZZ,$K$5+ROW()-26+$H$6,MATCH($F$6,'Raw Pressure Data'!$1:$1,0))=-999,"",INDEX('Raw Pressure Data'!$A:$ZZ,$K$5+ROW()-26+$H$6,MATCH($F$6,'Raw Pressure Data'!$1:$1,0))+$G$6))),"")</f>
        <v/>
      </c>
      <c r="P177" s="26">
        <f>IFERROR(IF($F$7="","",IF($K$5+ROW()-26&gt;$K$6,"",IF(INDEX('Raw Pressure Data'!$A:$ZZ,$K$5+ROW()-26+$H$7,MATCH($F$7,'Raw Pressure Data'!$1:$1,0))=-999,"",INDEX('Raw Pressure Data'!$A:$ZZ,$K$5+ROW()-26+$H$7,MATCH($F$7,'Raw Pressure Data'!$1:$1,0))+$G$7))),"")</f>
        <v/>
      </c>
      <c r="Q177" s="26">
        <f>IFERROR(IF($F$8="","",IF($K$5+ROW()-26&gt;$K$6,"",IF(INDEX('Raw Pressure Data'!$A:$ZZ,$K$5+ROW()-26+$H$8,MATCH($F$8,'Raw Pressure Data'!$1:$1,0))=-999,"",INDEX('Raw Pressure Data'!$A:$ZZ,$K$5+ROW()-26+$H$8,MATCH($F$8,'Raw Pressure Data'!$1:$1,0))+$G$8))),"")</f>
        <v/>
      </c>
      <c r="R177" s="26">
        <f>IFERROR(IF($F$9="","",IF($K$5+ROW()-26&gt;$K$6,"",IF(INDEX('Raw Pressure Data'!$A:$ZZ,$K$5+ROW()-26+$H$9,MATCH($F$9,'Raw Pressure Data'!$1:$1,0))=-999,"",INDEX('Raw Pressure Data'!$A:$ZZ,$K$5+ROW()-26+$H$9,MATCH($F$9,'Raw Pressure Data'!$1:$1,0))+$G$9))),"")</f>
        <v/>
      </c>
      <c r="S177" s="26">
        <f>IFERROR(IF($F$10="","",IF($K$5+ROW()-26&gt;$K$6,"",IF(INDEX('Raw Pressure Data'!$A:$ZZ,$K$5+ROW()-26+$H$10,MATCH($F$10,'Raw Pressure Data'!$1:$1,0))=-999,"",INDEX('Raw Pressure Data'!$A:$ZZ,$K$5+ROW()-26+$H$10,MATCH($F$10,'Raw Pressure Data'!$1:$1,0))+$G$10))),"")</f>
        <v/>
      </c>
      <c r="T177" s="26">
        <f>IFERROR(IF($F$11="","",IF($K$5+ROW()-26&gt;$K$6,"",IF(INDEX('Raw Pressure Data'!$A:$ZZ,$K$5+ROW()-26+$H$11,MATCH($F$11,'Raw Pressure Data'!$1:$1,0))=-999,"",INDEX('Raw Pressure Data'!$A:$ZZ,$K$5+ROW()-26+$H$11,MATCH($F$11,'Raw Pressure Data'!$1:$1,0))+$G$11))),"")</f>
        <v/>
      </c>
      <c r="U177" s="26">
        <f>IFERROR(IF($F$12="","",IF($K$5+ROW()-26&gt;$K$6,"",IF(INDEX('Raw Pressure Data'!$A:$ZZ,$K$5+ROW()-26+$H$12,MATCH($F$12,'Raw Pressure Data'!$1:$1,0))=-999,"",INDEX('Raw Pressure Data'!$A:$ZZ,$K$5+ROW()-26+$H$12,MATCH($F$12,'Raw Pressure Data'!$1:$1,0))+$G$12))),"")</f>
        <v/>
      </c>
      <c r="V177" s="26">
        <f>IFERROR(IF($F$13="","",IF($K$5+ROW()-26&gt;$K$6,"",IF(INDEX('Raw Pressure Data'!$A:$ZZ,$K$5+ROW()-26+$H$13,MATCH($F$13,'Raw Pressure Data'!$1:$1,0))=-999,"",INDEX('Raw Pressure Data'!$A:$ZZ,$K$5+ROW()-26+$H$13,MATCH($F$13,'Raw Pressure Data'!$1:$1,0))+$G$13))),"")</f>
        <v/>
      </c>
      <c r="W177" s="26">
        <f>IFERROR(IF($F$14="","",IF($K$5+ROW()-26&gt;$K$6,"",IF(INDEX('Raw Pressure Data'!$A:$ZZ,$K$5+ROW()-26+$H$14,MATCH($F$14,'Raw Pressure Data'!$1:$1,0))=-999,"",INDEX('Raw Pressure Data'!$A:$ZZ,$K$5+ROW()-26+$H$14,MATCH($F$14,'Raw Pressure Data'!$1:$1,0))+$G$14))),"")</f>
        <v/>
      </c>
      <c r="X177" s="26">
        <f>IFERROR(IF($F$15="","",IF($K$5+ROW()-26&gt;$K$6,"",IF(INDEX('Raw Pressure Data'!$A:$ZZ,$K$5+ROW()-26+$H$15,MATCH($F$15,'Raw Pressure Data'!$1:$1,0))=-999,"",INDEX('Raw Pressure Data'!$A:$ZZ,$K$5+ROW()-26+$H$15,MATCH($F$15,'Raw Pressure Data'!$1:$1,0))+$G$15))),"")</f>
        <v/>
      </c>
      <c r="Y177" s="26">
        <f>IFERROR(IF($F$16="","",IF($K$5+ROW()-26&gt;$K$6,"",IF(INDEX('Raw Pressure Data'!$A:$ZZ,$K$5+ROW()-26+$H$16,MATCH($F$16,'Raw Pressure Data'!$1:$1,0))=-999,"",INDEX('Raw Pressure Data'!$A:$ZZ,$K$5+ROW()-26+$H$16,MATCH($F$16,'Raw Pressure Data'!$1:$1,0))+$G$16))),"")</f>
        <v/>
      </c>
      <c r="Z177" s="26">
        <f>IFERROR(IF($F$17="","",IF($K$5+ROW()-26&gt;$K$6,"",IF(INDEX('Raw Pressure Data'!$A:$ZZ,$K$5+ROW()-26+$H$17,MATCH($F$17,'Raw Pressure Data'!$1:$1,0))=-999,"",INDEX('Raw Pressure Data'!$A:$ZZ,$K$5+ROW()-26+$H$17,MATCH($F$17,'Raw Pressure Data'!$1:$1,0))+$G$17))),"")</f>
        <v/>
      </c>
      <c r="AA177" s="26">
        <f>IFERROR(IF($F$18="","",IF($K$5+ROW()-26&gt;$K$6,"",IF(INDEX('Raw Pressure Data'!$A:$ZZ,$K$5+ROW()-26+$H$18,MATCH($F$18,'Raw Pressure Data'!$1:$1,0))=-999,"",INDEX('Raw Pressure Data'!$A:$ZZ,$K$5+ROW()-26+$H$18,MATCH($F$18,'Raw Pressure Data'!$1:$1,0))+$G$18))),"")</f>
        <v/>
      </c>
      <c r="AB177" s="26">
        <f>IFERROR(IF($F$19="","",IF($K$5+ROW()-26&gt;$K$6,"",IF(INDEX('Raw Pressure Data'!$A:$ZZ,$K$5+ROW()-26+$H$19,MATCH($F$19,'Raw Pressure Data'!$1:$1,0))=-999,"",INDEX('Raw Pressure Data'!$A:$ZZ,$K$5+ROW()-26+$H$19,MATCH($F$19,'Raw Pressure Data'!$1:$1,0))+$G$19))),"")</f>
        <v/>
      </c>
      <c r="AC177" s="26">
        <f>IFERROR(IF($F$20="","",IF($K$5+ROW()-26&gt;$K$6,"",IF(INDEX('Raw Pressure Data'!$A:$ZZ,$K$5+ROW()-26+$H$20,MATCH($F$20,'Raw Pressure Data'!$1:$1,0))=-999,"",INDEX('Raw Pressure Data'!$A:$ZZ,$K$5+ROW()-26+$H$20,MATCH($F$20,'Raw Pressure Data'!$1:$1,0))+$G$20))),"")</f>
        <v/>
      </c>
      <c r="AD177" s="26">
        <f>IFERROR(IF($F$21="","",IF($K$5+ROW()-26&gt;$K$6,"",IF(INDEX('Raw Pressure Data'!$A:$ZZ,$K$5+ROW()-26+$H$21,MATCH($F$21,'Raw Pressure Data'!$1:$1,0))=-999,"",INDEX('Raw Pressure Data'!$A:$ZZ,$K$5+ROW()-26+$H$21,MATCH($F$21,'Raw Pressure Data'!$1:$1,0))+$G$21))),"")</f>
        <v/>
      </c>
      <c r="AE177" s="26">
        <f>IFERROR(IF($F$22="","",IF($K$5+ROW()-26&gt;$K$6,"",IF(INDEX('Raw Pressure Data'!$A:$ZZ,$K$5+ROW()-26+$H$22,MATCH($F$22,'Raw Pressure Data'!$1:$1,0))=-999,"",INDEX('Raw Pressure Data'!$A:$ZZ,$K$5+ROW()-26+$H$22,MATCH($F$22,'Raw Pressure Data'!$1:$1,0))+$G$22))),"")</f>
        <v/>
      </c>
    </row>
    <row r="178" ht="15" customHeight="1">
      <c r="A178" s="23">
        <f>IFERROR(IF($K$5+ROW()-26&gt;$K$6,"",IF(INDEX('Raw Flow Data'!$A:$A,$K$5+ROW()-26)="","",INDEX('Raw Flow Data'!$A:$A,$K$5+ROW()-26))),"")</f>
        <v/>
      </c>
      <c r="B178" s="24">
        <f>IFERROR(IF($B$3="","",IF($K$5+ROW()-26&gt;$K$6,"",IF(INDEX('Raw Flow Data'!$A:$ZZ,$K$5+ROW()-26+$D$3,MATCH($B$3,'Raw Flow Data'!$1:$1,0))=-999,"",INDEX('Raw Flow Data'!$A:$ZZ,$K$5+ROW()-26+$D$3,MATCH($B$3,'Raw Flow Data'!$1:$1,0))*$C$3))),"")</f>
        <v/>
      </c>
      <c r="C178" s="24">
        <f>IFERROR(IF($B$4="","",IF($K$5+ROW()-26&gt;$K$6,"",IF(INDEX('Raw Flow Data'!$A:$ZZ,$K$5+ROW()-26+$D$4,MATCH($B$4,'Raw Flow Data'!$1:$1,0))=-999,"",INDEX('Raw Flow Data'!$A:$ZZ,$K$5+ROW()-26+$D$4,MATCH($B$4,'Raw Flow Data'!$1:$1,0))*$C$4))),"")</f>
        <v/>
      </c>
      <c r="D178" s="24">
        <f>IFERROR(IF($B$5="","",IF($K$5+ROW()-26&gt;$K$6,"",IF(INDEX('Raw Flow Data'!$A:$ZZ,$K$5+ROW()-26+$D$5,MATCH($B$5,'Raw Flow Data'!$1:$1,0))=-999,"",INDEX('Raw Flow Data'!$A:$ZZ,$K$5+ROW()-26+$D$5,MATCH($B$5,'Raw Flow Data'!$1:$1,0))*$C$5))),"")</f>
        <v/>
      </c>
      <c r="E178" s="24">
        <f>IFERROR(IF($B$6="","",IF($K$5+ROW()-26&gt;$K$6,"",IF(INDEX('Raw Flow Data'!$A:$ZZ,$K$5+ROW()-26+$D$6,MATCH($B$6,'Raw Flow Data'!$1:$1,0))=-999,"",INDEX('Raw Flow Data'!$A:$ZZ,$K$5+ROW()-26+$D$6,MATCH($B$6,'Raw Flow Data'!$1:$1,0))*$C$6))),"")</f>
        <v/>
      </c>
      <c r="F178" s="24">
        <f>IFERROR(IF($B$7="","",IF($K$5+ROW()-26&gt;$K$6,"",IF(INDEX('Raw Flow Data'!$A:$ZZ,$K$5+ROW()-26+$D$7,MATCH($B$7,'Raw Flow Data'!$1:$1,0))=-999,"",INDEX('Raw Flow Data'!$A:$ZZ,$K$5+ROW()-26+$D$7,MATCH($B$7,'Raw Flow Data'!$1:$1,0))*$C$7))),"")</f>
        <v/>
      </c>
      <c r="G178" s="24">
        <f>IFERROR(IF($B$8="","",IF($K$5+ROW()-26&gt;$K$6,"",IF(INDEX('Raw Flow Data'!$A:$ZZ,$K$5+ROW()-26+$D$8,MATCH($B$8,'Raw Flow Data'!$1:$1,0))=-999,"",INDEX('Raw Flow Data'!$A:$ZZ,$K$5+ROW()-26+$D$8,MATCH($B$8,'Raw Flow Data'!$1:$1,0))*$C$8))),"")</f>
        <v/>
      </c>
      <c r="H178" s="24">
        <f>IFERROR(IF($B$9="","",IF($K$5+ROW()-26&gt;$K$6,"",IF(INDEX('Raw Flow Data'!$A:$ZZ,$K$5+ROW()-26+$D$9,MATCH($B$9,'Raw Flow Data'!$1:$1,0))=-999,"",INDEX('Raw Flow Data'!$A:$ZZ,$K$5+ROW()-26+$D$9,MATCH($B$9,'Raw Flow Data'!$1:$1,0))*$C$9))),"")</f>
        <v/>
      </c>
      <c r="I178" s="24">
        <f>IFERROR(IF($B$10="","",IF($K$5+ROW()-26&gt;$K$6,"",IF(INDEX('Raw Flow Data'!$A:$ZZ,$K$5+ROW()-26+$D$10,MATCH($B$10,'Raw Flow Data'!$1:$1,0))=-999,"",INDEX('Raw Flow Data'!$A:$ZZ,$K$5+ROW()-26+$D$10,MATCH($B$10,'Raw Flow Data'!$1:$1,0))*$C$10))),"")</f>
        <v/>
      </c>
      <c r="J178" s="24">
        <f>IFERROR(IF($B$11="","",IF($K$5+ROW()-26&gt;$K$6,"",IF(INDEX('Raw Flow Data'!$A:$ZZ,$K$5+ROW()-26+$D$11,MATCH($B$11,'Raw Flow Data'!$1:$1,0))=-999,"",INDEX('Raw Flow Data'!$A:$ZZ,$K$5+ROW()-26+$D$11,MATCH($B$11,'Raw Flow Data'!$1:$1,0))*$C$11))),"")</f>
        <v/>
      </c>
      <c r="K178" s="24">
        <f>IFERROR(IF($B$12="","",IF($K$5+ROW()-26&gt;$K$6,"",IF(INDEX('Raw Flow Data'!$A:$ZZ,$K$5+ROW()-26+$D$12,MATCH($B$12,'Raw Flow Data'!$1:$1,0))=-999,"",INDEX('Raw Flow Data'!$A:$ZZ,$K$5+ROW()-26+$D$12,MATCH($B$12,'Raw Flow Data'!$1:$1,0))*$C$12))),"")</f>
        <v/>
      </c>
      <c r="L178" s="24">
        <f>IFERROR(IF($F$3="","",IF($K$5+ROW()-26&gt;$K$6,"",IF(INDEX('Raw Pressure Data'!$A:$ZZ,$K$5+ROW()-26+$H$3,MATCH($F$3,'Raw Pressure Data'!$1:$1,0))=-999,"",INDEX('Raw Pressure Data'!$A:$ZZ,$K$5+ROW()-26+$H$3,MATCH($F$3,'Raw Pressure Data'!$1:$1,0))+$G$3))),"")</f>
        <v/>
      </c>
      <c r="M178" s="24">
        <f>IFERROR(IF($F$4="","",IF($K$5+ROW()-26&gt;$K$6,"",IF(INDEX('Raw Pressure Data'!$A:$ZZ,$K$5+ROW()-26+$H$4,MATCH($F$4,'Raw Pressure Data'!$1:$1,0))=-999,"",INDEX('Raw Pressure Data'!$A:$ZZ,$K$5+ROW()-26+$H$4,MATCH($F$4,'Raw Pressure Data'!$1:$1,0))+$G$4))),"")</f>
        <v/>
      </c>
      <c r="N178" s="24">
        <f>IFERROR(IF($F$5="","",IF($K$5+ROW()-26&gt;$K$6,"",IF(INDEX('Raw Pressure Data'!$A:$ZZ,$K$5+ROW()-26+$H$5,MATCH($F$5,'Raw Pressure Data'!$1:$1,0))=-999,"",INDEX('Raw Pressure Data'!$A:$ZZ,$K$5+ROW()-26+$H$5,MATCH($F$5,'Raw Pressure Data'!$1:$1,0))+$G$5))),"")</f>
        <v/>
      </c>
      <c r="O178" s="24">
        <f>IFERROR(IF($F$6="","",IF($K$5+ROW()-26&gt;$K$6,"",IF(INDEX('Raw Pressure Data'!$A:$ZZ,$K$5+ROW()-26+$H$6,MATCH($F$6,'Raw Pressure Data'!$1:$1,0))=-999,"",INDEX('Raw Pressure Data'!$A:$ZZ,$K$5+ROW()-26+$H$6,MATCH($F$6,'Raw Pressure Data'!$1:$1,0))+$G$6))),"")</f>
        <v/>
      </c>
      <c r="P178" s="24">
        <f>IFERROR(IF($F$7="","",IF($K$5+ROW()-26&gt;$K$6,"",IF(INDEX('Raw Pressure Data'!$A:$ZZ,$K$5+ROW()-26+$H$7,MATCH($F$7,'Raw Pressure Data'!$1:$1,0))=-999,"",INDEX('Raw Pressure Data'!$A:$ZZ,$K$5+ROW()-26+$H$7,MATCH($F$7,'Raw Pressure Data'!$1:$1,0))+$G$7))),"")</f>
        <v/>
      </c>
      <c r="Q178" s="24">
        <f>IFERROR(IF($F$8="","",IF($K$5+ROW()-26&gt;$K$6,"",IF(INDEX('Raw Pressure Data'!$A:$ZZ,$K$5+ROW()-26+$H$8,MATCH($F$8,'Raw Pressure Data'!$1:$1,0))=-999,"",INDEX('Raw Pressure Data'!$A:$ZZ,$K$5+ROW()-26+$H$8,MATCH($F$8,'Raw Pressure Data'!$1:$1,0))+$G$8))),"")</f>
        <v/>
      </c>
      <c r="R178" s="24">
        <f>IFERROR(IF($F$9="","",IF($K$5+ROW()-26&gt;$K$6,"",IF(INDEX('Raw Pressure Data'!$A:$ZZ,$K$5+ROW()-26+$H$9,MATCH($F$9,'Raw Pressure Data'!$1:$1,0))=-999,"",INDEX('Raw Pressure Data'!$A:$ZZ,$K$5+ROW()-26+$H$9,MATCH($F$9,'Raw Pressure Data'!$1:$1,0))+$G$9))),"")</f>
        <v/>
      </c>
      <c r="S178" s="24">
        <f>IFERROR(IF($F$10="","",IF($K$5+ROW()-26&gt;$K$6,"",IF(INDEX('Raw Pressure Data'!$A:$ZZ,$K$5+ROW()-26+$H$10,MATCH($F$10,'Raw Pressure Data'!$1:$1,0))=-999,"",INDEX('Raw Pressure Data'!$A:$ZZ,$K$5+ROW()-26+$H$10,MATCH($F$10,'Raw Pressure Data'!$1:$1,0))+$G$10))),"")</f>
        <v/>
      </c>
      <c r="T178" s="24">
        <f>IFERROR(IF($F$11="","",IF($K$5+ROW()-26&gt;$K$6,"",IF(INDEX('Raw Pressure Data'!$A:$ZZ,$K$5+ROW()-26+$H$11,MATCH($F$11,'Raw Pressure Data'!$1:$1,0))=-999,"",INDEX('Raw Pressure Data'!$A:$ZZ,$K$5+ROW()-26+$H$11,MATCH($F$11,'Raw Pressure Data'!$1:$1,0))+$G$11))),"")</f>
        <v/>
      </c>
      <c r="U178" s="24">
        <f>IFERROR(IF($F$12="","",IF($K$5+ROW()-26&gt;$K$6,"",IF(INDEX('Raw Pressure Data'!$A:$ZZ,$K$5+ROW()-26+$H$12,MATCH($F$12,'Raw Pressure Data'!$1:$1,0))=-999,"",INDEX('Raw Pressure Data'!$A:$ZZ,$K$5+ROW()-26+$H$12,MATCH($F$12,'Raw Pressure Data'!$1:$1,0))+$G$12))),"")</f>
        <v/>
      </c>
      <c r="V178" s="24">
        <f>IFERROR(IF($F$13="","",IF($K$5+ROW()-26&gt;$K$6,"",IF(INDEX('Raw Pressure Data'!$A:$ZZ,$K$5+ROW()-26+$H$13,MATCH($F$13,'Raw Pressure Data'!$1:$1,0))=-999,"",INDEX('Raw Pressure Data'!$A:$ZZ,$K$5+ROW()-26+$H$13,MATCH($F$13,'Raw Pressure Data'!$1:$1,0))+$G$13))),"")</f>
        <v/>
      </c>
      <c r="W178" s="24">
        <f>IFERROR(IF($F$14="","",IF($K$5+ROW()-26&gt;$K$6,"",IF(INDEX('Raw Pressure Data'!$A:$ZZ,$K$5+ROW()-26+$H$14,MATCH($F$14,'Raw Pressure Data'!$1:$1,0))=-999,"",INDEX('Raw Pressure Data'!$A:$ZZ,$K$5+ROW()-26+$H$14,MATCH($F$14,'Raw Pressure Data'!$1:$1,0))+$G$14))),"")</f>
        <v/>
      </c>
      <c r="X178" s="24">
        <f>IFERROR(IF($F$15="","",IF($K$5+ROW()-26&gt;$K$6,"",IF(INDEX('Raw Pressure Data'!$A:$ZZ,$K$5+ROW()-26+$H$15,MATCH($F$15,'Raw Pressure Data'!$1:$1,0))=-999,"",INDEX('Raw Pressure Data'!$A:$ZZ,$K$5+ROW()-26+$H$15,MATCH($F$15,'Raw Pressure Data'!$1:$1,0))+$G$15))),"")</f>
        <v/>
      </c>
      <c r="Y178" s="24">
        <f>IFERROR(IF($F$16="","",IF($K$5+ROW()-26&gt;$K$6,"",IF(INDEX('Raw Pressure Data'!$A:$ZZ,$K$5+ROW()-26+$H$16,MATCH($F$16,'Raw Pressure Data'!$1:$1,0))=-999,"",INDEX('Raw Pressure Data'!$A:$ZZ,$K$5+ROW()-26+$H$16,MATCH($F$16,'Raw Pressure Data'!$1:$1,0))+$G$16))),"")</f>
        <v/>
      </c>
      <c r="Z178" s="24">
        <f>IFERROR(IF($F$17="","",IF($K$5+ROW()-26&gt;$K$6,"",IF(INDEX('Raw Pressure Data'!$A:$ZZ,$K$5+ROW()-26+$H$17,MATCH($F$17,'Raw Pressure Data'!$1:$1,0))=-999,"",INDEX('Raw Pressure Data'!$A:$ZZ,$K$5+ROW()-26+$H$17,MATCH($F$17,'Raw Pressure Data'!$1:$1,0))+$G$17))),"")</f>
        <v/>
      </c>
      <c r="AA178" s="24">
        <f>IFERROR(IF($F$18="","",IF($K$5+ROW()-26&gt;$K$6,"",IF(INDEX('Raw Pressure Data'!$A:$ZZ,$K$5+ROW()-26+$H$18,MATCH($F$18,'Raw Pressure Data'!$1:$1,0))=-999,"",INDEX('Raw Pressure Data'!$A:$ZZ,$K$5+ROW()-26+$H$18,MATCH($F$18,'Raw Pressure Data'!$1:$1,0))+$G$18))),"")</f>
        <v/>
      </c>
      <c r="AB178" s="24">
        <f>IFERROR(IF($F$19="","",IF($K$5+ROW()-26&gt;$K$6,"",IF(INDEX('Raw Pressure Data'!$A:$ZZ,$K$5+ROW()-26+$H$19,MATCH($F$19,'Raw Pressure Data'!$1:$1,0))=-999,"",INDEX('Raw Pressure Data'!$A:$ZZ,$K$5+ROW()-26+$H$19,MATCH($F$19,'Raw Pressure Data'!$1:$1,0))+$G$19))),"")</f>
        <v/>
      </c>
      <c r="AC178" s="24">
        <f>IFERROR(IF($F$20="","",IF($K$5+ROW()-26&gt;$K$6,"",IF(INDEX('Raw Pressure Data'!$A:$ZZ,$K$5+ROW()-26+$H$20,MATCH($F$20,'Raw Pressure Data'!$1:$1,0))=-999,"",INDEX('Raw Pressure Data'!$A:$ZZ,$K$5+ROW()-26+$H$20,MATCH($F$20,'Raw Pressure Data'!$1:$1,0))+$G$20))),"")</f>
        <v/>
      </c>
      <c r="AD178" s="24">
        <f>IFERROR(IF($F$21="","",IF($K$5+ROW()-26&gt;$K$6,"",IF(INDEX('Raw Pressure Data'!$A:$ZZ,$K$5+ROW()-26+$H$21,MATCH($F$21,'Raw Pressure Data'!$1:$1,0))=-999,"",INDEX('Raw Pressure Data'!$A:$ZZ,$K$5+ROW()-26+$H$21,MATCH($F$21,'Raw Pressure Data'!$1:$1,0))+$G$21))),"")</f>
        <v/>
      </c>
      <c r="AE178" s="24">
        <f>IFERROR(IF($F$22="","",IF($K$5+ROW()-26&gt;$K$6,"",IF(INDEX('Raw Pressure Data'!$A:$ZZ,$K$5+ROW()-26+$H$22,MATCH($F$22,'Raw Pressure Data'!$1:$1,0))=-999,"",INDEX('Raw Pressure Data'!$A:$ZZ,$K$5+ROW()-26+$H$22,MATCH($F$22,'Raw Pressure Data'!$1:$1,0))+$G$22))),"")</f>
        <v/>
      </c>
    </row>
    <row r="179" ht="15" customHeight="1">
      <c r="A179" s="25">
        <f>IFERROR(IF($K$5+ROW()-26&gt;$K$6,"",IF(INDEX('Raw Flow Data'!$A:$A,$K$5+ROW()-26)="","",INDEX('Raw Flow Data'!$A:$A,$K$5+ROW()-26))),"")</f>
        <v/>
      </c>
      <c r="B179" s="26">
        <f>IFERROR(IF($B$3="","",IF($K$5+ROW()-26&gt;$K$6,"",IF(INDEX('Raw Flow Data'!$A:$ZZ,$K$5+ROW()-26+$D$3,MATCH($B$3,'Raw Flow Data'!$1:$1,0))=-999,"",INDEX('Raw Flow Data'!$A:$ZZ,$K$5+ROW()-26+$D$3,MATCH($B$3,'Raw Flow Data'!$1:$1,0))*$C$3))),"")</f>
        <v/>
      </c>
      <c r="C179" s="26">
        <f>IFERROR(IF($B$4="","",IF($K$5+ROW()-26&gt;$K$6,"",IF(INDEX('Raw Flow Data'!$A:$ZZ,$K$5+ROW()-26+$D$4,MATCH($B$4,'Raw Flow Data'!$1:$1,0))=-999,"",INDEX('Raw Flow Data'!$A:$ZZ,$K$5+ROW()-26+$D$4,MATCH($B$4,'Raw Flow Data'!$1:$1,0))*$C$4))),"")</f>
        <v/>
      </c>
      <c r="D179" s="26">
        <f>IFERROR(IF($B$5="","",IF($K$5+ROW()-26&gt;$K$6,"",IF(INDEX('Raw Flow Data'!$A:$ZZ,$K$5+ROW()-26+$D$5,MATCH($B$5,'Raw Flow Data'!$1:$1,0))=-999,"",INDEX('Raw Flow Data'!$A:$ZZ,$K$5+ROW()-26+$D$5,MATCH($B$5,'Raw Flow Data'!$1:$1,0))*$C$5))),"")</f>
        <v/>
      </c>
      <c r="E179" s="26">
        <f>IFERROR(IF($B$6="","",IF($K$5+ROW()-26&gt;$K$6,"",IF(INDEX('Raw Flow Data'!$A:$ZZ,$K$5+ROW()-26+$D$6,MATCH($B$6,'Raw Flow Data'!$1:$1,0))=-999,"",INDEX('Raw Flow Data'!$A:$ZZ,$K$5+ROW()-26+$D$6,MATCH($B$6,'Raw Flow Data'!$1:$1,0))*$C$6))),"")</f>
        <v/>
      </c>
      <c r="F179" s="26">
        <f>IFERROR(IF($B$7="","",IF($K$5+ROW()-26&gt;$K$6,"",IF(INDEX('Raw Flow Data'!$A:$ZZ,$K$5+ROW()-26+$D$7,MATCH($B$7,'Raw Flow Data'!$1:$1,0))=-999,"",INDEX('Raw Flow Data'!$A:$ZZ,$K$5+ROW()-26+$D$7,MATCH($B$7,'Raw Flow Data'!$1:$1,0))*$C$7))),"")</f>
        <v/>
      </c>
      <c r="G179" s="26">
        <f>IFERROR(IF($B$8="","",IF($K$5+ROW()-26&gt;$K$6,"",IF(INDEX('Raw Flow Data'!$A:$ZZ,$K$5+ROW()-26+$D$8,MATCH($B$8,'Raw Flow Data'!$1:$1,0))=-999,"",INDEX('Raw Flow Data'!$A:$ZZ,$K$5+ROW()-26+$D$8,MATCH($B$8,'Raw Flow Data'!$1:$1,0))*$C$8))),"")</f>
        <v/>
      </c>
      <c r="H179" s="26">
        <f>IFERROR(IF($B$9="","",IF($K$5+ROW()-26&gt;$K$6,"",IF(INDEX('Raw Flow Data'!$A:$ZZ,$K$5+ROW()-26+$D$9,MATCH($B$9,'Raw Flow Data'!$1:$1,0))=-999,"",INDEX('Raw Flow Data'!$A:$ZZ,$K$5+ROW()-26+$D$9,MATCH($B$9,'Raw Flow Data'!$1:$1,0))*$C$9))),"")</f>
        <v/>
      </c>
      <c r="I179" s="26">
        <f>IFERROR(IF($B$10="","",IF($K$5+ROW()-26&gt;$K$6,"",IF(INDEX('Raw Flow Data'!$A:$ZZ,$K$5+ROW()-26+$D$10,MATCH($B$10,'Raw Flow Data'!$1:$1,0))=-999,"",INDEX('Raw Flow Data'!$A:$ZZ,$K$5+ROW()-26+$D$10,MATCH($B$10,'Raw Flow Data'!$1:$1,0))*$C$10))),"")</f>
        <v/>
      </c>
      <c r="J179" s="26">
        <f>IFERROR(IF($B$11="","",IF($K$5+ROW()-26&gt;$K$6,"",IF(INDEX('Raw Flow Data'!$A:$ZZ,$K$5+ROW()-26+$D$11,MATCH($B$11,'Raw Flow Data'!$1:$1,0))=-999,"",INDEX('Raw Flow Data'!$A:$ZZ,$K$5+ROW()-26+$D$11,MATCH($B$11,'Raw Flow Data'!$1:$1,0))*$C$11))),"")</f>
        <v/>
      </c>
      <c r="K179" s="26">
        <f>IFERROR(IF($B$12="","",IF($K$5+ROW()-26&gt;$K$6,"",IF(INDEX('Raw Flow Data'!$A:$ZZ,$K$5+ROW()-26+$D$12,MATCH($B$12,'Raw Flow Data'!$1:$1,0))=-999,"",INDEX('Raw Flow Data'!$A:$ZZ,$K$5+ROW()-26+$D$12,MATCH($B$12,'Raw Flow Data'!$1:$1,0))*$C$12))),"")</f>
        <v/>
      </c>
      <c r="L179" s="26">
        <f>IFERROR(IF($F$3="","",IF($K$5+ROW()-26&gt;$K$6,"",IF(INDEX('Raw Pressure Data'!$A:$ZZ,$K$5+ROW()-26+$H$3,MATCH($F$3,'Raw Pressure Data'!$1:$1,0))=-999,"",INDEX('Raw Pressure Data'!$A:$ZZ,$K$5+ROW()-26+$H$3,MATCH($F$3,'Raw Pressure Data'!$1:$1,0))+$G$3))),"")</f>
        <v/>
      </c>
      <c r="M179" s="26">
        <f>IFERROR(IF($F$4="","",IF($K$5+ROW()-26&gt;$K$6,"",IF(INDEX('Raw Pressure Data'!$A:$ZZ,$K$5+ROW()-26+$H$4,MATCH($F$4,'Raw Pressure Data'!$1:$1,0))=-999,"",INDEX('Raw Pressure Data'!$A:$ZZ,$K$5+ROW()-26+$H$4,MATCH($F$4,'Raw Pressure Data'!$1:$1,0))+$G$4))),"")</f>
        <v/>
      </c>
      <c r="N179" s="26">
        <f>IFERROR(IF($F$5="","",IF($K$5+ROW()-26&gt;$K$6,"",IF(INDEX('Raw Pressure Data'!$A:$ZZ,$K$5+ROW()-26+$H$5,MATCH($F$5,'Raw Pressure Data'!$1:$1,0))=-999,"",INDEX('Raw Pressure Data'!$A:$ZZ,$K$5+ROW()-26+$H$5,MATCH($F$5,'Raw Pressure Data'!$1:$1,0))+$G$5))),"")</f>
        <v/>
      </c>
      <c r="O179" s="26">
        <f>IFERROR(IF($F$6="","",IF($K$5+ROW()-26&gt;$K$6,"",IF(INDEX('Raw Pressure Data'!$A:$ZZ,$K$5+ROW()-26+$H$6,MATCH($F$6,'Raw Pressure Data'!$1:$1,0))=-999,"",INDEX('Raw Pressure Data'!$A:$ZZ,$K$5+ROW()-26+$H$6,MATCH($F$6,'Raw Pressure Data'!$1:$1,0))+$G$6))),"")</f>
        <v/>
      </c>
      <c r="P179" s="26">
        <f>IFERROR(IF($F$7="","",IF($K$5+ROW()-26&gt;$K$6,"",IF(INDEX('Raw Pressure Data'!$A:$ZZ,$K$5+ROW()-26+$H$7,MATCH($F$7,'Raw Pressure Data'!$1:$1,0))=-999,"",INDEX('Raw Pressure Data'!$A:$ZZ,$K$5+ROW()-26+$H$7,MATCH($F$7,'Raw Pressure Data'!$1:$1,0))+$G$7))),"")</f>
        <v/>
      </c>
      <c r="Q179" s="26">
        <f>IFERROR(IF($F$8="","",IF($K$5+ROW()-26&gt;$K$6,"",IF(INDEX('Raw Pressure Data'!$A:$ZZ,$K$5+ROW()-26+$H$8,MATCH($F$8,'Raw Pressure Data'!$1:$1,0))=-999,"",INDEX('Raw Pressure Data'!$A:$ZZ,$K$5+ROW()-26+$H$8,MATCH($F$8,'Raw Pressure Data'!$1:$1,0))+$G$8))),"")</f>
        <v/>
      </c>
      <c r="R179" s="26">
        <f>IFERROR(IF($F$9="","",IF($K$5+ROW()-26&gt;$K$6,"",IF(INDEX('Raw Pressure Data'!$A:$ZZ,$K$5+ROW()-26+$H$9,MATCH($F$9,'Raw Pressure Data'!$1:$1,0))=-999,"",INDEX('Raw Pressure Data'!$A:$ZZ,$K$5+ROW()-26+$H$9,MATCH($F$9,'Raw Pressure Data'!$1:$1,0))+$G$9))),"")</f>
        <v/>
      </c>
      <c r="S179" s="26">
        <f>IFERROR(IF($F$10="","",IF($K$5+ROW()-26&gt;$K$6,"",IF(INDEX('Raw Pressure Data'!$A:$ZZ,$K$5+ROW()-26+$H$10,MATCH($F$10,'Raw Pressure Data'!$1:$1,0))=-999,"",INDEX('Raw Pressure Data'!$A:$ZZ,$K$5+ROW()-26+$H$10,MATCH($F$10,'Raw Pressure Data'!$1:$1,0))+$G$10))),"")</f>
        <v/>
      </c>
      <c r="T179" s="26">
        <f>IFERROR(IF($F$11="","",IF($K$5+ROW()-26&gt;$K$6,"",IF(INDEX('Raw Pressure Data'!$A:$ZZ,$K$5+ROW()-26+$H$11,MATCH($F$11,'Raw Pressure Data'!$1:$1,0))=-999,"",INDEX('Raw Pressure Data'!$A:$ZZ,$K$5+ROW()-26+$H$11,MATCH($F$11,'Raw Pressure Data'!$1:$1,0))+$G$11))),"")</f>
        <v/>
      </c>
      <c r="U179" s="26">
        <f>IFERROR(IF($F$12="","",IF($K$5+ROW()-26&gt;$K$6,"",IF(INDEX('Raw Pressure Data'!$A:$ZZ,$K$5+ROW()-26+$H$12,MATCH($F$12,'Raw Pressure Data'!$1:$1,0))=-999,"",INDEX('Raw Pressure Data'!$A:$ZZ,$K$5+ROW()-26+$H$12,MATCH($F$12,'Raw Pressure Data'!$1:$1,0))+$G$12))),"")</f>
        <v/>
      </c>
      <c r="V179" s="26">
        <f>IFERROR(IF($F$13="","",IF($K$5+ROW()-26&gt;$K$6,"",IF(INDEX('Raw Pressure Data'!$A:$ZZ,$K$5+ROW()-26+$H$13,MATCH($F$13,'Raw Pressure Data'!$1:$1,0))=-999,"",INDEX('Raw Pressure Data'!$A:$ZZ,$K$5+ROW()-26+$H$13,MATCH($F$13,'Raw Pressure Data'!$1:$1,0))+$G$13))),"")</f>
        <v/>
      </c>
      <c r="W179" s="26">
        <f>IFERROR(IF($F$14="","",IF($K$5+ROW()-26&gt;$K$6,"",IF(INDEX('Raw Pressure Data'!$A:$ZZ,$K$5+ROW()-26+$H$14,MATCH($F$14,'Raw Pressure Data'!$1:$1,0))=-999,"",INDEX('Raw Pressure Data'!$A:$ZZ,$K$5+ROW()-26+$H$14,MATCH($F$14,'Raw Pressure Data'!$1:$1,0))+$G$14))),"")</f>
        <v/>
      </c>
      <c r="X179" s="26">
        <f>IFERROR(IF($F$15="","",IF($K$5+ROW()-26&gt;$K$6,"",IF(INDEX('Raw Pressure Data'!$A:$ZZ,$K$5+ROW()-26+$H$15,MATCH($F$15,'Raw Pressure Data'!$1:$1,0))=-999,"",INDEX('Raw Pressure Data'!$A:$ZZ,$K$5+ROW()-26+$H$15,MATCH($F$15,'Raw Pressure Data'!$1:$1,0))+$G$15))),"")</f>
        <v/>
      </c>
      <c r="Y179" s="26">
        <f>IFERROR(IF($F$16="","",IF($K$5+ROW()-26&gt;$K$6,"",IF(INDEX('Raw Pressure Data'!$A:$ZZ,$K$5+ROW()-26+$H$16,MATCH($F$16,'Raw Pressure Data'!$1:$1,0))=-999,"",INDEX('Raw Pressure Data'!$A:$ZZ,$K$5+ROW()-26+$H$16,MATCH($F$16,'Raw Pressure Data'!$1:$1,0))+$G$16))),"")</f>
        <v/>
      </c>
      <c r="Z179" s="26">
        <f>IFERROR(IF($F$17="","",IF($K$5+ROW()-26&gt;$K$6,"",IF(INDEX('Raw Pressure Data'!$A:$ZZ,$K$5+ROW()-26+$H$17,MATCH($F$17,'Raw Pressure Data'!$1:$1,0))=-999,"",INDEX('Raw Pressure Data'!$A:$ZZ,$K$5+ROW()-26+$H$17,MATCH($F$17,'Raw Pressure Data'!$1:$1,0))+$G$17))),"")</f>
        <v/>
      </c>
      <c r="AA179" s="26">
        <f>IFERROR(IF($F$18="","",IF($K$5+ROW()-26&gt;$K$6,"",IF(INDEX('Raw Pressure Data'!$A:$ZZ,$K$5+ROW()-26+$H$18,MATCH($F$18,'Raw Pressure Data'!$1:$1,0))=-999,"",INDEX('Raw Pressure Data'!$A:$ZZ,$K$5+ROW()-26+$H$18,MATCH($F$18,'Raw Pressure Data'!$1:$1,0))+$G$18))),"")</f>
        <v/>
      </c>
      <c r="AB179" s="26">
        <f>IFERROR(IF($F$19="","",IF($K$5+ROW()-26&gt;$K$6,"",IF(INDEX('Raw Pressure Data'!$A:$ZZ,$K$5+ROW()-26+$H$19,MATCH($F$19,'Raw Pressure Data'!$1:$1,0))=-999,"",INDEX('Raw Pressure Data'!$A:$ZZ,$K$5+ROW()-26+$H$19,MATCH($F$19,'Raw Pressure Data'!$1:$1,0))+$G$19))),"")</f>
        <v/>
      </c>
      <c r="AC179" s="26">
        <f>IFERROR(IF($F$20="","",IF($K$5+ROW()-26&gt;$K$6,"",IF(INDEX('Raw Pressure Data'!$A:$ZZ,$K$5+ROW()-26+$H$20,MATCH($F$20,'Raw Pressure Data'!$1:$1,0))=-999,"",INDEX('Raw Pressure Data'!$A:$ZZ,$K$5+ROW()-26+$H$20,MATCH($F$20,'Raw Pressure Data'!$1:$1,0))+$G$20))),"")</f>
        <v/>
      </c>
      <c r="AD179" s="26">
        <f>IFERROR(IF($F$21="","",IF($K$5+ROW()-26&gt;$K$6,"",IF(INDEX('Raw Pressure Data'!$A:$ZZ,$K$5+ROW()-26+$H$21,MATCH($F$21,'Raw Pressure Data'!$1:$1,0))=-999,"",INDEX('Raw Pressure Data'!$A:$ZZ,$K$5+ROW()-26+$H$21,MATCH($F$21,'Raw Pressure Data'!$1:$1,0))+$G$21))),"")</f>
        <v/>
      </c>
      <c r="AE179" s="26">
        <f>IFERROR(IF($F$22="","",IF($K$5+ROW()-26&gt;$K$6,"",IF(INDEX('Raw Pressure Data'!$A:$ZZ,$K$5+ROW()-26+$H$22,MATCH($F$22,'Raw Pressure Data'!$1:$1,0))=-999,"",INDEX('Raw Pressure Data'!$A:$ZZ,$K$5+ROW()-26+$H$22,MATCH($F$22,'Raw Pressure Data'!$1:$1,0))+$G$22))),"")</f>
        <v/>
      </c>
    </row>
    <row r="180" ht="15" customHeight="1">
      <c r="A180" s="23">
        <f>IFERROR(IF($K$5+ROW()-26&gt;$K$6,"",IF(INDEX('Raw Flow Data'!$A:$A,$K$5+ROW()-26)="","",INDEX('Raw Flow Data'!$A:$A,$K$5+ROW()-26))),"")</f>
        <v/>
      </c>
      <c r="B180" s="24">
        <f>IFERROR(IF($B$3="","",IF($K$5+ROW()-26&gt;$K$6,"",IF(INDEX('Raw Flow Data'!$A:$ZZ,$K$5+ROW()-26+$D$3,MATCH($B$3,'Raw Flow Data'!$1:$1,0))=-999,"",INDEX('Raw Flow Data'!$A:$ZZ,$K$5+ROW()-26+$D$3,MATCH($B$3,'Raw Flow Data'!$1:$1,0))*$C$3))),"")</f>
        <v/>
      </c>
      <c r="C180" s="24">
        <f>IFERROR(IF($B$4="","",IF($K$5+ROW()-26&gt;$K$6,"",IF(INDEX('Raw Flow Data'!$A:$ZZ,$K$5+ROW()-26+$D$4,MATCH($B$4,'Raw Flow Data'!$1:$1,0))=-999,"",INDEX('Raw Flow Data'!$A:$ZZ,$K$5+ROW()-26+$D$4,MATCH($B$4,'Raw Flow Data'!$1:$1,0))*$C$4))),"")</f>
        <v/>
      </c>
      <c r="D180" s="24">
        <f>IFERROR(IF($B$5="","",IF($K$5+ROW()-26&gt;$K$6,"",IF(INDEX('Raw Flow Data'!$A:$ZZ,$K$5+ROW()-26+$D$5,MATCH($B$5,'Raw Flow Data'!$1:$1,0))=-999,"",INDEX('Raw Flow Data'!$A:$ZZ,$K$5+ROW()-26+$D$5,MATCH($B$5,'Raw Flow Data'!$1:$1,0))*$C$5))),"")</f>
        <v/>
      </c>
      <c r="E180" s="24">
        <f>IFERROR(IF($B$6="","",IF($K$5+ROW()-26&gt;$K$6,"",IF(INDEX('Raw Flow Data'!$A:$ZZ,$K$5+ROW()-26+$D$6,MATCH($B$6,'Raw Flow Data'!$1:$1,0))=-999,"",INDEX('Raw Flow Data'!$A:$ZZ,$K$5+ROW()-26+$D$6,MATCH($B$6,'Raw Flow Data'!$1:$1,0))*$C$6))),"")</f>
        <v/>
      </c>
      <c r="F180" s="24">
        <f>IFERROR(IF($B$7="","",IF($K$5+ROW()-26&gt;$K$6,"",IF(INDEX('Raw Flow Data'!$A:$ZZ,$K$5+ROW()-26+$D$7,MATCH($B$7,'Raw Flow Data'!$1:$1,0))=-999,"",INDEX('Raw Flow Data'!$A:$ZZ,$K$5+ROW()-26+$D$7,MATCH($B$7,'Raw Flow Data'!$1:$1,0))*$C$7))),"")</f>
        <v/>
      </c>
      <c r="G180" s="24">
        <f>IFERROR(IF($B$8="","",IF($K$5+ROW()-26&gt;$K$6,"",IF(INDEX('Raw Flow Data'!$A:$ZZ,$K$5+ROW()-26+$D$8,MATCH($B$8,'Raw Flow Data'!$1:$1,0))=-999,"",INDEX('Raw Flow Data'!$A:$ZZ,$K$5+ROW()-26+$D$8,MATCH($B$8,'Raw Flow Data'!$1:$1,0))*$C$8))),"")</f>
        <v/>
      </c>
      <c r="H180" s="24">
        <f>IFERROR(IF($B$9="","",IF($K$5+ROW()-26&gt;$K$6,"",IF(INDEX('Raw Flow Data'!$A:$ZZ,$K$5+ROW()-26+$D$9,MATCH($B$9,'Raw Flow Data'!$1:$1,0))=-999,"",INDEX('Raw Flow Data'!$A:$ZZ,$K$5+ROW()-26+$D$9,MATCH($B$9,'Raw Flow Data'!$1:$1,0))*$C$9))),"")</f>
        <v/>
      </c>
      <c r="I180" s="24">
        <f>IFERROR(IF($B$10="","",IF($K$5+ROW()-26&gt;$K$6,"",IF(INDEX('Raw Flow Data'!$A:$ZZ,$K$5+ROW()-26+$D$10,MATCH($B$10,'Raw Flow Data'!$1:$1,0))=-999,"",INDEX('Raw Flow Data'!$A:$ZZ,$K$5+ROW()-26+$D$10,MATCH($B$10,'Raw Flow Data'!$1:$1,0))*$C$10))),"")</f>
        <v/>
      </c>
      <c r="J180" s="24">
        <f>IFERROR(IF($B$11="","",IF($K$5+ROW()-26&gt;$K$6,"",IF(INDEX('Raw Flow Data'!$A:$ZZ,$K$5+ROW()-26+$D$11,MATCH($B$11,'Raw Flow Data'!$1:$1,0))=-999,"",INDEX('Raw Flow Data'!$A:$ZZ,$K$5+ROW()-26+$D$11,MATCH($B$11,'Raw Flow Data'!$1:$1,0))*$C$11))),"")</f>
        <v/>
      </c>
      <c r="K180" s="24">
        <f>IFERROR(IF($B$12="","",IF($K$5+ROW()-26&gt;$K$6,"",IF(INDEX('Raw Flow Data'!$A:$ZZ,$K$5+ROW()-26+$D$12,MATCH($B$12,'Raw Flow Data'!$1:$1,0))=-999,"",INDEX('Raw Flow Data'!$A:$ZZ,$K$5+ROW()-26+$D$12,MATCH($B$12,'Raw Flow Data'!$1:$1,0))*$C$12))),"")</f>
        <v/>
      </c>
      <c r="L180" s="24">
        <f>IFERROR(IF($F$3="","",IF($K$5+ROW()-26&gt;$K$6,"",IF(INDEX('Raw Pressure Data'!$A:$ZZ,$K$5+ROW()-26+$H$3,MATCH($F$3,'Raw Pressure Data'!$1:$1,0))=-999,"",INDEX('Raw Pressure Data'!$A:$ZZ,$K$5+ROW()-26+$H$3,MATCH($F$3,'Raw Pressure Data'!$1:$1,0))+$G$3))),"")</f>
        <v/>
      </c>
      <c r="M180" s="24">
        <f>IFERROR(IF($F$4="","",IF($K$5+ROW()-26&gt;$K$6,"",IF(INDEX('Raw Pressure Data'!$A:$ZZ,$K$5+ROW()-26+$H$4,MATCH($F$4,'Raw Pressure Data'!$1:$1,0))=-999,"",INDEX('Raw Pressure Data'!$A:$ZZ,$K$5+ROW()-26+$H$4,MATCH($F$4,'Raw Pressure Data'!$1:$1,0))+$G$4))),"")</f>
        <v/>
      </c>
      <c r="N180" s="24">
        <f>IFERROR(IF($F$5="","",IF($K$5+ROW()-26&gt;$K$6,"",IF(INDEX('Raw Pressure Data'!$A:$ZZ,$K$5+ROW()-26+$H$5,MATCH($F$5,'Raw Pressure Data'!$1:$1,0))=-999,"",INDEX('Raw Pressure Data'!$A:$ZZ,$K$5+ROW()-26+$H$5,MATCH($F$5,'Raw Pressure Data'!$1:$1,0))+$G$5))),"")</f>
        <v/>
      </c>
      <c r="O180" s="24">
        <f>IFERROR(IF($F$6="","",IF($K$5+ROW()-26&gt;$K$6,"",IF(INDEX('Raw Pressure Data'!$A:$ZZ,$K$5+ROW()-26+$H$6,MATCH($F$6,'Raw Pressure Data'!$1:$1,0))=-999,"",INDEX('Raw Pressure Data'!$A:$ZZ,$K$5+ROW()-26+$H$6,MATCH($F$6,'Raw Pressure Data'!$1:$1,0))+$G$6))),"")</f>
        <v/>
      </c>
      <c r="P180" s="24">
        <f>IFERROR(IF($F$7="","",IF($K$5+ROW()-26&gt;$K$6,"",IF(INDEX('Raw Pressure Data'!$A:$ZZ,$K$5+ROW()-26+$H$7,MATCH($F$7,'Raw Pressure Data'!$1:$1,0))=-999,"",INDEX('Raw Pressure Data'!$A:$ZZ,$K$5+ROW()-26+$H$7,MATCH($F$7,'Raw Pressure Data'!$1:$1,0))+$G$7))),"")</f>
        <v/>
      </c>
      <c r="Q180" s="24">
        <f>IFERROR(IF($F$8="","",IF($K$5+ROW()-26&gt;$K$6,"",IF(INDEX('Raw Pressure Data'!$A:$ZZ,$K$5+ROW()-26+$H$8,MATCH($F$8,'Raw Pressure Data'!$1:$1,0))=-999,"",INDEX('Raw Pressure Data'!$A:$ZZ,$K$5+ROW()-26+$H$8,MATCH($F$8,'Raw Pressure Data'!$1:$1,0))+$G$8))),"")</f>
        <v/>
      </c>
      <c r="R180" s="24">
        <f>IFERROR(IF($F$9="","",IF($K$5+ROW()-26&gt;$K$6,"",IF(INDEX('Raw Pressure Data'!$A:$ZZ,$K$5+ROW()-26+$H$9,MATCH($F$9,'Raw Pressure Data'!$1:$1,0))=-999,"",INDEX('Raw Pressure Data'!$A:$ZZ,$K$5+ROW()-26+$H$9,MATCH($F$9,'Raw Pressure Data'!$1:$1,0))+$G$9))),"")</f>
        <v/>
      </c>
      <c r="S180" s="24">
        <f>IFERROR(IF($F$10="","",IF($K$5+ROW()-26&gt;$K$6,"",IF(INDEX('Raw Pressure Data'!$A:$ZZ,$K$5+ROW()-26+$H$10,MATCH($F$10,'Raw Pressure Data'!$1:$1,0))=-999,"",INDEX('Raw Pressure Data'!$A:$ZZ,$K$5+ROW()-26+$H$10,MATCH($F$10,'Raw Pressure Data'!$1:$1,0))+$G$10))),"")</f>
        <v/>
      </c>
      <c r="T180" s="24">
        <f>IFERROR(IF($F$11="","",IF($K$5+ROW()-26&gt;$K$6,"",IF(INDEX('Raw Pressure Data'!$A:$ZZ,$K$5+ROW()-26+$H$11,MATCH($F$11,'Raw Pressure Data'!$1:$1,0))=-999,"",INDEX('Raw Pressure Data'!$A:$ZZ,$K$5+ROW()-26+$H$11,MATCH($F$11,'Raw Pressure Data'!$1:$1,0))+$G$11))),"")</f>
        <v/>
      </c>
      <c r="U180" s="24">
        <f>IFERROR(IF($F$12="","",IF($K$5+ROW()-26&gt;$K$6,"",IF(INDEX('Raw Pressure Data'!$A:$ZZ,$K$5+ROW()-26+$H$12,MATCH($F$12,'Raw Pressure Data'!$1:$1,0))=-999,"",INDEX('Raw Pressure Data'!$A:$ZZ,$K$5+ROW()-26+$H$12,MATCH($F$12,'Raw Pressure Data'!$1:$1,0))+$G$12))),"")</f>
        <v/>
      </c>
      <c r="V180" s="24">
        <f>IFERROR(IF($F$13="","",IF($K$5+ROW()-26&gt;$K$6,"",IF(INDEX('Raw Pressure Data'!$A:$ZZ,$K$5+ROW()-26+$H$13,MATCH($F$13,'Raw Pressure Data'!$1:$1,0))=-999,"",INDEX('Raw Pressure Data'!$A:$ZZ,$K$5+ROW()-26+$H$13,MATCH($F$13,'Raw Pressure Data'!$1:$1,0))+$G$13))),"")</f>
        <v/>
      </c>
      <c r="W180" s="24">
        <f>IFERROR(IF($F$14="","",IF($K$5+ROW()-26&gt;$K$6,"",IF(INDEX('Raw Pressure Data'!$A:$ZZ,$K$5+ROW()-26+$H$14,MATCH($F$14,'Raw Pressure Data'!$1:$1,0))=-999,"",INDEX('Raw Pressure Data'!$A:$ZZ,$K$5+ROW()-26+$H$14,MATCH($F$14,'Raw Pressure Data'!$1:$1,0))+$G$14))),"")</f>
        <v/>
      </c>
      <c r="X180" s="24">
        <f>IFERROR(IF($F$15="","",IF($K$5+ROW()-26&gt;$K$6,"",IF(INDEX('Raw Pressure Data'!$A:$ZZ,$K$5+ROW()-26+$H$15,MATCH($F$15,'Raw Pressure Data'!$1:$1,0))=-999,"",INDEX('Raw Pressure Data'!$A:$ZZ,$K$5+ROW()-26+$H$15,MATCH($F$15,'Raw Pressure Data'!$1:$1,0))+$G$15))),"")</f>
        <v/>
      </c>
      <c r="Y180" s="24">
        <f>IFERROR(IF($F$16="","",IF($K$5+ROW()-26&gt;$K$6,"",IF(INDEX('Raw Pressure Data'!$A:$ZZ,$K$5+ROW()-26+$H$16,MATCH($F$16,'Raw Pressure Data'!$1:$1,0))=-999,"",INDEX('Raw Pressure Data'!$A:$ZZ,$K$5+ROW()-26+$H$16,MATCH($F$16,'Raw Pressure Data'!$1:$1,0))+$G$16))),"")</f>
        <v/>
      </c>
      <c r="Z180" s="24">
        <f>IFERROR(IF($F$17="","",IF($K$5+ROW()-26&gt;$K$6,"",IF(INDEX('Raw Pressure Data'!$A:$ZZ,$K$5+ROW()-26+$H$17,MATCH($F$17,'Raw Pressure Data'!$1:$1,0))=-999,"",INDEX('Raw Pressure Data'!$A:$ZZ,$K$5+ROW()-26+$H$17,MATCH($F$17,'Raw Pressure Data'!$1:$1,0))+$G$17))),"")</f>
        <v/>
      </c>
      <c r="AA180" s="24">
        <f>IFERROR(IF($F$18="","",IF($K$5+ROW()-26&gt;$K$6,"",IF(INDEX('Raw Pressure Data'!$A:$ZZ,$K$5+ROW()-26+$H$18,MATCH($F$18,'Raw Pressure Data'!$1:$1,0))=-999,"",INDEX('Raw Pressure Data'!$A:$ZZ,$K$5+ROW()-26+$H$18,MATCH($F$18,'Raw Pressure Data'!$1:$1,0))+$G$18))),"")</f>
        <v/>
      </c>
      <c r="AB180" s="24">
        <f>IFERROR(IF($F$19="","",IF($K$5+ROW()-26&gt;$K$6,"",IF(INDEX('Raw Pressure Data'!$A:$ZZ,$K$5+ROW()-26+$H$19,MATCH($F$19,'Raw Pressure Data'!$1:$1,0))=-999,"",INDEX('Raw Pressure Data'!$A:$ZZ,$K$5+ROW()-26+$H$19,MATCH($F$19,'Raw Pressure Data'!$1:$1,0))+$G$19))),"")</f>
        <v/>
      </c>
      <c r="AC180" s="24">
        <f>IFERROR(IF($F$20="","",IF($K$5+ROW()-26&gt;$K$6,"",IF(INDEX('Raw Pressure Data'!$A:$ZZ,$K$5+ROW()-26+$H$20,MATCH($F$20,'Raw Pressure Data'!$1:$1,0))=-999,"",INDEX('Raw Pressure Data'!$A:$ZZ,$K$5+ROW()-26+$H$20,MATCH($F$20,'Raw Pressure Data'!$1:$1,0))+$G$20))),"")</f>
        <v/>
      </c>
      <c r="AD180" s="24">
        <f>IFERROR(IF($F$21="","",IF($K$5+ROW()-26&gt;$K$6,"",IF(INDEX('Raw Pressure Data'!$A:$ZZ,$K$5+ROW()-26+$H$21,MATCH($F$21,'Raw Pressure Data'!$1:$1,0))=-999,"",INDEX('Raw Pressure Data'!$A:$ZZ,$K$5+ROW()-26+$H$21,MATCH($F$21,'Raw Pressure Data'!$1:$1,0))+$G$21))),"")</f>
        <v/>
      </c>
      <c r="AE180" s="24">
        <f>IFERROR(IF($F$22="","",IF($K$5+ROW()-26&gt;$K$6,"",IF(INDEX('Raw Pressure Data'!$A:$ZZ,$K$5+ROW()-26+$H$22,MATCH($F$22,'Raw Pressure Data'!$1:$1,0))=-999,"",INDEX('Raw Pressure Data'!$A:$ZZ,$K$5+ROW()-26+$H$22,MATCH($F$22,'Raw Pressure Data'!$1:$1,0))+$G$22))),"")</f>
        <v/>
      </c>
    </row>
    <row r="181" ht="15" customHeight="1">
      <c r="A181" s="25">
        <f>IFERROR(IF($K$5+ROW()-26&gt;$K$6,"",IF(INDEX('Raw Flow Data'!$A:$A,$K$5+ROW()-26)="","",INDEX('Raw Flow Data'!$A:$A,$K$5+ROW()-26))),"")</f>
        <v/>
      </c>
      <c r="B181" s="26">
        <f>IFERROR(IF($B$3="","",IF($K$5+ROW()-26&gt;$K$6,"",IF(INDEX('Raw Flow Data'!$A:$ZZ,$K$5+ROW()-26+$D$3,MATCH($B$3,'Raw Flow Data'!$1:$1,0))=-999,"",INDEX('Raw Flow Data'!$A:$ZZ,$K$5+ROW()-26+$D$3,MATCH($B$3,'Raw Flow Data'!$1:$1,0))*$C$3))),"")</f>
        <v/>
      </c>
      <c r="C181" s="26">
        <f>IFERROR(IF($B$4="","",IF($K$5+ROW()-26&gt;$K$6,"",IF(INDEX('Raw Flow Data'!$A:$ZZ,$K$5+ROW()-26+$D$4,MATCH($B$4,'Raw Flow Data'!$1:$1,0))=-999,"",INDEX('Raw Flow Data'!$A:$ZZ,$K$5+ROW()-26+$D$4,MATCH($B$4,'Raw Flow Data'!$1:$1,0))*$C$4))),"")</f>
        <v/>
      </c>
      <c r="D181" s="26">
        <f>IFERROR(IF($B$5="","",IF($K$5+ROW()-26&gt;$K$6,"",IF(INDEX('Raw Flow Data'!$A:$ZZ,$K$5+ROW()-26+$D$5,MATCH($B$5,'Raw Flow Data'!$1:$1,0))=-999,"",INDEX('Raw Flow Data'!$A:$ZZ,$K$5+ROW()-26+$D$5,MATCH($B$5,'Raw Flow Data'!$1:$1,0))*$C$5))),"")</f>
        <v/>
      </c>
      <c r="E181" s="26">
        <f>IFERROR(IF($B$6="","",IF($K$5+ROW()-26&gt;$K$6,"",IF(INDEX('Raw Flow Data'!$A:$ZZ,$K$5+ROW()-26+$D$6,MATCH($B$6,'Raw Flow Data'!$1:$1,0))=-999,"",INDEX('Raw Flow Data'!$A:$ZZ,$K$5+ROW()-26+$D$6,MATCH($B$6,'Raw Flow Data'!$1:$1,0))*$C$6))),"")</f>
        <v/>
      </c>
      <c r="F181" s="26">
        <f>IFERROR(IF($B$7="","",IF($K$5+ROW()-26&gt;$K$6,"",IF(INDEX('Raw Flow Data'!$A:$ZZ,$K$5+ROW()-26+$D$7,MATCH($B$7,'Raw Flow Data'!$1:$1,0))=-999,"",INDEX('Raw Flow Data'!$A:$ZZ,$K$5+ROW()-26+$D$7,MATCH($B$7,'Raw Flow Data'!$1:$1,0))*$C$7))),"")</f>
        <v/>
      </c>
      <c r="G181" s="26">
        <f>IFERROR(IF($B$8="","",IF($K$5+ROW()-26&gt;$K$6,"",IF(INDEX('Raw Flow Data'!$A:$ZZ,$K$5+ROW()-26+$D$8,MATCH($B$8,'Raw Flow Data'!$1:$1,0))=-999,"",INDEX('Raw Flow Data'!$A:$ZZ,$K$5+ROW()-26+$D$8,MATCH($B$8,'Raw Flow Data'!$1:$1,0))*$C$8))),"")</f>
        <v/>
      </c>
      <c r="H181" s="26">
        <f>IFERROR(IF($B$9="","",IF($K$5+ROW()-26&gt;$K$6,"",IF(INDEX('Raw Flow Data'!$A:$ZZ,$K$5+ROW()-26+$D$9,MATCH($B$9,'Raw Flow Data'!$1:$1,0))=-999,"",INDEX('Raw Flow Data'!$A:$ZZ,$K$5+ROW()-26+$D$9,MATCH($B$9,'Raw Flow Data'!$1:$1,0))*$C$9))),"")</f>
        <v/>
      </c>
      <c r="I181" s="26">
        <f>IFERROR(IF($B$10="","",IF($K$5+ROW()-26&gt;$K$6,"",IF(INDEX('Raw Flow Data'!$A:$ZZ,$K$5+ROW()-26+$D$10,MATCH($B$10,'Raw Flow Data'!$1:$1,0))=-999,"",INDEX('Raw Flow Data'!$A:$ZZ,$K$5+ROW()-26+$D$10,MATCH($B$10,'Raw Flow Data'!$1:$1,0))*$C$10))),"")</f>
        <v/>
      </c>
      <c r="J181" s="26">
        <f>IFERROR(IF($B$11="","",IF($K$5+ROW()-26&gt;$K$6,"",IF(INDEX('Raw Flow Data'!$A:$ZZ,$K$5+ROW()-26+$D$11,MATCH($B$11,'Raw Flow Data'!$1:$1,0))=-999,"",INDEX('Raw Flow Data'!$A:$ZZ,$K$5+ROW()-26+$D$11,MATCH($B$11,'Raw Flow Data'!$1:$1,0))*$C$11))),"")</f>
        <v/>
      </c>
      <c r="K181" s="26">
        <f>IFERROR(IF($B$12="","",IF($K$5+ROW()-26&gt;$K$6,"",IF(INDEX('Raw Flow Data'!$A:$ZZ,$K$5+ROW()-26+$D$12,MATCH($B$12,'Raw Flow Data'!$1:$1,0))=-999,"",INDEX('Raw Flow Data'!$A:$ZZ,$K$5+ROW()-26+$D$12,MATCH($B$12,'Raw Flow Data'!$1:$1,0))*$C$12))),"")</f>
        <v/>
      </c>
      <c r="L181" s="26">
        <f>IFERROR(IF($F$3="","",IF($K$5+ROW()-26&gt;$K$6,"",IF(INDEX('Raw Pressure Data'!$A:$ZZ,$K$5+ROW()-26+$H$3,MATCH($F$3,'Raw Pressure Data'!$1:$1,0))=-999,"",INDEX('Raw Pressure Data'!$A:$ZZ,$K$5+ROW()-26+$H$3,MATCH($F$3,'Raw Pressure Data'!$1:$1,0))+$G$3))),"")</f>
        <v/>
      </c>
      <c r="M181" s="26">
        <f>IFERROR(IF($F$4="","",IF($K$5+ROW()-26&gt;$K$6,"",IF(INDEX('Raw Pressure Data'!$A:$ZZ,$K$5+ROW()-26+$H$4,MATCH($F$4,'Raw Pressure Data'!$1:$1,0))=-999,"",INDEX('Raw Pressure Data'!$A:$ZZ,$K$5+ROW()-26+$H$4,MATCH($F$4,'Raw Pressure Data'!$1:$1,0))+$G$4))),"")</f>
        <v/>
      </c>
      <c r="N181" s="26">
        <f>IFERROR(IF($F$5="","",IF($K$5+ROW()-26&gt;$K$6,"",IF(INDEX('Raw Pressure Data'!$A:$ZZ,$K$5+ROW()-26+$H$5,MATCH($F$5,'Raw Pressure Data'!$1:$1,0))=-999,"",INDEX('Raw Pressure Data'!$A:$ZZ,$K$5+ROW()-26+$H$5,MATCH($F$5,'Raw Pressure Data'!$1:$1,0))+$G$5))),"")</f>
        <v/>
      </c>
      <c r="O181" s="26">
        <f>IFERROR(IF($F$6="","",IF($K$5+ROW()-26&gt;$K$6,"",IF(INDEX('Raw Pressure Data'!$A:$ZZ,$K$5+ROW()-26+$H$6,MATCH($F$6,'Raw Pressure Data'!$1:$1,0))=-999,"",INDEX('Raw Pressure Data'!$A:$ZZ,$K$5+ROW()-26+$H$6,MATCH($F$6,'Raw Pressure Data'!$1:$1,0))+$G$6))),"")</f>
        <v/>
      </c>
      <c r="P181" s="26">
        <f>IFERROR(IF($F$7="","",IF($K$5+ROW()-26&gt;$K$6,"",IF(INDEX('Raw Pressure Data'!$A:$ZZ,$K$5+ROW()-26+$H$7,MATCH($F$7,'Raw Pressure Data'!$1:$1,0))=-999,"",INDEX('Raw Pressure Data'!$A:$ZZ,$K$5+ROW()-26+$H$7,MATCH($F$7,'Raw Pressure Data'!$1:$1,0))+$G$7))),"")</f>
        <v/>
      </c>
      <c r="Q181" s="26">
        <f>IFERROR(IF($F$8="","",IF($K$5+ROW()-26&gt;$K$6,"",IF(INDEX('Raw Pressure Data'!$A:$ZZ,$K$5+ROW()-26+$H$8,MATCH($F$8,'Raw Pressure Data'!$1:$1,0))=-999,"",INDEX('Raw Pressure Data'!$A:$ZZ,$K$5+ROW()-26+$H$8,MATCH($F$8,'Raw Pressure Data'!$1:$1,0))+$G$8))),"")</f>
        <v/>
      </c>
      <c r="R181" s="26">
        <f>IFERROR(IF($F$9="","",IF($K$5+ROW()-26&gt;$K$6,"",IF(INDEX('Raw Pressure Data'!$A:$ZZ,$K$5+ROW()-26+$H$9,MATCH($F$9,'Raw Pressure Data'!$1:$1,0))=-999,"",INDEX('Raw Pressure Data'!$A:$ZZ,$K$5+ROW()-26+$H$9,MATCH($F$9,'Raw Pressure Data'!$1:$1,0))+$G$9))),"")</f>
        <v/>
      </c>
      <c r="S181" s="26">
        <f>IFERROR(IF($F$10="","",IF($K$5+ROW()-26&gt;$K$6,"",IF(INDEX('Raw Pressure Data'!$A:$ZZ,$K$5+ROW()-26+$H$10,MATCH($F$10,'Raw Pressure Data'!$1:$1,0))=-999,"",INDEX('Raw Pressure Data'!$A:$ZZ,$K$5+ROW()-26+$H$10,MATCH($F$10,'Raw Pressure Data'!$1:$1,0))+$G$10))),"")</f>
        <v/>
      </c>
      <c r="T181" s="26">
        <f>IFERROR(IF($F$11="","",IF($K$5+ROW()-26&gt;$K$6,"",IF(INDEX('Raw Pressure Data'!$A:$ZZ,$K$5+ROW()-26+$H$11,MATCH($F$11,'Raw Pressure Data'!$1:$1,0))=-999,"",INDEX('Raw Pressure Data'!$A:$ZZ,$K$5+ROW()-26+$H$11,MATCH($F$11,'Raw Pressure Data'!$1:$1,0))+$G$11))),"")</f>
        <v/>
      </c>
      <c r="U181" s="26">
        <f>IFERROR(IF($F$12="","",IF($K$5+ROW()-26&gt;$K$6,"",IF(INDEX('Raw Pressure Data'!$A:$ZZ,$K$5+ROW()-26+$H$12,MATCH($F$12,'Raw Pressure Data'!$1:$1,0))=-999,"",INDEX('Raw Pressure Data'!$A:$ZZ,$K$5+ROW()-26+$H$12,MATCH($F$12,'Raw Pressure Data'!$1:$1,0))+$G$12))),"")</f>
        <v/>
      </c>
      <c r="V181" s="26">
        <f>IFERROR(IF($F$13="","",IF($K$5+ROW()-26&gt;$K$6,"",IF(INDEX('Raw Pressure Data'!$A:$ZZ,$K$5+ROW()-26+$H$13,MATCH($F$13,'Raw Pressure Data'!$1:$1,0))=-999,"",INDEX('Raw Pressure Data'!$A:$ZZ,$K$5+ROW()-26+$H$13,MATCH($F$13,'Raw Pressure Data'!$1:$1,0))+$G$13))),"")</f>
        <v/>
      </c>
      <c r="W181" s="26">
        <f>IFERROR(IF($F$14="","",IF($K$5+ROW()-26&gt;$K$6,"",IF(INDEX('Raw Pressure Data'!$A:$ZZ,$K$5+ROW()-26+$H$14,MATCH($F$14,'Raw Pressure Data'!$1:$1,0))=-999,"",INDEX('Raw Pressure Data'!$A:$ZZ,$K$5+ROW()-26+$H$14,MATCH($F$14,'Raw Pressure Data'!$1:$1,0))+$G$14))),"")</f>
        <v/>
      </c>
      <c r="X181" s="26">
        <f>IFERROR(IF($F$15="","",IF($K$5+ROW()-26&gt;$K$6,"",IF(INDEX('Raw Pressure Data'!$A:$ZZ,$K$5+ROW()-26+$H$15,MATCH($F$15,'Raw Pressure Data'!$1:$1,0))=-999,"",INDEX('Raw Pressure Data'!$A:$ZZ,$K$5+ROW()-26+$H$15,MATCH($F$15,'Raw Pressure Data'!$1:$1,0))+$G$15))),"")</f>
        <v/>
      </c>
      <c r="Y181" s="26">
        <f>IFERROR(IF($F$16="","",IF($K$5+ROW()-26&gt;$K$6,"",IF(INDEX('Raw Pressure Data'!$A:$ZZ,$K$5+ROW()-26+$H$16,MATCH($F$16,'Raw Pressure Data'!$1:$1,0))=-999,"",INDEX('Raw Pressure Data'!$A:$ZZ,$K$5+ROW()-26+$H$16,MATCH($F$16,'Raw Pressure Data'!$1:$1,0))+$G$16))),"")</f>
        <v/>
      </c>
      <c r="Z181" s="26">
        <f>IFERROR(IF($F$17="","",IF($K$5+ROW()-26&gt;$K$6,"",IF(INDEX('Raw Pressure Data'!$A:$ZZ,$K$5+ROW()-26+$H$17,MATCH($F$17,'Raw Pressure Data'!$1:$1,0))=-999,"",INDEX('Raw Pressure Data'!$A:$ZZ,$K$5+ROW()-26+$H$17,MATCH($F$17,'Raw Pressure Data'!$1:$1,0))+$G$17))),"")</f>
        <v/>
      </c>
      <c r="AA181" s="26">
        <f>IFERROR(IF($F$18="","",IF($K$5+ROW()-26&gt;$K$6,"",IF(INDEX('Raw Pressure Data'!$A:$ZZ,$K$5+ROW()-26+$H$18,MATCH($F$18,'Raw Pressure Data'!$1:$1,0))=-999,"",INDEX('Raw Pressure Data'!$A:$ZZ,$K$5+ROW()-26+$H$18,MATCH($F$18,'Raw Pressure Data'!$1:$1,0))+$G$18))),"")</f>
        <v/>
      </c>
      <c r="AB181" s="26">
        <f>IFERROR(IF($F$19="","",IF($K$5+ROW()-26&gt;$K$6,"",IF(INDEX('Raw Pressure Data'!$A:$ZZ,$K$5+ROW()-26+$H$19,MATCH($F$19,'Raw Pressure Data'!$1:$1,0))=-999,"",INDEX('Raw Pressure Data'!$A:$ZZ,$K$5+ROW()-26+$H$19,MATCH($F$19,'Raw Pressure Data'!$1:$1,0))+$G$19))),"")</f>
        <v/>
      </c>
      <c r="AC181" s="26">
        <f>IFERROR(IF($F$20="","",IF($K$5+ROW()-26&gt;$K$6,"",IF(INDEX('Raw Pressure Data'!$A:$ZZ,$K$5+ROW()-26+$H$20,MATCH($F$20,'Raw Pressure Data'!$1:$1,0))=-999,"",INDEX('Raw Pressure Data'!$A:$ZZ,$K$5+ROW()-26+$H$20,MATCH($F$20,'Raw Pressure Data'!$1:$1,0))+$G$20))),"")</f>
        <v/>
      </c>
      <c r="AD181" s="26">
        <f>IFERROR(IF($F$21="","",IF($K$5+ROW()-26&gt;$K$6,"",IF(INDEX('Raw Pressure Data'!$A:$ZZ,$K$5+ROW()-26+$H$21,MATCH($F$21,'Raw Pressure Data'!$1:$1,0))=-999,"",INDEX('Raw Pressure Data'!$A:$ZZ,$K$5+ROW()-26+$H$21,MATCH($F$21,'Raw Pressure Data'!$1:$1,0))+$G$21))),"")</f>
        <v/>
      </c>
      <c r="AE181" s="26">
        <f>IFERROR(IF($F$22="","",IF($K$5+ROW()-26&gt;$K$6,"",IF(INDEX('Raw Pressure Data'!$A:$ZZ,$K$5+ROW()-26+$H$22,MATCH($F$22,'Raw Pressure Data'!$1:$1,0))=-999,"",INDEX('Raw Pressure Data'!$A:$ZZ,$K$5+ROW()-26+$H$22,MATCH($F$22,'Raw Pressure Data'!$1:$1,0))+$G$22))),"")</f>
        <v/>
      </c>
    </row>
    <row r="182" ht="15" customHeight="1">
      <c r="A182" s="23">
        <f>IFERROR(IF($K$5+ROW()-26&gt;$K$6,"",IF(INDEX('Raw Flow Data'!$A:$A,$K$5+ROW()-26)="","",INDEX('Raw Flow Data'!$A:$A,$K$5+ROW()-26))),"")</f>
        <v/>
      </c>
      <c r="B182" s="24">
        <f>IFERROR(IF($B$3="","",IF($K$5+ROW()-26&gt;$K$6,"",IF(INDEX('Raw Flow Data'!$A:$ZZ,$K$5+ROW()-26+$D$3,MATCH($B$3,'Raw Flow Data'!$1:$1,0))=-999,"",INDEX('Raw Flow Data'!$A:$ZZ,$K$5+ROW()-26+$D$3,MATCH($B$3,'Raw Flow Data'!$1:$1,0))*$C$3))),"")</f>
        <v/>
      </c>
      <c r="C182" s="24">
        <f>IFERROR(IF($B$4="","",IF($K$5+ROW()-26&gt;$K$6,"",IF(INDEX('Raw Flow Data'!$A:$ZZ,$K$5+ROW()-26+$D$4,MATCH($B$4,'Raw Flow Data'!$1:$1,0))=-999,"",INDEX('Raw Flow Data'!$A:$ZZ,$K$5+ROW()-26+$D$4,MATCH($B$4,'Raw Flow Data'!$1:$1,0))*$C$4))),"")</f>
        <v/>
      </c>
      <c r="D182" s="24">
        <f>IFERROR(IF($B$5="","",IF($K$5+ROW()-26&gt;$K$6,"",IF(INDEX('Raw Flow Data'!$A:$ZZ,$K$5+ROW()-26+$D$5,MATCH($B$5,'Raw Flow Data'!$1:$1,0))=-999,"",INDEX('Raw Flow Data'!$A:$ZZ,$K$5+ROW()-26+$D$5,MATCH($B$5,'Raw Flow Data'!$1:$1,0))*$C$5))),"")</f>
        <v/>
      </c>
      <c r="E182" s="24">
        <f>IFERROR(IF($B$6="","",IF($K$5+ROW()-26&gt;$K$6,"",IF(INDEX('Raw Flow Data'!$A:$ZZ,$K$5+ROW()-26+$D$6,MATCH($B$6,'Raw Flow Data'!$1:$1,0))=-999,"",INDEX('Raw Flow Data'!$A:$ZZ,$K$5+ROW()-26+$D$6,MATCH($B$6,'Raw Flow Data'!$1:$1,0))*$C$6))),"")</f>
        <v/>
      </c>
      <c r="F182" s="24">
        <f>IFERROR(IF($B$7="","",IF($K$5+ROW()-26&gt;$K$6,"",IF(INDEX('Raw Flow Data'!$A:$ZZ,$K$5+ROW()-26+$D$7,MATCH($B$7,'Raw Flow Data'!$1:$1,0))=-999,"",INDEX('Raw Flow Data'!$A:$ZZ,$K$5+ROW()-26+$D$7,MATCH($B$7,'Raw Flow Data'!$1:$1,0))*$C$7))),"")</f>
        <v/>
      </c>
      <c r="G182" s="24">
        <f>IFERROR(IF($B$8="","",IF($K$5+ROW()-26&gt;$K$6,"",IF(INDEX('Raw Flow Data'!$A:$ZZ,$K$5+ROW()-26+$D$8,MATCH($B$8,'Raw Flow Data'!$1:$1,0))=-999,"",INDEX('Raw Flow Data'!$A:$ZZ,$K$5+ROW()-26+$D$8,MATCH($B$8,'Raw Flow Data'!$1:$1,0))*$C$8))),"")</f>
        <v/>
      </c>
      <c r="H182" s="24">
        <f>IFERROR(IF($B$9="","",IF($K$5+ROW()-26&gt;$K$6,"",IF(INDEX('Raw Flow Data'!$A:$ZZ,$K$5+ROW()-26+$D$9,MATCH($B$9,'Raw Flow Data'!$1:$1,0))=-999,"",INDEX('Raw Flow Data'!$A:$ZZ,$K$5+ROW()-26+$D$9,MATCH($B$9,'Raw Flow Data'!$1:$1,0))*$C$9))),"")</f>
        <v/>
      </c>
      <c r="I182" s="24">
        <f>IFERROR(IF($B$10="","",IF($K$5+ROW()-26&gt;$K$6,"",IF(INDEX('Raw Flow Data'!$A:$ZZ,$K$5+ROW()-26+$D$10,MATCH($B$10,'Raw Flow Data'!$1:$1,0))=-999,"",INDEX('Raw Flow Data'!$A:$ZZ,$K$5+ROW()-26+$D$10,MATCH($B$10,'Raw Flow Data'!$1:$1,0))*$C$10))),"")</f>
        <v/>
      </c>
      <c r="J182" s="24">
        <f>IFERROR(IF($B$11="","",IF($K$5+ROW()-26&gt;$K$6,"",IF(INDEX('Raw Flow Data'!$A:$ZZ,$K$5+ROW()-26+$D$11,MATCH($B$11,'Raw Flow Data'!$1:$1,0))=-999,"",INDEX('Raw Flow Data'!$A:$ZZ,$K$5+ROW()-26+$D$11,MATCH($B$11,'Raw Flow Data'!$1:$1,0))*$C$11))),"")</f>
        <v/>
      </c>
      <c r="K182" s="24">
        <f>IFERROR(IF($B$12="","",IF($K$5+ROW()-26&gt;$K$6,"",IF(INDEX('Raw Flow Data'!$A:$ZZ,$K$5+ROW()-26+$D$12,MATCH($B$12,'Raw Flow Data'!$1:$1,0))=-999,"",INDEX('Raw Flow Data'!$A:$ZZ,$K$5+ROW()-26+$D$12,MATCH($B$12,'Raw Flow Data'!$1:$1,0))*$C$12))),"")</f>
        <v/>
      </c>
      <c r="L182" s="24">
        <f>IFERROR(IF($F$3="","",IF($K$5+ROW()-26&gt;$K$6,"",IF(INDEX('Raw Pressure Data'!$A:$ZZ,$K$5+ROW()-26+$H$3,MATCH($F$3,'Raw Pressure Data'!$1:$1,0))=-999,"",INDEX('Raw Pressure Data'!$A:$ZZ,$K$5+ROW()-26+$H$3,MATCH($F$3,'Raw Pressure Data'!$1:$1,0))+$G$3))),"")</f>
        <v/>
      </c>
      <c r="M182" s="24">
        <f>IFERROR(IF($F$4="","",IF($K$5+ROW()-26&gt;$K$6,"",IF(INDEX('Raw Pressure Data'!$A:$ZZ,$K$5+ROW()-26+$H$4,MATCH($F$4,'Raw Pressure Data'!$1:$1,0))=-999,"",INDEX('Raw Pressure Data'!$A:$ZZ,$K$5+ROW()-26+$H$4,MATCH($F$4,'Raw Pressure Data'!$1:$1,0))+$G$4))),"")</f>
        <v/>
      </c>
      <c r="N182" s="24">
        <f>IFERROR(IF($F$5="","",IF($K$5+ROW()-26&gt;$K$6,"",IF(INDEX('Raw Pressure Data'!$A:$ZZ,$K$5+ROW()-26+$H$5,MATCH($F$5,'Raw Pressure Data'!$1:$1,0))=-999,"",INDEX('Raw Pressure Data'!$A:$ZZ,$K$5+ROW()-26+$H$5,MATCH($F$5,'Raw Pressure Data'!$1:$1,0))+$G$5))),"")</f>
        <v/>
      </c>
      <c r="O182" s="24">
        <f>IFERROR(IF($F$6="","",IF($K$5+ROW()-26&gt;$K$6,"",IF(INDEX('Raw Pressure Data'!$A:$ZZ,$K$5+ROW()-26+$H$6,MATCH($F$6,'Raw Pressure Data'!$1:$1,0))=-999,"",INDEX('Raw Pressure Data'!$A:$ZZ,$K$5+ROW()-26+$H$6,MATCH($F$6,'Raw Pressure Data'!$1:$1,0))+$G$6))),"")</f>
        <v/>
      </c>
      <c r="P182" s="24">
        <f>IFERROR(IF($F$7="","",IF($K$5+ROW()-26&gt;$K$6,"",IF(INDEX('Raw Pressure Data'!$A:$ZZ,$K$5+ROW()-26+$H$7,MATCH($F$7,'Raw Pressure Data'!$1:$1,0))=-999,"",INDEX('Raw Pressure Data'!$A:$ZZ,$K$5+ROW()-26+$H$7,MATCH($F$7,'Raw Pressure Data'!$1:$1,0))+$G$7))),"")</f>
        <v/>
      </c>
      <c r="Q182" s="24">
        <f>IFERROR(IF($F$8="","",IF($K$5+ROW()-26&gt;$K$6,"",IF(INDEX('Raw Pressure Data'!$A:$ZZ,$K$5+ROW()-26+$H$8,MATCH($F$8,'Raw Pressure Data'!$1:$1,0))=-999,"",INDEX('Raw Pressure Data'!$A:$ZZ,$K$5+ROW()-26+$H$8,MATCH($F$8,'Raw Pressure Data'!$1:$1,0))+$G$8))),"")</f>
        <v/>
      </c>
      <c r="R182" s="24">
        <f>IFERROR(IF($F$9="","",IF($K$5+ROW()-26&gt;$K$6,"",IF(INDEX('Raw Pressure Data'!$A:$ZZ,$K$5+ROW()-26+$H$9,MATCH($F$9,'Raw Pressure Data'!$1:$1,0))=-999,"",INDEX('Raw Pressure Data'!$A:$ZZ,$K$5+ROW()-26+$H$9,MATCH($F$9,'Raw Pressure Data'!$1:$1,0))+$G$9))),"")</f>
        <v/>
      </c>
      <c r="S182" s="24">
        <f>IFERROR(IF($F$10="","",IF($K$5+ROW()-26&gt;$K$6,"",IF(INDEX('Raw Pressure Data'!$A:$ZZ,$K$5+ROW()-26+$H$10,MATCH($F$10,'Raw Pressure Data'!$1:$1,0))=-999,"",INDEX('Raw Pressure Data'!$A:$ZZ,$K$5+ROW()-26+$H$10,MATCH($F$10,'Raw Pressure Data'!$1:$1,0))+$G$10))),"")</f>
        <v/>
      </c>
      <c r="T182" s="24">
        <f>IFERROR(IF($F$11="","",IF($K$5+ROW()-26&gt;$K$6,"",IF(INDEX('Raw Pressure Data'!$A:$ZZ,$K$5+ROW()-26+$H$11,MATCH($F$11,'Raw Pressure Data'!$1:$1,0))=-999,"",INDEX('Raw Pressure Data'!$A:$ZZ,$K$5+ROW()-26+$H$11,MATCH($F$11,'Raw Pressure Data'!$1:$1,0))+$G$11))),"")</f>
        <v/>
      </c>
      <c r="U182" s="24">
        <f>IFERROR(IF($F$12="","",IF($K$5+ROW()-26&gt;$K$6,"",IF(INDEX('Raw Pressure Data'!$A:$ZZ,$K$5+ROW()-26+$H$12,MATCH($F$12,'Raw Pressure Data'!$1:$1,0))=-999,"",INDEX('Raw Pressure Data'!$A:$ZZ,$K$5+ROW()-26+$H$12,MATCH($F$12,'Raw Pressure Data'!$1:$1,0))+$G$12))),"")</f>
        <v/>
      </c>
      <c r="V182" s="24">
        <f>IFERROR(IF($F$13="","",IF($K$5+ROW()-26&gt;$K$6,"",IF(INDEX('Raw Pressure Data'!$A:$ZZ,$K$5+ROW()-26+$H$13,MATCH($F$13,'Raw Pressure Data'!$1:$1,0))=-999,"",INDEX('Raw Pressure Data'!$A:$ZZ,$K$5+ROW()-26+$H$13,MATCH($F$13,'Raw Pressure Data'!$1:$1,0))+$G$13))),"")</f>
        <v/>
      </c>
      <c r="W182" s="24">
        <f>IFERROR(IF($F$14="","",IF($K$5+ROW()-26&gt;$K$6,"",IF(INDEX('Raw Pressure Data'!$A:$ZZ,$K$5+ROW()-26+$H$14,MATCH($F$14,'Raw Pressure Data'!$1:$1,0))=-999,"",INDEX('Raw Pressure Data'!$A:$ZZ,$K$5+ROW()-26+$H$14,MATCH($F$14,'Raw Pressure Data'!$1:$1,0))+$G$14))),"")</f>
        <v/>
      </c>
      <c r="X182" s="24">
        <f>IFERROR(IF($F$15="","",IF($K$5+ROW()-26&gt;$K$6,"",IF(INDEX('Raw Pressure Data'!$A:$ZZ,$K$5+ROW()-26+$H$15,MATCH($F$15,'Raw Pressure Data'!$1:$1,0))=-999,"",INDEX('Raw Pressure Data'!$A:$ZZ,$K$5+ROW()-26+$H$15,MATCH($F$15,'Raw Pressure Data'!$1:$1,0))+$G$15))),"")</f>
        <v/>
      </c>
      <c r="Y182" s="24">
        <f>IFERROR(IF($F$16="","",IF($K$5+ROW()-26&gt;$K$6,"",IF(INDEX('Raw Pressure Data'!$A:$ZZ,$K$5+ROW()-26+$H$16,MATCH($F$16,'Raw Pressure Data'!$1:$1,0))=-999,"",INDEX('Raw Pressure Data'!$A:$ZZ,$K$5+ROW()-26+$H$16,MATCH($F$16,'Raw Pressure Data'!$1:$1,0))+$G$16))),"")</f>
        <v/>
      </c>
      <c r="Z182" s="24">
        <f>IFERROR(IF($F$17="","",IF($K$5+ROW()-26&gt;$K$6,"",IF(INDEX('Raw Pressure Data'!$A:$ZZ,$K$5+ROW()-26+$H$17,MATCH($F$17,'Raw Pressure Data'!$1:$1,0))=-999,"",INDEX('Raw Pressure Data'!$A:$ZZ,$K$5+ROW()-26+$H$17,MATCH($F$17,'Raw Pressure Data'!$1:$1,0))+$G$17))),"")</f>
        <v/>
      </c>
      <c r="AA182" s="24">
        <f>IFERROR(IF($F$18="","",IF($K$5+ROW()-26&gt;$K$6,"",IF(INDEX('Raw Pressure Data'!$A:$ZZ,$K$5+ROW()-26+$H$18,MATCH($F$18,'Raw Pressure Data'!$1:$1,0))=-999,"",INDEX('Raw Pressure Data'!$A:$ZZ,$K$5+ROW()-26+$H$18,MATCH($F$18,'Raw Pressure Data'!$1:$1,0))+$G$18))),"")</f>
        <v/>
      </c>
      <c r="AB182" s="24">
        <f>IFERROR(IF($F$19="","",IF($K$5+ROW()-26&gt;$K$6,"",IF(INDEX('Raw Pressure Data'!$A:$ZZ,$K$5+ROW()-26+$H$19,MATCH($F$19,'Raw Pressure Data'!$1:$1,0))=-999,"",INDEX('Raw Pressure Data'!$A:$ZZ,$K$5+ROW()-26+$H$19,MATCH($F$19,'Raw Pressure Data'!$1:$1,0))+$G$19))),"")</f>
        <v/>
      </c>
      <c r="AC182" s="24">
        <f>IFERROR(IF($F$20="","",IF($K$5+ROW()-26&gt;$K$6,"",IF(INDEX('Raw Pressure Data'!$A:$ZZ,$K$5+ROW()-26+$H$20,MATCH($F$20,'Raw Pressure Data'!$1:$1,0))=-999,"",INDEX('Raw Pressure Data'!$A:$ZZ,$K$5+ROW()-26+$H$20,MATCH($F$20,'Raw Pressure Data'!$1:$1,0))+$G$20))),"")</f>
        <v/>
      </c>
      <c r="AD182" s="24">
        <f>IFERROR(IF($F$21="","",IF($K$5+ROW()-26&gt;$K$6,"",IF(INDEX('Raw Pressure Data'!$A:$ZZ,$K$5+ROW()-26+$H$21,MATCH($F$21,'Raw Pressure Data'!$1:$1,0))=-999,"",INDEX('Raw Pressure Data'!$A:$ZZ,$K$5+ROW()-26+$H$21,MATCH($F$21,'Raw Pressure Data'!$1:$1,0))+$G$21))),"")</f>
        <v/>
      </c>
      <c r="AE182" s="24">
        <f>IFERROR(IF($F$22="","",IF($K$5+ROW()-26&gt;$K$6,"",IF(INDEX('Raw Pressure Data'!$A:$ZZ,$K$5+ROW()-26+$H$22,MATCH($F$22,'Raw Pressure Data'!$1:$1,0))=-999,"",INDEX('Raw Pressure Data'!$A:$ZZ,$K$5+ROW()-26+$H$22,MATCH($F$22,'Raw Pressure Data'!$1:$1,0))+$G$22))),"")</f>
        <v/>
      </c>
    </row>
    <row r="183" ht="15" customHeight="1">
      <c r="A183" s="25">
        <f>IFERROR(IF($K$5+ROW()-26&gt;$K$6,"",IF(INDEX('Raw Flow Data'!$A:$A,$K$5+ROW()-26)="","",INDEX('Raw Flow Data'!$A:$A,$K$5+ROW()-26))),"")</f>
        <v/>
      </c>
      <c r="B183" s="26">
        <f>IFERROR(IF($B$3="","",IF($K$5+ROW()-26&gt;$K$6,"",IF(INDEX('Raw Flow Data'!$A:$ZZ,$K$5+ROW()-26+$D$3,MATCH($B$3,'Raw Flow Data'!$1:$1,0))=-999,"",INDEX('Raw Flow Data'!$A:$ZZ,$K$5+ROW()-26+$D$3,MATCH($B$3,'Raw Flow Data'!$1:$1,0))*$C$3))),"")</f>
        <v/>
      </c>
      <c r="C183" s="26">
        <f>IFERROR(IF($B$4="","",IF($K$5+ROW()-26&gt;$K$6,"",IF(INDEX('Raw Flow Data'!$A:$ZZ,$K$5+ROW()-26+$D$4,MATCH($B$4,'Raw Flow Data'!$1:$1,0))=-999,"",INDEX('Raw Flow Data'!$A:$ZZ,$K$5+ROW()-26+$D$4,MATCH($B$4,'Raw Flow Data'!$1:$1,0))*$C$4))),"")</f>
        <v/>
      </c>
      <c r="D183" s="26">
        <f>IFERROR(IF($B$5="","",IF($K$5+ROW()-26&gt;$K$6,"",IF(INDEX('Raw Flow Data'!$A:$ZZ,$K$5+ROW()-26+$D$5,MATCH($B$5,'Raw Flow Data'!$1:$1,0))=-999,"",INDEX('Raw Flow Data'!$A:$ZZ,$K$5+ROW()-26+$D$5,MATCH($B$5,'Raw Flow Data'!$1:$1,0))*$C$5))),"")</f>
        <v/>
      </c>
      <c r="E183" s="26">
        <f>IFERROR(IF($B$6="","",IF($K$5+ROW()-26&gt;$K$6,"",IF(INDEX('Raw Flow Data'!$A:$ZZ,$K$5+ROW()-26+$D$6,MATCH($B$6,'Raw Flow Data'!$1:$1,0))=-999,"",INDEX('Raw Flow Data'!$A:$ZZ,$K$5+ROW()-26+$D$6,MATCH($B$6,'Raw Flow Data'!$1:$1,0))*$C$6))),"")</f>
        <v/>
      </c>
      <c r="F183" s="26">
        <f>IFERROR(IF($B$7="","",IF($K$5+ROW()-26&gt;$K$6,"",IF(INDEX('Raw Flow Data'!$A:$ZZ,$K$5+ROW()-26+$D$7,MATCH($B$7,'Raw Flow Data'!$1:$1,0))=-999,"",INDEX('Raw Flow Data'!$A:$ZZ,$K$5+ROW()-26+$D$7,MATCH($B$7,'Raw Flow Data'!$1:$1,0))*$C$7))),"")</f>
        <v/>
      </c>
      <c r="G183" s="26">
        <f>IFERROR(IF($B$8="","",IF($K$5+ROW()-26&gt;$K$6,"",IF(INDEX('Raw Flow Data'!$A:$ZZ,$K$5+ROW()-26+$D$8,MATCH($B$8,'Raw Flow Data'!$1:$1,0))=-999,"",INDEX('Raw Flow Data'!$A:$ZZ,$K$5+ROW()-26+$D$8,MATCH($B$8,'Raw Flow Data'!$1:$1,0))*$C$8))),"")</f>
        <v/>
      </c>
      <c r="H183" s="26">
        <f>IFERROR(IF($B$9="","",IF($K$5+ROW()-26&gt;$K$6,"",IF(INDEX('Raw Flow Data'!$A:$ZZ,$K$5+ROW()-26+$D$9,MATCH($B$9,'Raw Flow Data'!$1:$1,0))=-999,"",INDEX('Raw Flow Data'!$A:$ZZ,$K$5+ROW()-26+$D$9,MATCH($B$9,'Raw Flow Data'!$1:$1,0))*$C$9))),"")</f>
        <v/>
      </c>
      <c r="I183" s="26">
        <f>IFERROR(IF($B$10="","",IF($K$5+ROW()-26&gt;$K$6,"",IF(INDEX('Raw Flow Data'!$A:$ZZ,$K$5+ROW()-26+$D$10,MATCH($B$10,'Raw Flow Data'!$1:$1,0))=-999,"",INDEX('Raw Flow Data'!$A:$ZZ,$K$5+ROW()-26+$D$10,MATCH($B$10,'Raw Flow Data'!$1:$1,0))*$C$10))),"")</f>
        <v/>
      </c>
      <c r="J183" s="26">
        <f>IFERROR(IF($B$11="","",IF($K$5+ROW()-26&gt;$K$6,"",IF(INDEX('Raw Flow Data'!$A:$ZZ,$K$5+ROW()-26+$D$11,MATCH($B$11,'Raw Flow Data'!$1:$1,0))=-999,"",INDEX('Raw Flow Data'!$A:$ZZ,$K$5+ROW()-26+$D$11,MATCH($B$11,'Raw Flow Data'!$1:$1,0))*$C$11))),"")</f>
        <v/>
      </c>
      <c r="K183" s="26">
        <f>IFERROR(IF($B$12="","",IF($K$5+ROW()-26&gt;$K$6,"",IF(INDEX('Raw Flow Data'!$A:$ZZ,$K$5+ROW()-26+$D$12,MATCH($B$12,'Raw Flow Data'!$1:$1,0))=-999,"",INDEX('Raw Flow Data'!$A:$ZZ,$K$5+ROW()-26+$D$12,MATCH($B$12,'Raw Flow Data'!$1:$1,0))*$C$12))),"")</f>
        <v/>
      </c>
      <c r="L183" s="26">
        <f>IFERROR(IF($F$3="","",IF($K$5+ROW()-26&gt;$K$6,"",IF(INDEX('Raw Pressure Data'!$A:$ZZ,$K$5+ROW()-26+$H$3,MATCH($F$3,'Raw Pressure Data'!$1:$1,0))=-999,"",INDEX('Raw Pressure Data'!$A:$ZZ,$K$5+ROW()-26+$H$3,MATCH($F$3,'Raw Pressure Data'!$1:$1,0))+$G$3))),"")</f>
        <v/>
      </c>
      <c r="M183" s="26">
        <f>IFERROR(IF($F$4="","",IF($K$5+ROW()-26&gt;$K$6,"",IF(INDEX('Raw Pressure Data'!$A:$ZZ,$K$5+ROW()-26+$H$4,MATCH($F$4,'Raw Pressure Data'!$1:$1,0))=-999,"",INDEX('Raw Pressure Data'!$A:$ZZ,$K$5+ROW()-26+$H$4,MATCH($F$4,'Raw Pressure Data'!$1:$1,0))+$G$4))),"")</f>
        <v/>
      </c>
      <c r="N183" s="26">
        <f>IFERROR(IF($F$5="","",IF($K$5+ROW()-26&gt;$K$6,"",IF(INDEX('Raw Pressure Data'!$A:$ZZ,$K$5+ROW()-26+$H$5,MATCH($F$5,'Raw Pressure Data'!$1:$1,0))=-999,"",INDEX('Raw Pressure Data'!$A:$ZZ,$K$5+ROW()-26+$H$5,MATCH($F$5,'Raw Pressure Data'!$1:$1,0))+$G$5))),"")</f>
        <v/>
      </c>
      <c r="O183" s="26">
        <f>IFERROR(IF($F$6="","",IF($K$5+ROW()-26&gt;$K$6,"",IF(INDEX('Raw Pressure Data'!$A:$ZZ,$K$5+ROW()-26+$H$6,MATCH($F$6,'Raw Pressure Data'!$1:$1,0))=-999,"",INDEX('Raw Pressure Data'!$A:$ZZ,$K$5+ROW()-26+$H$6,MATCH($F$6,'Raw Pressure Data'!$1:$1,0))+$G$6))),"")</f>
        <v/>
      </c>
      <c r="P183" s="26">
        <f>IFERROR(IF($F$7="","",IF($K$5+ROW()-26&gt;$K$6,"",IF(INDEX('Raw Pressure Data'!$A:$ZZ,$K$5+ROW()-26+$H$7,MATCH($F$7,'Raw Pressure Data'!$1:$1,0))=-999,"",INDEX('Raw Pressure Data'!$A:$ZZ,$K$5+ROW()-26+$H$7,MATCH($F$7,'Raw Pressure Data'!$1:$1,0))+$G$7))),"")</f>
        <v/>
      </c>
      <c r="Q183" s="26">
        <f>IFERROR(IF($F$8="","",IF($K$5+ROW()-26&gt;$K$6,"",IF(INDEX('Raw Pressure Data'!$A:$ZZ,$K$5+ROW()-26+$H$8,MATCH($F$8,'Raw Pressure Data'!$1:$1,0))=-999,"",INDEX('Raw Pressure Data'!$A:$ZZ,$K$5+ROW()-26+$H$8,MATCH($F$8,'Raw Pressure Data'!$1:$1,0))+$G$8))),"")</f>
        <v/>
      </c>
      <c r="R183" s="26">
        <f>IFERROR(IF($F$9="","",IF($K$5+ROW()-26&gt;$K$6,"",IF(INDEX('Raw Pressure Data'!$A:$ZZ,$K$5+ROW()-26+$H$9,MATCH($F$9,'Raw Pressure Data'!$1:$1,0))=-999,"",INDEX('Raw Pressure Data'!$A:$ZZ,$K$5+ROW()-26+$H$9,MATCH($F$9,'Raw Pressure Data'!$1:$1,0))+$G$9))),"")</f>
        <v/>
      </c>
      <c r="S183" s="26">
        <f>IFERROR(IF($F$10="","",IF($K$5+ROW()-26&gt;$K$6,"",IF(INDEX('Raw Pressure Data'!$A:$ZZ,$K$5+ROW()-26+$H$10,MATCH($F$10,'Raw Pressure Data'!$1:$1,0))=-999,"",INDEX('Raw Pressure Data'!$A:$ZZ,$K$5+ROW()-26+$H$10,MATCH($F$10,'Raw Pressure Data'!$1:$1,0))+$G$10))),"")</f>
        <v/>
      </c>
      <c r="T183" s="26">
        <f>IFERROR(IF($F$11="","",IF($K$5+ROW()-26&gt;$K$6,"",IF(INDEX('Raw Pressure Data'!$A:$ZZ,$K$5+ROW()-26+$H$11,MATCH($F$11,'Raw Pressure Data'!$1:$1,0))=-999,"",INDEX('Raw Pressure Data'!$A:$ZZ,$K$5+ROW()-26+$H$11,MATCH($F$11,'Raw Pressure Data'!$1:$1,0))+$G$11))),"")</f>
        <v/>
      </c>
      <c r="U183" s="26">
        <f>IFERROR(IF($F$12="","",IF($K$5+ROW()-26&gt;$K$6,"",IF(INDEX('Raw Pressure Data'!$A:$ZZ,$K$5+ROW()-26+$H$12,MATCH($F$12,'Raw Pressure Data'!$1:$1,0))=-999,"",INDEX('Raw Pressure Data'!$A:$ZZ,$K$5+ROW()-26+$H$12,MATCH($F$12,'Raw Pressure Data'!$1:$1,0))+$G$12))),"")</f>
        <v/>
      </c>
      <c r="V183" s="26">
        <f>IFERROR(IF($F$13="","",IF($K$5+ROW()-26&gt;$K$6,"",IF(INDEX('Raw Pressure Data'!$A:$ZZ,$K$5+ROW()-26+$H$13,MATCH($F$13,'Raw Pressure Data'!$1:$1,0))=-999,"",INDEX('Raw Pressure Data'!$A:$ZZ,$K$5+ROW()-26+$H$13,MATCH($F$13,'Raw Pressure Data'!$1:$1,0))+$G$13))),"")</f>
        <v/>
      </c>
      <c r="W183" s="26">
        <f>IFERROR(IF($F$14="","",IF($K$5+ROW()-26&gt;$K$6,"",IF(INDEX('Raw Pressure Data'!$A:$ZZ,$K$5+ROW()-26+$H$14,MATCH($F$14,'Raw Pressure Data'!$1:$1,0))=-999,"",INDEX('Raw Pressure Data'!$A:$ZZ,$K$5+ROW()-26+$H$14,MATCH($F$14,'Raw Pressure Data'!$1:$1,0))+$G$14))),"")</f>
        <v/>
      </c>
      <c r="X183" s="26">
        <f>IFERROR(IF($F$15="","",IF($K$5+ROW()-26&gt;$K$6,"",IF(INDEX('Raw Pressure Data'!$A:$ZZ,$K$5+ROW()-26+$H$15,MATCH($F$15,'Raw Pressure Data'!$1:$1,0))=-999,"",INDEX('Raw Pressure Data'!$A:$ZZ,$K$5+ROW()-26+$H$15,MATCH($F$15,'Raw Pressure Data'!$1:$1,0))+$G$15))),"")</f>
        <v/>
      </c>
      <c r="Y183" s="26">
        <f>IFERROR(IF($F$16="","",IF($K$5+ROW()-26&gt;$K$6,"",IF(INDEX('Raw Pressure Data'!$A:$ZZ,$K$5+ROW()-26+$H$16,MATCH($F$16,'Raw Pressure Data'!$1:$1,0))=-999,"",INDEX('Raw Pressure Data'!$A:$ZZ,$K$5+ROW()-26+$H$16,MATCH($F$16,'Raw Pressure Data'!$1:$1,0))+$G$16))),"")</f>
        <v/>
      </c>
      <c r="Z183" s="26">
        <f>IFERROR(IF($F$17="","",IF($K$5+ROW()-26&gt;$K$6,"",IF(INDEX('Raw Pressure Data'!$A:$ZZ,$K$5+ROW()-26+$H$17,MATCH($F$17,'Raw Pressure Data'!$1:$1,0))=-999,"",INDEX('Raw Pressure Data'!$A:$ZZ,$K$5+ROW()-26+$H$17,MATCH($F$17,'Raw Pressure Data'!$1:$1,0))+$G$17))),"")</f>
        <v/>
      </c>
      <c r="AA183" s="26">
        <f>IFERROR(IF($F$18="","",IF($K$5+ROW()-26&gt;$K$6,"",IF(INDEX('Raw Pressure Data'!$A:$ZZ,$K$5+ROW()-26+$H$18,MATCH($F$18,'Raw Pressure Data'!$1:$1,0))=-999,"",INDEX('Raw Pressure Data'!$A:$ZZ,$K$5+ROW()-26+$H$18,MATCH($F$18,'Raw Pressure Data'!$1:$1,0))+$G$18))),"")</f>
        <v/>
      </c>
      <c r="AB183" s="26">
        <f>IFERROR(IF($F$19="","",IF($K$5+ROW()-26&gt;$K$6,"",IF(INDEX('Raw Pressure Data'!$A:$ZZ,$K$5+ROW()-26+$H$19,MATCH($F$19,'Raw Pressure Data'!$1:$1,0))=-999,"",INDEX('Raw Pressure Data'!$A:$ZZ,$K$5+ROW()-26+$H$19,MATCH($F$19,'Raw Pressure Data'!$1:$1,0))+$G$19))),"")</f>
        <v/>
      </c>
      <c r="AC183" s="26">
        <f>IFERROR(IF($F$20="","",IF($K$5+ROW()-26&gt;$K$6,"",IF(INDEX('Raw Pressure Data'!$A:$ZZ,$K$5+ROW()-26+$H$20,MATCH($F$20,'Raw Pressure Data'!$1:$1,0))=-999,"",INDEX('Raw Pressure Data'!$A:$ZZ,$K$5+ROW()-26+$H$20,MATCH($F$20,'Raw Pressure Data'!$1:$1,0))+$G$20))),"")</f>
        <v/>
      </c>
      <c r="AD183" s="26">
        <f>IFERROR(IF($F$21="","",IF($K$5+ROW()-26&gt;$K$6,"",IF(INDEX('Raw Pressure Data'!$A:$ZZ,$K$5+ROW()-26+$H$21,MATCH($F$21,'Raw Pressure Data'!$1:$1,0))=-999,"",INDEX('Raw Pressure Data'!$A:$ZZ,$K$5+ROW()-26+$H$21,MATCH($F$21,'Raw Pressure Data'!$1:$1,0))+$G$21))),"")</f>
        <v/>
      </c>
      <c r="AE183" s="26">
        <f>IFERROR(IF($F$22="","",IF($K$5+ROW()-26&gt;$K$6,"",IF(INDEX('Raw Pressure Data'!$A:$ZZ,$K$5+ROW()-26+$H$22,MATCH($F$22,'Raw Pressure Data'!$1:$1,0))=-999,"",INDEX('Raw Pressure Data'!$A:$ZZ,$K$5+ROW()-26+$H$22,MATCH($F$22,'Raw Pressure Data'!$1:$1,0))+$G$22))),"")</f>
        <v/>
      </c>
    </row>
    <row r="184" ht="15" customHeight="1">
      <c r="A184" s="23">
        <f>IFERROR(IF($K$5+ROW()-26&gt;$K$6,"",IF(INDEX('Raw Flow Data'!$A:$A,$K$5+ROW()-26)="","",INDEX('Raw Flow Data'!$A:$A,$K$5+ROW()-26))),"")</f>
        <v/>
      </c>
      <c r="B184" s="24">
        <f>IFERROR(IF($B$3="","",IF($K$5+ROW()-26&gt;$K$6,"",IF(INDEX('Raw Flow Data'!$A:$ZZ,$K$5+ROW()-26+$D$3,MATCH($B$3,'Raw Flow Data'!$1:$1,0))=-999,"",INDEX('Raw Flow Data'!$A:$ZZ,$K$5+ROW()-26+$D$3,MATCH($B$3,'Raw Flow Data'!$1:$1,0))*$C$3))),"")</f>
        <v/>
      </c>
      <c r="C184" s="24">
        <f>IFERROR(IF($B$4="","",IF($K$5+ROW()-26&gt;$K$6,"",IF(INDEX('Raw Flow Data'!$A:$ZZ,$K$5+ROW()-26+$D$4,MATCH($B$4,'Raw Flow Data'!$1:$1,0))=-999,"",INDEX('Raw Flow Data'!$A:$ZZ,$K$5+ROW()-26+$D$4,MATCH($B$4,'Raw Flow Data'!$1:$1,0))*$C$4))),"")</f>
        <v/>
      </c>
      <c r="D184" s="24">
        <f>IFERROR(IF($B$5="","",IF($K$5+ROW()-26&gt;$K$6,"",IF(INDEX('Raw Flow Data'!$A:$ZZ,$K$5+ROW()-26+$D$5,MATCH($B$5,'Raw Flow Data'!$1:$1,0))=-999,"",INDEX('Raw Flow Data'!$A:$ZZ,$K$5+ROW()-26+$D$5,MATCH($B$5,'Raw Flow Data'!$1:$1,0))*$C$5))),"")</f>
        <v/>
      </c>
      <c r="E184" s="24">
        <f>IFERROR(IF($B$6="","",IF($K$5+ROW()-26&gt;$K$6,"",IF(INDEX('Raw Flow Data'!$A:$ZZ,$K$5+ROW()-26+$D$6,MATCH($B$6,'Raw Flow Data'!$1:$1,0))=-999,"",INDEX('Raw Flow Data'!$A:$ZZ,$K$5+ROW()-26+$D$6,MATCH($B$6,'Raw Flow Data'!$1:$1,0))*$C$6))),"")</f>
        <v/>
      </c>
      <c r="F184" s="24">
        <f>IFERROR(IF($B$7="","",IF($K$5+ROW()-26&gt;$K$6,"",IF(INDEX('Raw Flow Data'!$A:$ZZ,$K$5+ROW()-26+$D$7,MATCH($B$7,'Raw Flow Data'!$1:$1,0))=-999,"",INDEX('Raw Flow Data'!$A:$ZZ,$K$5+ROW()-26+$D$7,MATCH($B$7,'Raw Flow Data'!$1:$1,0))*$C$7))),"")</f>
        <v/>
      </c>
      <c r="G184" s="24">
        <f>IFERROR(IF($B$8="","",IF($K$5+ROW()-26&gt;$K$6,"",IF(INDEX('Raw Flow Data'!$A:$ZZ,$K$5+ROW()-26+$D$8,MATCH($B$8,'Raw Flow Data'!$1:$1,0))=-999,"",INDEX('Raw Flow Data'!$A:$ZZ,$K$5+ROW()-26+$D$8,MATCH($B$8,'Raw Flow Data'!$1:$1,0))*$C$8))),"")</f>
        <v/>
      </c>
      <c r="H184" s="24">
        <f>IFERROR(IF($B$9="","",IF($K$5+ROW()-26&gt;$K$6,"",IF(INDEX('Raw Flow Data'!$A:$ZZ,$K$5+ROW()-26+$D$9,MATCH($B$9,'Raw Flow Data'!$1:$1,0))=-999,"",INDEX('Raw Flow Data'!$A:$ZZ,$K$5+ROW()-26+$D$9,MATCH($B$9,'Raw Flow Data'!$1:$1,0))*$C$9))),"")</f>
        <v/>
      </c>
      <c r="I184" s="24">
        <f>IFERROR(IF($B$10="","",IF($K$5+ROW()-26&gt;$K$6,"",IF(INDEX('Raw Flow Data'!$A:$ZZ,$K$5+ROW()-26+$D$10,MATCH($B$10,'Raw Flow Data'!$1:$1,0))=-999,"",INDEX('Raw Flow Data'!$A:$ZZ,$K$5+ROW()-26+$D$10,MATCH($B$10,'Raw Flow Data'!$1:$1,0))*$C$10))),"")</f>
        <v/>
      </c>
      <c r="J184" s="24">
        <f>IFERROR(IF($B$11="","",IF($K$5+ROW()-26&gt;$K$6,"",IF(INDEX('Raw Flow Data'!$A:$ZZ,$K$5+ROW()-26+$D$11,MATCH($B$11,'Raw Flow Data'!$1:$1,0))=-999,"",INDEX('Raw Flow Data'!$A:$ZZ,$K$5+ROW()-26+$D$11,MATCH($B$11,'Raw Flow Data'!$1:$1,0))*$C$11))),"")</f>
        <v/>
      </c>
      <c r="K184" s="24">
        <f>IFERROR(IF($B$12="","",IF($K$5+ROW()-26&gt;$K$6,"",IF(INDEX('Raw Flow Data'!$A:$ZZ,$K$5+ROW()-26+$D$12,MATCH($B$12,'Raw Flow Data'!$1:$1,0))=-999,"",INDEX('Raw Flow Data'!$A:$ZZ,$K$5+ROW()-26+$D$12,MATCH($B$12,'Raw Flow Data'!$1:$1,0))*$C$12))),"")</f>
        <v/>
      </c>
      <c r="L184" s="24">
        <f>IFERROR(IF($F$3="","",IF($K$5+ROW()-26&gt;$K$6,"",IF(INDEX('Raw Pressure Data'!$A:$ZZ,$K$5+ROW()-26+$H$3,MATCH($F$3,'Raw Pressure Data'!$1:$1,0))=-999,"",INDEX('Raw Pressure Data'!$A:$ZZ,$K$5+ROW()-26+$H$3,MATCH($F$3,'Raw Pressure Data'!$1:$1,0))+$G$3))),"")</f>
        <v/>
      </c>
      <c r="M184" s="24">
        <f>IFERROR(IF($F$4="","",IF($K$5+ROW()-26&gt;$K$6,"",IF(INDEX('Raw Pressure Data'!$A:$ZZ,$K$5+ROW()-26+$H$4,MATCH($F$4,'Raw Pressure Data'!$1:$1,0))=-999,"",INDEX('Raw Pressure Data'!$A:$ZZ,$K$5+ROW()-26+$H$4,MATCH($F$4,'Raw Pressure Data'!$1:$1,0))+$G$4))),"")</f>
        <v/>
      </c>
      <c r="N184" s="24">
        <f>IFERROR(IF($F$5="","",IF($K$5+ROW()-26&gt;$K$6,"",IF(INDEX('Raw Pressure Data'!$A:$ZZ,$K$5+ROW()-26+$H$5,MATCH($F$5,'Raw Pressure Data'!$1:$1,0))=-999,"",INDEX('Raw Pressure Data'!$A:$ZZ,$K$5+ROW()-26+$H$5,MATCH($F$5,'Raw Pressure Data'!$1:$1,0))+$G$5))),"")</f>
        <v/>
      </c>
      <c r="O184" s="24">
        <f>IFERROR(IF($F$6="","",IF($K$5+ROW()-26&gt;$K$6,"",IF(INDEX('Raw Pressure Data'!$A:$ZZ,$K$5+ROW()-26+$H$6,MATCH($F$6,'Raw Pressure Data'!$1:$1,0))=-999,"",INDEX('Raw Pressure Data'!$A:$ZZ,$K$5+ROW()-26+$H$6,MATCH($F$6,'Raw Pressure Data'!$1:$1,0))+$G$6))),"")</f>
        <v/>
      </c>
      <c r="P184" s="24">
        <f>IFERROR(IF($F$7="","",IF($K$5+ROW()-26&gt;$K$6,"",IF(INDEX('Raw Pressure Data'!$A:$ZZ,$K$5+ROW()-26+$H$7,MATCH($F$7,'Raw Pressure Data'!$1:$1,0))=-999,"",INDEX('Raw Pressure Data'!$A:$ZZ,$K$5+ROW()-26+$H$7,MATCH($F$7,'Raw Pressure Data'!$1:$1,0))+$G$7))),"")</f>
        <v/>
      </c>
      <c r="Q184" s="24">
        <f>IFERROR(IF($F$8="","",IF($K$5+ROW()-26&gt;$K$6,"",IF(INDEX('Raw Pressure Data'!$A:$ZZ,$K$5+ROW()-26+$H$8,MATCH($F$8,'Raw Pressure Data'!$1:$1,0))=-999,"",INDEX('Raw Pressure Data'!$A:$ZZ,$K$5+ROW()-26+$H$8,MATCH($F$8,'Raw Pressure Data'!$1:$1,0))+$G$8))),"")</f>
        <v/>
      </c>
      <c r="R184" s="24">
        <f>IFERROR(IF($F$9="","",IF($K$5+ROW()-26&gt;$K$6,"",IF(INDEX('Raw Pressure Data'!$A:$ZZ,$K$5+ROW()-26+$H$9,MATCH($F$9,'Raw Pressure Data'!$1:$1,0))=-999,"",INDEX('Raw Pressure Data'!$A:$ZZ,$K$5+ROW()-26+$H$9,MATCH($F$9,'Raw Pressure Data'!$1:$1,0))+$G$9))),"")</f>
        <v/>
      </c>
      <c r="S184" s="24">
        <f>IFERROR(IF($F$10="","",IF($K$5+ROW()-26&gt;$K$6,"",IF(INDEX('Raw Pressure Data'!$A:$ZZ,$K$5+ROW()-26+$H$10,MATCH($F$10,'Raw Pressure Data'!$1:$1,0))=-999,"",INDEX('Raw Pressure Data'!$A:$ZZ,$K$5+ROW()-26+$H$10,MATCH($F$10,'Raw Pressure Data'!$1:$1,0))+$G$10))),"")</f>
        <v/>
      </c>
      <c r="T184" s="24">
        <f>IFERROR(IF($F$11="","",IF($K$5+ROW()-26&gt;$K$6,"",IF(INDEX('Raw Pressure Data'!$A:$ZZ,$K$5+ROW()-26+$H$11,MATCH($F$11,'Raw Pressure Data'!$1:$1,0))=-999,"",INDEX('Raw Pressure Data'!$A:$ZZ,$K$5+ROW()-26+$H$11,MATCH($F$11,'Raw Pressure Data'!$1:$1,0))+$G$11))),"")</f>
        <v/>
      </c>
      <c r="U184" s="24">
        <f>IFERROR(IF($F$12="","",IF($K$5+ROW()-26&gt;$K$6,"",IF(INDEX('Raw Pressure Data'!$A:$ZZ,$K$5+ROW()-26+$H$12,MATCH($F$12,'Raw Pressure Data'!$1:$1,0))=-999,"",INDEX('Raw Pressure Data'!$A:$ZZ,$K$5+ROW()-26+$H$12,MATCH($F$12,'Raw Pressure Data'!$1:$1,0))+$G$12))),"")</f>
        <v/>
      </c>
      <c r="V184" s="24">
        <f>IFERROR(IF($F$13="","",IF($K$5+ROW()-26&gt;$K$6,"",IF(INDEX('Raw Pressure Data'!$A:$ZZ,$K$5+ROW()-26+$H$13,MATCH($F$13,'Raw Pressure Data'!$1:$1,0))=-999,"",INDEX('Raw Pressure Data'!$A:$ZZ,$K$5+ROW()-26+$H$13,MATCH($F$13,'Raw Pressure Data'!$1:$1,0))+$G$13))),"")</f>
        <v/>
      </c>
      <c r="W184" s="24">
        <f>IFERROR(IF($F$14="","",IF($K$5+ROW()-26&gt;$K$6,"",IF(INDEX('Raw Pressure Data'!$A:$ZZ,$K$5+ROW()-26+$H$14,MATCH($F$14,'Raw Pressure Data'!$1:$1,0))=-999,"",INDEX('Raw Pressure Data'!$A:$ZZ,$K$5+ROW()-26+$H$14,MATCH($F$14,'Raw Pressure Data'!$1:$1,0))+$G$14))),"")</f>
        <v/>
      </c>
      <c r="X184" s="24">
        <f>IFERROR(IF($F$15="","",IF($K$5+ROW()-26&gt;$K$6,"",IF(INDEX('Raw Pressure Data'!$A:$ZZ,$K$5+ROW()-26+$H$15,MATCH($F$15,'Raw Pressure Data'!$1:$1,0))=-999,"",INDEX('Raw Pressure Data'!$A:$ZZ,$K$5+ROW()-26+$H$15,MATCH($F$15,'Raw Pressure Data'!$1:$1,0))+$G$15))),"")</f>
        <v/>
      </c>
      <c r="Y184" s="24">
        <f>IFERROR(IF($F$16="","",IF($K$5+ROW()-26&gt;$K$6,"",IF(INDEX('Raw Pressure Data'!$A:$ZZ,$K$5+ROW()-26+$H$16,MATCH($F$16,'Raw Pressure Data'!$1:$1,0))=-999,"",INDEX('Raw Pressure Data'!$A:$ZZ,$K$5+ROW()-26+$H$16,MATCH($F$16,'Raw Pressure Data'!$1:$1,0))+$G$16))),"")</f>
        <v/>
      </c>
      <c r="Z184" s="24">
        <f>IFERROR(IF($F$17="","",IF($K$5+ROW()-26&gt;$K$6,"",IF(INDEX('Raw Pressure Data'!$A:$ZZ,$K$5+ROW()-26+$H$17,MATCH($F$17,'Raw Pressure Data'!$1:$1,0))=-999,"",INDEX('Raw Pressure Data'!$A:$ZZ,$K$5+ROW()-26+$H$17,MATCH($F$17,'Raw Pressure Data'!$1:$1,0))+$G$17))),"")</f>
        <v/>
      </c>
      <c r="AA184" s="24">
        <f>IFERROR(IF($F$18="","",IF($K$5+ROW()-26&gt;$K$6,"",IF(INDEX('Raw Pressure Data'!$A:$ZZ,$K$5+ROW()-26+$H$18,MATCH($F$18,'Raw Pressure Data'!$1:$1,0))=-999,"",INDEX('Raw Pressure Data'!$A:$ZZ,$K$5+ROW()-26+$H$18,MATCH($F$18,'Raw Pressure Data'!$1:$1,0))+$G$18))),"")</f>
        <v/>
      </c>
      <c r="AB184" s="24">
        <f>IFERROR(IF($F$19="","",IF($K$5+ROW()-26&gt;$K$6,"",IF(INDEX('Raw Pressure Data'!$A:$ZZ,$K$5+ROW()-26+$H$19,MATCH($F$19,'Raw Pressure Data'!$1:$1,0))=-999,"",INDEX('Raw Pressure Data'!$A:$ZZ,$K$5+ROW()-26+$H$19,MATCH($F$19,'Raw Pressure Data'!$1:$1,0))+$G$19))),"")</f>
        <v/>
      </c>
      <c r="AC184" s="24">
        <f>IFERROR(IF($F$20="","",IF($K$5+ROW()-26&gt;$K$6,"",IF(INDEX('Raw Pressure Data'!$A:$ZZ,$K$5+ROW()-26+$H$20,MATCH($F$20,'Raw Pressure Data'!$1:$1,0))=-999,"",INDEX('Raw Pressure Data'!$A:$ZZ,$K$5+ROW()-26+$H$20,MATCH($F$20,'Raw Pressure Data'!$1:$1,0))+$G$20))),"")</f>
        <v/>
      </c>
      <c r="AD184" s="24">
        <f>IFERROR(IF($F$21="","",IF($K$5+ROW()-26&gt;$K$6,"",IF(INDEX('Raw Pressure Data'!$A:$ZZ,$K$5+ROW()-26+$H$21,MATCH($F$21,'Raw Pressure Data'!$1:$1,0))=-999,"",INDEX('Raw Pressure Data'!$A:$ZZ,$K$5+ROW()-26+$H$21,MATCH($F$21,'Raw Pressure Data'!$1:$1,0))+$G$21))),"")</f>
        <v/>
      </c>
      <c r="AE184" s="24">
        <f>IFERROR(IF($F$22="","",IF($K$5+ROW()-26&gt;$K$6,"",IF(INDEX('Raw Pressure Data'!$A:$ZZ,$K$5+ROW()-26+$H$22,MATCH($F$22,'Raw Pressure Data'!$1:$1,0))=-999,"",INDEX('Raw Pressure Data'!$A:$ZZ,$K$5+ROW()-26+$H$22,MATCH($F$22,'Raw Pressure Data'!$1:$1,0))+$G$22))),"")</f>
        <v/>
      </c>
    </row>
    <row r="185" ht="15" customHeight="1">
      <c r="A185" s="25">
        <f>IFERROR(IF($K$5+ROW()-26&gt;$K$6,"",IF(INDEX('Raw Flow Data'!$A:$A,$K$5+ROW()-26)="","",INDEX('Raw Flow Data'!$A:$A,$K$5+ROW()-26))),"")</f>
        <v/>
      </c>
      <c r="B185" s="26">
        <f>IFERROR(IF($B$3="","",IF($K$5+ROW()-26&gt;$K$6,"",IF(INDEX('Raw Flow Data'!$A:$ZZ,$K$5+ROW()-26+$D$3,MATCH($B$3,'Raw Flow Data'!$1:$1,0))=-999,"",INDEX('Raw Flow Data'!$A:$ZZ,$K$5+ROW()-26+$D$3,MATCH($B$3,'Raw Flow Data'!$1:$1,0))*$C$3))),"")</f>
        <v/>
      </c>
      <c r="C185" s="26">
        <f>IFERROR(IF($B$4="","",IF($K$5+ROW()-26&gt;$K$6,"",IF(INDEX('Raw Flow Data'!$A:$ZZ,$K$5+ROW()-26+$D$4,MATCH($B$4,'Raw Flow Data'!$1:$1,0))=-999,"",INDEX('Raw Flow Data'!$A:$ZZ,$K$5+ROW()-26+$D$4,MATCH($B$4,'Raw Flow Data'!$1:$1,0))*$C$4))),"")</f>
        <v/>
      </c>
      <c r="D185" s="26">
        <f>IFERROR(IF($B$5="","",IF($K$5+ROW()-26&gt;$K$6,"",IF(INDEX('Raw Flow Data'!$A:$ZZ,$K$5+ROW()-26+$D$5,MATCH($B$5,'Raw Flow Data'!$1:$1,0))=-999,"",INDEX('Raw Flow Data'!$A:$ZZ,$K$5+ROW()-26+$D$5,MATCH($B$5,'Raw Flow Data'!$1:$1,0))*$C$5))),"")</f>
        <v/>
      </c>
      <c r="E185" s="26">
        <f>IFERROR(IF($B$6="","",IF($K$5+ROW()-26&gt;$K$6,"",IF(INDEX('Raw Flow Data'!$A:$ZZ,$K$5+ROW()-26+$D$6,MATCH($B$6,'Raw Flow Data'!$1:$1,0))=-999,"",INDEX('Raw Flow Data'!$A:$ZZ,$K$5+ROW()-26+$D$6,MATCH($B$6,'Raw Flow Data'!$1:$1,0))*$C$6))),"")</f>
        <v/>
      </c>
      <c r="F185" s="26">
        <f>IFERROR(IF($B$7="","",IF($K$5+ROW()-26&gt;$K$6,"",IF(INDEX('Raw Flow Data'!$A:$ZZ,$K$5+ROW()-26+$D$7,MATCH($B$7,'Raw Flow Data'!$1:$1,0))=-999,"",INDEX('Raw Flow Data'!$A:$ZZ,$K$5+ROW()-26+$D$7,MATCH($B$7,'Raw Flow Data'!$1:$1,0))*$C$7))),"")</f>
        <v/>
      </c>
      <c r="G185" s="26">
        <f>IFERROR(IF($B$8="","",IF($K$5+ROW()-26&gt;$K$6,"",IF(INDEX('Raw Flow Data'!$A:$ZZ,$K$5+ROW()-26+$D$8,MATCH($B$8,'Raw Flow Data'!$1:$1,0))=-999,"",INDEX('Raw Flow Data'!$A:$ZZ,$K$5+ROW()-26+$D$8,MATCH($B$8,'Raw Flow Data'!$1:$1,0))*$C$8))),"")</f>
        <v/>
      </c>
      <c r="H185" s="26">
        <f>IFERROR(IF($B$9="","",IF($K$5+ROW()-26&gt;$K$6,"",IF(INDEX('Raw Flow Data'!$A:$ZZ,$K$5+ROW()-26+$D$9,MATCH($B$9,'Raw Flow Data'!$1:$1,0))=-999,"",INDEX('Raw Flow Data'!$A:$ZZ,$K$5+ROW()-26+$D$9,MATCH($B$9,'Raw Flow Data'!$1:$1,0))*$C$9))),"")</f>
        <v/>
      </c>
      <c r="I185" s="26">
        <f>IFERROR(IF($B$10="","",IF($K$5+ROW()-26&gt;$K$6,"",IF(INDEX('Raw Flow Data'!$A:$ZZ,$K$5+ROW()-26+$D$10,MATCH($B$10,'Raw Flow Data'!$1:$1,0))=-999,"",INDEX('Raw Flow Data'!$A:$ZZ,$K$5+ROW()-26+$D$10,MATCH($B$10,'Raw Flow Data'!$1:$1,0))*$C$10))),"")</f>
        <v/>
      </c>
      <c r="J185" s="26">
        <f>IFERROR(IF($B$11="","",IF($K$5+ROW()-26&gt;$K$6,"",IF(INDEX('Raw Flow Data'!$A:$ZZ,$K$5+ROW()-26+$D$11,MATCH($B$11,'Raw Flow Data'!$1:$1,0))=-999,"",INDEX('Raw Flow Data'!$A:$ZZ,$K$5+ROW()-26+$D$11,MATCH($B$11,'Raw Flow Data'!$1:$1,0))*$C$11))),"")</f>
        <v/>
      </c>
      <c r="K185" s="26">
        <f>IFERROR(IF($B$12="","",IF($K$5+ROW()-26&gt;$K$6,"",IF(INDEX('Raw Flow Data'!$A:$ZZ,$K$5+ROW()-26+$D$12,MATCH($B$12,'Raw Flow Data'!$1:$1,0))=-999,"",INDEX('Raw Flow Data'!$A:$ZZ,$K$5+ROW()-26+$D$12,MATCH($B$12,'Raw Flow Data'!$1:$1,0))*$C$12))),"")</f>
        <v/>
      </c>
      <c r="L185" s="26">
        <f>IFERROR(IF($F$3="","",IF($K$5+ROW()-26&gt;$K$6,"",IF(INDEX('Raw Pressure Data'!$A:$ZZ,$K$5+ROW()-26+$H$3,MATCH($F$3,'Raw Pressure Data'!$1:$1,0))=-999,"",INDEX('Raw Pressure Data'!$A:$ZZ,$K$5+ROW()-26+$H$3,MATCH($F$3,'Raw Pressure Data'!$1:$1,0))+$G$3))),"")</f>
        <v/>
      </c>
      <c r="M185" s="26">
        <f>IFERROR(IF($F$4="","",IF($K$5+ROW()-26&gt;$K$6,"",IF(INDEX('Raw Pressure Data'!$A:$ZZ,$K$5+ROW()-26+$H$4,MATCH($F$4,'Raw Pressure Data'!$1:$1,0))=-999,"",INDEX('Raw Pressure Data'!$A:$ZZ,$K$5+ROW()-26+$H$4,MATCH($F$4,'Raw Pressure Data'!$1:$1,0))+$G$4))),"")</f>
        <v/>
      </c>
      <c r="N185" s="26">
        <f>IFERROR(IF($F$5="","",IF($K$5+ROW()-26&gt;$K$6,"",IF(INDEX('Raw Pressure Data'!$A:$ZZ,$K$5+ROW()-26+$H$5,MATCH($F$5,'Raw Pressure Data'!$1:$1,0))=-999,"",INDEX('Raw Pressure Data'!$A:$ZZ,$K$5+ROW()-26+$H$5,MATCH($F$5,'Raw Pressure Data'!$1:$1,0))+$G$5))),"")</f>
        <v/>
      </c>
      <c r="O185" s="26">
        <f>IFERROR(IF($F$6="","",IF($K$5+ROW()-26&gt;$K$6,"",IF(INDEX('Raw Pressure Data'!$A:$ZZ,$K$5+ROW()-26+$H$6,MATCH($F$6,'Raw Pressure Data'!$1:$1,0))=-999,"",INDEX('Raw Pressure Data'!$A:$ZZ,$K$5+ROW()-26+$H$6,MATCH($F$6,'Raw Pressure Data'!$1:$1,0))+$G$6))),"")</f>
        <v/>
      </c>
      <c r="P185" s="26">
        <f>IFERROR(IF($F$7="","",IF($K$5+ROW()-26&gt;$K$6,"",IF(INDEX('Raw Pressure Data'!$A:$ZZ,$K$5+ROW()-26+$H$7,MATCH($F$7,'Raw Pressure Data'!$1:$1,0))=-999,"",INDEX('Raw Pressure Data'!$A:$ZZ,$K$5+ROW()-26+$H$7,MATCH($F$7,'Raw Pressure Data'!$1:$1,0))+$G$7))),"")</f>
        <v/>
      </c>
      <c r="Q185" s="26">
        <f>IFERROR(IF($F$8="","",IF($K$5+ROW()-26&gt;$K$6,"",IF(INDEX('Raw Pressure Data'!$A:$ZZ,$K$5+ROW()-26+$H$8,MATCH($F$8,'Raw Pressure Data'!$1:$1,0))=-999,"",INDEX('Raw Pressure Data'!$A:$ZZ,$K$5+ROW()-26+$H$8,MATCH($F$8,'Raw Pressure Data'!$1:$1,0))+$G$8))),"")</f>
        <v/>
      </c>
      <c r="R185" s="26">
        <f>IFERROR(IF($F$9="","",IF($K$5+ROW()-26&gt;$K$6,"",IF(INDEX('Raw Pressure Data'!$A:$ZZ,$K$5+ROW()-26+$H$9,MATCH($F$9,'Raw Pressure Data'!$1:$1,0))=-999,"",INDEX('Raw Pressure Data'!$A:$ZZ,$K$5+ROW()-26+$H$9,MATCH($F$9,'Raw Pressure Data'!$1:$1,0))+$G$9))),"")</f>
        <v/>
      </c>
      <c r="S185" s="26">
        <f>IFERROR(IF($F$10="","",IF($K$5+ROW()-26&gt;$K$6,"",IF(INDEX('Raw Pressure Data'!$A:$ZZ,$K$5+ROW()-26+$H$10,MATCH($F$10,'Raw Pressure Data'!$1:$1,0))=-999,"",INDEX('Raw Pressure Data'!$A:$ZZ,$K$5+ROW()-26+$H$10,MATCH($F$10,'Raw Pressure Data'!$1:$1,0))+$G$10))),"")</f>
        <v/>
      </c>
      <c r="T185" s="26">
        <f>IFERROR(IF($F$11="","",IF($K$5+ROW()-26&gt;$K$6,"",IF(INDEX('Raw Pressure Data'!$A:$ZZ,$K$5+ROW()-26+$H$11,MATCH($F$11,'Raw Pressure Data'!$1:$1,0))=-999,"",INDEX('Raw Pressure Data'!$A:$ZZ,$K$5+ROW()-26+$H$11,MATCH($F$11,'Raw Pressure Data'!$1:$1,0))+$G$11))),"")</f>
        <v/>
      </c>
      <c r="U185" s="26">
        <f>IFERROR(IF($F$12="","",IF($K$5+ROW()-26&gt;$K$6,"",IF(INDEX('Raw Pressure Data'!$A:$ZZ,$K$5+ROW()-26+$H$12,MATCH($F$12,'Raw Pressure Data'!$1:$1,0))=-999,"",INDEX('Raw Pressure Data'!$A:$ZZ,$K$5+ROW()-26+$H$12,MATCH($F$12,'Raw Pressure Data'!$1:$1,0))+$G$12))),"")</f>
        <v/>
      </c>
      <c r="V185" s="26">
        <f>IFERROR(IF($F$13="","",IF($K$5+ROW()-26&gt;$K$6,"",IF(INDEX('Raw Pressure Data'!$A:$ZZ,$K$5+ROW()-26+$H$13,MATCH($F$13,'Raw Pressure Data'!$1:$1,0))=-999,"",INDEX('Raw Pressure Data'!$A:$ZZ,$K$5+ROW()-26+$H$13,MATCH($F$13,'Raw Pressure Data'!$1:$1,0))+$G$13))),"")</f>
        <v/>
      </c>
      <c r="W185" s="26">
        <f>IFERROR(IF($F$14="","",IF($K$5+ROW()-26&gt;$K$6,"",IF(INDEX('Raw Pressure Data'!$A:$ZZ,$K$5+ROW()-26+$H$14,MATCH($F$14,'Raw Pressure Data'!$1:$1,0))=-999,"",INDEX('Raw Pressure Data'!$A:$ZZ,$K$5+ROW()-26+$H$14,MATCH($F$14,'Raw Pressure Data'!$1:$1,0))+$G$14))),"")</f>
        <v/>
      </c>
      <c r="X185" s="26">
        <f>IFERROR(IF($F$15="","",IF($K$5+ROW()-26&gt;$K$6,"",IF(INDEX('Raw Pressure Data'!$A:$ZZ,$K$5+ROW()-26+$H$15,MATCH($F$15,'Raw Pressure Data'!$1:$1,0))=-999,"",INDEX('Raw Pressure Data'!$A:$ZZ,$K$5+ROW()-26+$H$15,MATCH($F$15,'Raw Pressure Data'!$1:$1,0))+$G$15))),"")</f>
        <v/>
      </c>
      <c r="Y185" s="26">
        <f>IFERROR(IF($F$16="","",IF($K$5+ROW()-26&gt;$K$6,"",IF(INDEX('Raw Pressure Data'!$A:$ZZ,$K$5+ROW()-26+$H$16,MATCH($F$16,'Raw Pressure Data'!$1:$1,0))=-999,"",INDEX('Raw Pressure Data'!$A:$ZZ,$K$5+ROW()-26+$H$16,MATCH($F$16,'Raw Pressure Data'!$1:$1,0))+$G$16))),"")</f>
        <v/>
      </c>
      <c r="Z185" s="26">
        <f>IFERROR(IF($F$17="","",IF($K$5+ROW()-26&gt;$K$6,"",IF(INDEX('Raw Pressure Data'!$A:$ZZ,$K$5+ROW()-26+$H$17,MATCH($F$17,'Raw Pressure Data'!$1:$1,0))=-999,"",INDEX('Raw Pressure Data'!$A:$ZZ,$K$5+ROW()-26+$H$17,MATCH($F$17,'Raw Pressure Data'!$1:$1,0))+$G$17))),"")</f>
        <v/>
      </c>
      <c r="AA185" s="26">
        <f>IFERROR(IF($F$18="","",IF($K$5+ROW()-26&gt;$K$6,"",IF(INDEX('Raw Pressure Data'!$A:$ZZ,$K$5+ROW()-26+$H$18,MATCH($F$18,'Raw Pressure Data'!$1:$1,0))=-999,"",INDEX('Raw Pressure Data'!$A:$ZZ,$K$5+ROW()-26+$H$18,MATCH($F$18,'Raw Pressure Data'!$1:$1,0))+$G$18))),"")</f>
        <v/>
      </c>
      <c r="AB185" s="26">
        <f>IFERROR(IF($F$19="","",IF($K$5+ROW()-26&gt;$K$6,"",IF(INDEX('Raw Pressure Data'!$A:$ZZ,$K$5+ROW()-26+$H$19,MATCH($F$19,'Raw Pressure Data'!$1:$1,0))=-999,"",INDEX('Raw Pressure Data'!$A:$ZZ,$K$5+ROW()-26+$H$19,MATCH($F$19,'Raw Pressure Data'!$1:$1,0))+$G$19))),"")</f>
        <v/>
      </c>
      <c r="AC185" s="26">
        <f>IFERROR(IF($F$20="","",IF($K$5+ROW()-26&gt;$K$6,"",IF(INDEX('Raw Pressure Data'!$A:$ZZ,$K$5+ROW()-26+$H$20,MATCH($F$20,'Raw Pressure Data'!$1:$1,0))=-999,"",INDEX('Raw Pressure Data'!$A:$ZZ,$K$5+ROW()-26+$H$20,MATCH($F$20,'Raw Pressure Data'!$1:$1,0))+$G$20))),"")</f>
        <v/>
      </c>
      <c r="AD185" s="26">
        <f>IFERROR(IF($F$21="","",IF($K$5+ROW()-26&gt;$K$6,"",IF(INDEX('Raw Pressure Data'!$A:$ZZ,$K$5+ROW()-26+$H$21,MATCH($F$21,'Raw Pressure Data'!$1:$1,0))=-999,"",INDEX('Raw Pressure Data'!$A:$ZZ,$K$5+ROW()-26+$H$21,MATCH($F$21,'Raw Pressure Data'!$1:$1,0))+$G$21))),"")</f>
        <v/>
      </c>
      <c r="AE185" s="26">
        <f>IFERROR(IF($F$22="","",IF($K$5+ROW()-26&gt;$K$6,"",IF(INDEX('Raw Pressure Data'!$A:$ZZ,$K$5+ROW()-26+$H$22,MATCH($F$22,'Raw Pressure Data'!$1:$1,0))=-999,"",INDEX('Raw Pressure Data'!$A:$ZZ,$K$5+ROW()-26+$H$22,MATCH($F$22,'Raw Pressure Data'!$1:$1,0))+$G$22))),"")</f>
        <v/>
      </c>
    </row>
    <row r="186" ht="15" customHeight="1">
      <c r="A186" s="23">
        <f>IFERROR(IF($K$5+ROW()-26&gt;$K$6,"",IF(INDEX('Raw Flow Data'!$A:$A,$K$5+ROW()-26)="","",INDEX('Raw Flow Data'!$A:$A,$K$5+ROW()-26))),"")</f>
        <v/>
      </c>
      <c r="B186" s="24">
        <f>IFERROR(IF($B$3="","",IF($K$5+ROW()-26&gt;$K$6,"",IF(INDEX('Raw Flow Data'!$A:$ZZ,$K$5+ROW()-26+$D$3,MATCH($B$3,'Raw Flow Data'!$1:$1,0))=-999,"",INDEX('Raw Flow Data'!$A:$ZZ,$K$5+ROW()-26+$D$3,MATCH($B$3,'Raw Flow Data'!$1:$1,0))*$C$3))),"")</f>
        <v/>
      </c>
      <c r="C186" s="24">
        <f>IFERROR(IF($B$4="","",IF($K$5+ROW()-26&gt;$K$6,"",IF(INDEX('Raw Flow Data'!$A:$ZZ,$K$5+ROW()-26+$D$4,MATCH($B$4,'Raw Flow Data'!$1:$1,0))=-999,"",INDEX('Raw Flow Data'!$A:$ZZ,$K$5+ROW()-26+$D$4,MATCH($B$4,'Raw Flow Data'!$1:$1,0))*$C$4))),"")</f>
        <v/>
      </c>
      <c r="D186" s="24">
        <f>IFERROR(IF($B$5="","",IF($K$5+ROW()-26&gt;$K$6,"",IF(INDEX('Raw Flow Data'!$A:$ZZ,$K$5+ROW()-26+$D$5,MATCH($B$5,'Raw Flow Data'!$1:$1,0))=-999,"",INDEX('Raw Flow Data'!$A:$ZZ,$K$5+ROW()-26+$D$5,MATCH($B$5,'Raw Flow Data'!$1:$1,0))*$C$5))),"")</f>
        <v/>
      </c>
      <c r="E186" s="24">
        <f>IFERROR(IF($B$6="","",IF($K$5+ROW()-26&gt;$K$6,"",IF(INDEX('Raw Flow Data'!$A:$ZZ,$K$5+ROW()-26+$D$6,MATCH($B$6,'Raw Flow Data'!$1:$1,0))=-999,"",INDEX('Raw Flow Data'!$A:$ZZ,$K$5+ROW()-26+$D$6,MATCH($B$6,'Raw Flow Data'!$1:$1,0))*$C$6))),"")</f>
        <v/>
      </c>
      <c r="F186" s="24">
        <f>IFERROR(IF($B$7="","",IF($K$5+ROW()-26&gt;$K$6,"",IF(INDEX('Raw Flow Data'!$A:$ZZ,$K$5+ROW()-26+$D$7,MATCH($B$7,'Raw Flow Data'!$1:$1,0))=-999,"",INDEX('Raw Flow Data'!$A:$ZZ,$K$5+ROW()-26+$D$7,MATCH($B$7,'Raw Flow Data'!$1:$1,0))*$C$7))),"")</f>
        <v/>
      </c>
      <c r="G186" s="24">
        <f>IFERROR(IF($B$8="","",IF($K$5+ROW()-26&gt;$K$6,"",IF(INDEX('Raw Flow Data'!$A:$ZZ,$K$5+ROW()-26+$D$8,MATCH($B$8,'Raw Flow Data'!$1:$1,0))=-999,"",INDEX('Raw Flow Data'!$A:$ZZ,$K$5+ROW()-26+$D$8,MATCH($B$8,'Raw Flow Data'!$1:$1,0))*$C$8))),"")</f>
        <v/>
      </c>
      <c r="H186" s="24">
        <f>IFERROR(IF($B$9="","",IF($K$5+ROW()-26&gt;$K$6,"",IF(INDEX('Raw Flow Data'!$A:$ZZ,$K$5+ROW()-26+$D$9,MATCH($B$9,'Raw Flow Data'!$1:$1,0))=-999,"",INDEX('Raw Flow Data'!$A:$ZZ,$K$5+ROW()-26+$D$9,MATCH($B$9,'Raw Flow Data'!$1:$1,0))*$C$9))),"")</f>
        <v/>
      </c>
      <c r="I186" s="24">
        <f>IFERROR(IF($B$10="","",IF($K$5+ROW()-26&gt;$K$6,"",IF(INDEX('Raw Flow Data'!$A:$ZZ,$K$5+ROW()-26+$D$10,MATCH($B$10,'Raw Flow Data'!$1:$1,0))=-999,"",INDEX('Raw Flow Data'!$A:$ZZ,$K$5+ROW()-26+$D$10,MATCH($B$10,'Raw Flow Data'!$1:$1,0))*$C$10))),"")</f>
        <v/>
      </c>
      <c r="J186" s="24">
        <f>IFERROR(IF($B$11="","",IF($K$5+ROW()-26&gt;$K$6,"",IF(INDEX('Raw Flow Data'!$A:$ZZ,$K$5+ROW()-26+$D$11,MATCH($B$11,'Raw Flow Data'!$1:$1,0))=-999,"",INDEX('Raw Flow Data'!$A:$ZZ,$K$5+ROW()-26+$D$11,MATCH($B$11,'Raw Flow Data'!$1:$1,0))*$C$11))),"")</f>
        <v/>
      </c>
      <c r="K186" s="24">
        <f>IFERROR(IF($B$12="","",IF($K$5+ROW()-26&gt;$K$6,"",IF(INDEX('Raw Flow Data'!$A:$ZZ,$K$5+ROW()-26+$D$12,MATCH($B$12,'Raw Flow Data'!$1:$1,0))=-999,"",INDEX('Raw Flow Data'!$A:$ZZ,$K$5+ROW()-26+$D$12,MATCH($B$12,'Raw Flow Data'!$1:$1,0))*$C$12))),"")</f>
        <v/>
      </c>
      <c r="L186" s="24">
        <f>IFERROR(IF($F$3="","",IF($K$5+ROW()-26&gt;$K$6,"",IF(INDEX('Raw Pressure Data'!$A:$ZZ,$K$5+ROW()-26+$H$3,MATCH($F$3,'Raw Pressure Data'!$1:$1,0))=-999,"",INDEX('Raw Pressure Data'!$A:$ZZ,$K$5+ROW()-26+$H$3,MATCH($F$3,'Raw Pressure Data'!$1:$1,0))+$G$3))),"")</f>
        <v/>
      </c>
      <c r="M186" s="24">
        <f>IFERROR(IF($F$4="","",IF($K$5+ROW()-26&gt;$K$6,"",IF(INDEX('Raw Pressure Data'!$A:$ZZ,$K$5+ROW()-26+$H$4,MATCH($F$4,'Raw Pressure Data'!$1:$1,0))=-999,"",INDEX('Raw Pressure Data'!$A:$ZZ,$K$5+ROW()-26+$H$4,MATCH($F$4,'Raw Pressure Data'!$1:$1,0))+$G$4))),"")</f>
        <v/>
      </c>
      <c r="N186" s="24">
        <f>IFERROR(IF($F$5="","",IF($K$5+ROW()-26&gt;$K$6,"",IF(INDEX('Raw Pressure Data'!$A:$ZZ,$K$5+ROW()-26+$H$5,MATCH($F$5,'Raw Pressure Data'!$1:$1,0))=-999,"",INDEX('Raw Pressure Data'!$A:$ZZ,$K$5+ROW()-26+$H$5,MATCH($F$5,'Raw Pressure Data'!$1:$1,0))+$G$5))),"")</f>
        <v/>
      </c>
      <c r="O186" s="24">
        <f>IFERROR(IF($F$6="","",IF($K$5+ROW()-26&gt;$K$6,"",IF(INDEX('Raw Pressure Data'!$A:$ZZ,$K$5+ROW()-26+$H$6,MATCH($F$6,'Raw Pressure Data'!$1:$1,0))=-999,"",INDEX('Raw Pressure Data'!$A:$ZZ,$K$5+ROW()-26+$H$6,MATCH($F$6,'Raw Pressure Data'!$1:$1,0))+$G$6))),"")</f>
        <v/>
      </c>
      <c r="P186" s="24">
        <f>IFERROR(IF($F$7="","",IF($K$5+ROW()-26&gt;$K$6,"",IF(INDEX('Raw Pressure Data'!$A:$ZZ,$K$5+ROW()-26+$H$7,MATCH($F$7,'Raw Pressure Data'!$1:$1,0))=-999,"",INDEX('Raw Pressure Data'!$A:$ZZ,$K$5+ROW()-26+$H$7,MATCH($F$7,'Raw Pressure Data'!$1:$1,0))+$G$7))),"")</f>
        <v/>
      </c>
      <c r="Q186" s="24">
        <f>IFERROR(IF($F$8="","",IF($K$5+ROW()-26&gt;$K$6,"",IF(INDEX('Raw Pressure Data'!$A:$ZZ,$K$5+ROW()-26+$H$8,MATCH($F$8,'Raw Pressure Data'!$1:$1,0))=-999,"",INDEX('Raw Pressure Data'!$A:$ZZ,$K$5+ROW()-26+$H$8,MATCH($F$8,'Raw Pressure Data'!$1:$1,0))+$G$8))),"")</f>
        <v/>
      </c>
      <c r="R186" s="24">
        <f>IFERROR(IF($F$9="","",IF($K$5+ROW()-26&gt;$K$6,"",IF(INDEX('Raw Pressure Data'!$A:$ZZ,$K$5+ROW()-26+$H$9,MATCH($F$9,'Raw Pressure Data'!$1:$1,0))=-999,"",INDEX('Raw Pressure Data'!$A:$ZZ,$K$5+ROW()-26+$H$9,MATCH($F$9,'Raw Pressure Data'!$1:$1,0))+$G$9))),"")</f>
        <v/>
      </c>
      <c r="S186" s="24">
        <f>IFERROR(IF($F$10="","",IF($K$5+ROW()-26&gt;$K$6,"",IF(INDEX('Raw Pressure Data'!$A:$ZZ,$K$5+ROW()-26+$H$10,MATCH($F$10,'Raw Pressure Data'!$1:$1,0))=-999,"",INDEX('Raw Pressure Data'!$A:$ZZ,$K$5+ROW()-26+$H$10,MATCH($F$10,'Raw Pressure Data'!$1:$1,0))+$G$10))),"")</f>
        <v/>
      </c>
      <c r="T186" s="24">
        <f>IFERROR(IF($F$11="","",IF($K$5+ROW()-26&gt;$K$6,"",IF(INDEX('Raw Pressure Data'!$A:$ZZ,$K$5+ROW()-26+$H$11,MATCH($F$11,'Raw Pressure Data'!$1:$1,0))=-999,"",INDEX('Raw Pressure Data'!$A:$ZZ,$K$5+ROW()-26+$H$11,MATCH($F$11,'Raw Pressure Data'!$1:$1,0))+$G$11))),"")</f>
        <v/>
      </c>
      <c r="U186" s="24">
        <f>IFERROR(IF($F$12="","",IF($K$5+ROW()-26&gt;$K$6,"",IF(INDEX('Raw Pressure Data'!$A:$ZZ,$K$5+ROW()-26+$H$12,MATCH($F$12,'Raw Pressure Data'!$1:$1,0))=-999,"",INDEX('Raw Pressure Data'!$A:$ZZ,$K$5+ROW()-26+$H$12,MATCH($F$12,'Raw Pressure Data'!$1:$1,0))+$G$12))),"")</f>
        <v/>
      </c>
      <c r="V186" s="24">
        <f>IFERROR(IF($F$13="","",IF($K$5+ROW()-26&gt;$K$6,"",IF(INDEX('Raw Pressure Data'!$A:$ZZ,$K$5+ROW()-26+$H$13,MATCH($F$13,'Raw Pressure Data'!$1:$1,0))=-999,"",INDEX('Raw Pressure Data'!$A:$ZZ,$K$5+ROW()-26+$H$13,MATCH($F$13,'Raw Pressure Data'!$1:$1,0))+$G$13))),"")</f>
        <v/>
      </c>
      <c r="W186" s="24">
        <f>IFERROR(IF($F$14="","",IF($K$5+ROW()-26&gt;$K$6,"",IF(INDEX('Raw Pressure Data'!$A:$ZZ,$K$5+ROW()-26+$H$14,MATCH($F$14,'Raw Pressure Data'!$1:$1,0))=-999,"",INDEX('Raw Pressure Data'!$A:$ZZ,$K$5+ROW()-26+$H$14,MATCH($F$14,'Raw Pressure Data'!$1:$1,0))+$G$14))),"")</f>
        <v/>
      </c>
      <c r="X186" s="24">
        <f>IFERROR(IF($F$15="","",IF($K$5+ROW()-26&gt;$K$6,"",IF(INDEX('Raw Pressure Data'!$A:$ZZ,$K$5+ROW()-26+$H$15,MATCH($F$15,'Raw Pressure Data'!$1:$1,0))=-999,"",INDEX('Raw Pressure Data'!$A:$ZZ,$K$5+ROW()-26+$H$15,MATCH($F$15,'Raw Pressure Data'!$1:$1,0))+$G$15))),"")</f>
        <v/>
      </c>
      <c r="Y186" s="24">
        <f>IFERROR(IF($F$16="","",IF($K$5+ROW()-26&gt;$K$6,"",IF(INDEX('Raw Pressure Data'!$A:$ZZ,$K$5+ROW()-26+$H$16,MATCH($F$16,'Raw Pressure Data'!$1:$1,0))=-999,"",INDEX('Raw Pressure Data'!$A:$ZZ,$K$5+ROW()-26+$H$16,MATCH($F$16,'Raw Pressure Data'!$1:$1,0))+$G$16))),"")</f>
        <v/>
      </c>
      <c r="Z186" s="24">
        <f>IFERROR(IF($F$17="","",IF($K$5+ROW()-26&gt;$K$6,"",IF(INDEX('Raw Pressure Data'!$A:$ZZ,$K$5+ROW()-26+$H$17,MATCH($F$17,'Raw Pressure Data'!$1:$1,0))=-999,"",INDEX('Raw Pressure Data'!$A:$ZZ,$K$5+ROW()-26+$H$17,MATCH($F$17,'Raw Pressure Data'!$1:$1,0))+$G$17))),"")</f>
        <v/>
      </c>
      <c r="AA186" s="24">
        <f>IFERROR(IF($F$18="","",IF($K$5+ROW()-26&gt;$K$6,"",IF(INDEX('Raw Pressure Data'!$A:$ZZ,$K$5+ROW()-26+$H$18,MATCH($F$18,'Raw Pressure Data'!$1:$1,0))=-999,"",INDEX('Raw Pressure Data'!$A:$ZZ,$K$5+ROW()-26+$H$18,MATCH($F$18,'Raw Pressure Data'!$1:$1,0))+$G$18))),"")</f>
        <v/>
      </c>
      <c r="AB186" s="24">
        <f>IFERROR(IF($F$19="","",IF($K$5+ROW()-26&gt;$K$6,"",IF(INDEX('Raw Pressure Data'!$A:$ZZ,$K$5+ROW()-26+$H$19,MATCH($F$19,'Raw Pressure Data'!$1:$1,0))=-999,"",INDEX('Raw Pressure Data'!$A:$ZZ,$K$5+ROW()-26+$H$19,MATCH($F$19,'Raw Pressure Data'!$1:$1,0))+$G$19))),"")</f>
        <v/>
      </c>
      <c r="AC186" s="24">
        <f>IFERROR(IF($F$20="","",IF($K$5+ROW()-26&gt;$K$6,"",IF(INDEX('Raw Pressure Data'!$A:$ZZ,$K$5+ROW()-26+$H$20,MATCH($F$20,'Raw Pressure Data'!$1:$1,0))=-999,"",INDEX('Raw Pressure Data'!$A:$ZZ,$K$5+ROW()-26+$H$20,MATCH($F$20,'Raw Pressure Data'!$1:$1,0))+$G$20))),"")</f>
        <v/>
      </c>
      <c r="AD186" s="24">
        <f>IFERROR(IF($F$21="","",IF($K$5+ROW()-26&gt;$K$6,"",IF(INDEX('Raw Pressure Data'!$A:$ZZ,$K$5+ROW()-26+$H$21,MATCH($F$21,'Raw Pressure Data'!$1:$1,0))=-999,"",INDEX('Raw Pressure Data'!$A:$ZZ,$K$5+ROW()-26+$H$21,MATCH($F$21,'Raw Pressure Data'!$1:$1,0))+$G$21))),"")</f>
        <v/>
      </c>
      <c r="AE186" s="24">
        <f>IFERROR(IF($F$22="","",IF($K$5+ROW()-26&gt;$K$6,"",IF(INDEX('Raw Pressure Data'!$A:$ZZ,$K$5+ROW()-26+$H$22,MATCH($F$22,'Raw Pressure Data'!$1:$1,0))=-999,"",INDEX('Raw Pressure Data'!$A:$ZZ,$K$5+ROW()-26+$H$22,MATCH($F$22,'Raw Pressure Data'!$1:$1,0))+$G$22))),"")</f>
        <v/>
      </c>
    </row>
    <row r="187" ht="15" customHeight="1">
      <c r="A187" s="25">
        <f>IFERROR(IF($K$5+ROW()-26&gt;$K$6,"",IF(INDEX('Raw Flow Data'!$A:$A,$K$5+ROW()-26)="","",INDEX('Raw Flow Data'!$A:$A,$K$5+ROW()-26))),"")</f>
        <v/>
      </c>
      <c r="B187" s="26">
        <f>IFERROR(IF($B$3="","",IF($K$5+ROW()-26&gt;$K$6,"",IF(INDEX('Raw Flow Data'!$A:$ZZ,$K$5+ROW()-26+$D$3,MATCH($B$3,'Raw Flow Data'!$1:$1,0))=-999,"",INDEX('Raw Flow Data'!$A:$ZZ,$K$5+ROW()-26+$D$3,MATCH($B$3,'Raw Flow Data'!$1:$1,0))*$C$3))),"")</f>
        <v/>
      </c>
      <c r="C187" s="26">
        <f>IFERROR(IF($B$4="","",IF($K$5+ROW()-26&gt;$K$6,"",IF(INDEX('Raw Flow Data'!$A:$ZZ,$K$5+ROW()-26+$D$4,MATCH($B$4,'Raw Flow Data'!$1:$1,0))=-999,"",INDEX('Raw Flow Data'!$A:$ZZ,$K$5+ROW()-26+$D$4,MATCH($B$4,'Raw Flow Data'!$1:$1,0))*$C$4))),"")</f>
        <v/>
      </c>
      <c r="D187" s="26">
        <f>IFERROR(IF($B$5="","",IF($K$5+ROW()-26&gt;$K$6,"",IF(INDEX('Raw Flow Data'!$A:$ZZ,$K$5+ROW()-26+$D$5,MATCH($B$5,'Raw Flow Data'!$1:$1,0))=-999,"",INDEX('Raw Flow Data'!$A:$ZZ,$K$5+ROW()-26+$D$5,MATCH($B$5,'Raw Flow Data'!$1:$1,0))*$C$5))),"")</f>
        <v/>
      </c>
      <c r="E187" s="26">
        <f>IFERROR(IF($B$6="","",IF($K$5+ROW()-26&gt;$K$6,"",IF(INDEX('Raw Flow Data'!$A:$ZZ,$K$5+ROW()-26+$D$6,MATCH($B$6,'Raw Flow Data'!$1:$1,0))=-999,"",INDEX('Raw Flow Data'!$A:$ZZ,$K$5+ROW()-26+$D$6,MATCH($B$6,'Raw Flow Data'!$1:$1,0))*$C$6))),"")</f>
        <v/>
      </c>
      <c r="F187" s="26">
        <f>IFERROR(IF($B$7="","",IF($K$5+ROW()-26&gt;$K$6,"",IF(INDEX('Raw Flow Data'!$A:$ZZ,$K$5+ROW()-26+$D$7,MATCH($B$7,'Raw Flow Data'!$1:$1,0))=-999,"",INDEX('Raw Flow Data'!$A:$ZZ,$K$5+ROW()-26+$D$7,MATCH($B$7,'Raw Flow Data'!$1:$1,0))*$C$7))),"")</f>
        <v/>
      </c>
      <c r="G187" s="26">
        <f>IFERROR(IF($B$8="","",IF($K$5+ROW()-26&gt;$K$6,"",IF(INDEX('Raw Flow Data'!$A:$ZZ,$K$5+ROW()-26+$D$8,MATCH($B$8,'Raw Flow Data'!$1:$1,0))=-999,"",INDEX('Raw Flow Data'!$A:$ZZ,$K$5+ROW()-26+$D$8,MATCH($B$8,'Raw Flow Data'!$1:$1,0))*$C$8))),"")</f>
        <v/>
      </c>
      <c r="H187" s="26">
        <f>IFERROR(IF($B$9="","",IF($K$5+ROW()-26&gt;$K$6,"",IF(INDEX('Raw Flow Data'!$A:$ZZ,$K$5+ROW()-26+$D$9,MATCH($B$9,'Raw Flow Data'!$1:$1,0))=-999,"",INDEX('Raw Flow Data'!$A:$ZZ,$K$5+ROW()-26+$D$9,MATCH($B$9,'Raw Flow Data'!$1:$1,0))*$C$9))),"")</f>
        <v/>
      </c>
      <c r="I187" s="26">
        <f>IFERROR(IF($B$10="","",IF($K$5+ROW()-26&gt;$K$6,"",IF(INDEX('Raw Flow Data'!$A:$ZZ,$K$5+ROW()-26+$D$10,MATCH($B$10,'Raw Flow Data'!$1:$1,0))=-999,"",INDEX('Raw Flow Data'!$A:$ZZ,$K$5+ROW()-26+$D$10,MATCH($B$10,'Raw Flow Data'!$1:$1,0))*$C$10))),"")</f>
        <v/>
      </c>
      <c r="J187" s="26">
        <f>IFERROR(IF($B$11="","",IF($K$5+ROW()-26&gt;$K$6,"",IF(INDEX('Raw Flow Data'!$A:$ZZ,$K$5+ROW()-26+$D$11,MATCH($B$11,'Raw Flow Data'!$1:$1,0))=-999,"",INDEX('Raw Flow Data'!$A:$ZZ,$K$5+ROW()-26+$D$11,MATCH($B$11,'Raw Flow Data'!$1:$1,0))*$C$11))),"")</f>
        <v/>
      </c>
      <c r="K187" s="26">
        <f>IFERROR(IF($B$12="","",IF($K$5+ROW()-26&gt;$K$6,"",IF(INDEX('Raw Flow Data'!$A:$ZZ,$K$5+ROW()-26+$D$12,MATCH($B$12,'Raw Flow Data'!$1:$1,0))=-999,"",INDEX('Raw Flow Data'!$A:$ZZ,$K$5+ROW()-26+$D$12,MATCH($B$12,'Raw Flow Data'!$1:$1,0))*$C$12))),"")</f>
        <v/>
      </c>
      <c r="L187" s="26">
        <f>IFERROR(IF($F$3="","",IF($K$5+ROW()-26&gt;$K$6,"",IF(INDEX('Raw Pressure Data'!$A:$ZZ,$K$5+ROW()-26+$H$3,MATCH($F$3,'Raw Pressure Data'!$1:$1,0))=-999,"",INDEX('Raw Pressure Data'!$A:$ZZ,$K$5+ROW()-26+$H$3,MATCH($F$3,'Raw Pressure Data'!$1:$1,0))+$G$3))),"")</f>
        <v/>
      </c>
      <c r="M187" s="26">
        <f>IFERROR(IF($F$4="","",IF($K$5+ROW()-26&gt;$K$6,"",IF(INDEX('Raw Pressure Data'!$A:$ZZ,$K$5+ROW()-26+$H$4,MATCH($F$4,'Raw Pressure Data'!$1:$1,0))=-999,"",INDEX('Raw Pressure Data'!$A:$ZZ,$K$5+ROW()-26+$H$4,MATCH($F$4,'Raw Pressure Data'!$1:$1,0))+$G$4))),"")</f>
        <v/>
      </c>
      <c r="N187" s="26">
        <f>IFERROR(IF($F$5="","",IF($K$5+ROW()-26&gt;$K$6,"",IF(INDEX('Raw Pressure Data'!$A:$ZZ,$K$5+ROW()-26+$H$5,MATCH($F$5,'Raw Pressure Data'!$1:$1,0))=-999,"",INDEX('Raw Pressure Data'!$A:$ZZ,$K$5+ROW()-26+$H$5,MATCH($F$5,'Raw Pressure Data'!$1:$1,0))+$G$5))),"")</f>
        <v/>
      </c>
      <c r="O187" s="26">
        <f>IFERROR(IF($F$6="","",IF($K$5+ROW()-26&gt;$K$6,"",IF(INDEX('Raw Pressure Data'!$A:$ZZ,$K$5+ROW()-26+$H$6,MATCH($F$6,'Raw Pressure Data'!$1:$1,0))=-999,"",INDEX('Raw Pressure Data'!$A:$ZZ,$K$5+ROW()-26+$H$6,MATCH($F$6,'Raw Pressure Data'!$1:$1,0))+$G$6))),"")</f>
        <v/>
      </c>
      <c r="P187" s="26">
        <f>IFERROR(IF($F$7="","",IF($K$5+ROW()-26&gt;$K$6,"",IF(INDEX('Raw Pressure Data'!$A:$ZZ,$K$5+ROW()-26+$H$7,MATCH($F$7,'Raw Pressure Data'!$1:$1,0))=-999,"",INDEX('Raw Pressure Data'!$A:$ZZ,$K$5+ROW()-26+$H$7,MATCH($F$7,'Raw Pressure Data'!$1:$1,0))+$G$7))),"")</f>
        <v/>
      </c>
      <c r="Q187" s="26">
        <f>IFERROR(IF($F$8="","",IF($K$5+ROW()-26&gt;$K$6,"",IF(INDEX('Raw Pressure Data'!$A:$ZZ,$K$5+ROW()-26+$H$8,MATCH($F$8,'Raw Pressure Data'!$1:$1,0))=-999,"",INDEX('Raw Pressure Data'!$A:$ZZ,$K$5+ROW()-26+$H$8,MATCH($F$8,'Raw Pressure Data'!$1:$1,0))+$G$8))),"")</f>
        <v/>
      </c>
      <c r="R187" s="26">
        <f>IFERROR(IF($F$9="","",IF($K$5+ROW()-26&gt;$K$6,"",IF(INDEX('Raw Pressure Data'!$A:$ZZ,$K$5+ROW()-26+$H$9,MATCH($F$9,'Raw Pressure Data'!$1:$1,0))=-999,"",INDEX('Raw Pressure Data'!$A:$ZZ,$K$5+ROW()-26+$H$9,MATCH($F$9,'Raw Pressure Data'!$1:$1,0))+$G$9))),"")</f>
        <v/>
      </c>
      <c r="S187" s="26">
        <f>IFERROR(IF($F$10="","",IF($K$5+ROW()-26&gt;$K$6,"",IF(INDEX('Raw Pressure Data'!$A:$ZZ,$K$5+ROW()-26+$H$10,MATCH($F$10,'Raw Pressure Data'!$1:$1,0))=-999,"",INDEX('Raw Pressure Data'!$A:$ZZ,$K$5+ROW()-26+$H$10,MATCH($F$10,'Raw Pressure Data'!$1:$1,0))+$G$10))),"")</f>
        <v/>
      </c>
      <c r="T187" s="26">
        <f>IFERROR(IF($F$11="","",IF($K$5+ROW()-26&gt;$K$6,"",IF(INDEX('Raw Pressure Data'!$A:$ZZ,$K$5+ROW()-26+$H$11,MATCH($F$11,'Raw Pressure Data'!$1:$1,0))=-999,"",INDEX('Raw Pressure Data'!$A:$ZZ,$K$5+ROW()-26+$H$11,MATCH($F$11,'Raw Pressure Data'!$1:$1,0))+$G$11))),"")</f>
        <v/>
      </c>
      <c r="U187" s="26">
        <f>IFERROR(IF($F$12="","",IF($K$5+ROW()-26&gt;$K$6,"",IF(INDEX('Raw Pressure Data'!$A:$ZZ,$K$5+ROW()-26+$H$12,MATCH($F$12,'Raw Pressure Data'!$1:$1,0))=-999,"",INDEX('Raw Pressure Data'!$A:$ZZ,$K$5+ROW()-26+$H$12,MATCH($F$12,'Raw Pressure Data'!$1:$1,0))+$G$12))),"")</f>
        <v/>
      </c>
      <c r="V187" s="26">
        <f>IFERROR(IF($F$13="","",IF($K$5+ROW()-26&gt;$K$6,"",IF(INDEX('Raw Pressure Data'!$A:$ZZ,$K$5+ROW()-26+$H$13,MATCH($F$13,'Raw Pressure Data'!$1:$1,0))=-999,"",INDEX('Raw Pressure Data'!$A:$ZZ,$K$5+ROW()-26+$H$13,MATCH($F$13,'Raw Pressure Data'!$1:$1,0))+$G$13))),"")</f>
        <v/>
      </c>
      <c r="W187" s="26">
        <f>IFERROR(IF($F$14="","",IF($K$5+ROW()-26&gt;$K$6,"",IF(INDEX('Raw Pressure Data'!$A:$ZZ,$K$5+ROW()-26+$H$14,MATCH($F$14,'Raw Pressure Data'!$1:$1,0))=-999,"",INDEX('Raw Pressure Data'!$A:$ZZ,$K$5+ROW()-26+$H$14,MATCH($F$14,'Raw Pressure Data'!$1:$1,0))+$G$14))),"")</f>
        <v/>
      </c>
      <c r="X187" s="26">
        <f>IFERROR(IF($F$15="","",IF($K$5+ROW()-26&gt;$K$6,"",IF(INDEX('Raw Pressure Data'!$A:$ZZ,$K$5+ROW()-26+$H$15,MATCH($F$15,'Raw Pressure Data'!$1:$1,0))=-999,"",INDEX('Raw Pressure Data'!$A:$ZZ,$K$5+ROW()-26+$H$15,MATCH($F$15,'Raw Pressure Data'!$1:$1,0))+$G$15))),"")</f>
        <v/>
      </c>
      <c r="Y187" s="26">
        <f>IFERROR(IF($F$16="","",IF($K$5+ROW()-26&gt;$K$6,"",IF(INDEX('Raw Pressure Data'!$A:$ZZ,$K$5+ROW()-26+$H$16,MATCH($F$16,'Raw Pressure Data'!$1:$1,0))=-999,"",INDEX('Raw Pressure Data'!$A:$ZZ,$K$5+ROW()-26+$H$16,MATCH($F$16,'Raw Pressure Data'!$1:$1,0))+$G$16))),"")</f>
        <v/>
      </c>
      <c r="Z187" s="26">
        <f>IFERROR(IF($F$17="","",IF($K$5+ROW()-26&gt;$K$6,"",IF(INDEX('Raw Pressure Data'!$A:$ZZ,$K$5+ROW()-26+$H$17,MATCH($F$17,'Raw Pressure Data'!$1:$1,0))=-999,"",INDEX('Raw Pressure Data'!$A:$ZZ,$K$5+ROW()-26+$H$17,MATCH($F$17,'Raw Pressure Data'!$1:$1,0))+$G$17))),"")</f>
        <v/>
      </c>
      <c r="AA187" s="26">
        <f>IFERROR(IF($F$18="","",IF($K$5+ROW()-26&gt;$K$6,"",IF(INDEX('Raw Pressure Data'!$A:$ZZ,$K$5+ROW()-26+$H$18,MATCH($F$18,'Raw Pressure Data'!$1:$1,0))=-999,"",INDEX('Raw Pressure Data'!$A:$ZZ,$K$5+ROW()-26+$H$18,MATCH($F$18,'Raw Pressure Data'!$1:$1,0))+$G$18))),"")</f>
        <v/>
      </c>
      <c r="AB187" s="26">
        <f>IFERROR(IF($F$19="","",IF($K$5+ROW()-26&gt;$K$6,"",IF(INDEX('Raw Pressure Data'!$A:$ZZ,$K$5+ROW()-26+$H$19,MATCH($F$19,'Raw Pressure Data'!$1:$1,0))=-999,"",INDEX('Raw Pressure Data'!$A:$ZZ,$K$5+ROW()-26+$H$19,MATCH($F$19,'Raw Pressure Data'!$1:$1,0))+$G$19))),"")</f>
        <v/>
      </c>
      <c r="AC187" s="26">
        <f>IFERROR(IF($F$20="","",IF($K$5+ROW()-26&gt;$K$6,"",IF(INDEX('Raw Pressure Data'!$A:$ZZ,$K$5+ROW()-26+$H$20,MATCH($F$20,'Raw Pressure Data'!$1:$1,0))=-999,"",INDEX('Raw Pressure Data'!$A:$ZZ,$K$5+ROW()-26+$H$20,MATCH($F$20,'Raw Pressure Data'!$1:$1,0))+$G$20))),"")</f>
        <v/>
      </c>
      <c r="AD187" s="26">
        <f>IFERROR(IF($F$21="","",IF($K$5+ROW()-26&gt;$K$6,"",IF(INDEX('Raw Pressure Data'!$A:$ZZ,$K$5+ROW()-26+$H$21,MATCH($F$21,'Raw Pressure Data'!$1:$1,0))=-999,"",INDEX('Raw Pressure Data'!$A:$ZZ,$K$5+ROW()-26+$H$21,MATCH($F$21,'Raw Pressure Data'!$1:$1,0))+$G$21))),"")</f>
        <v/>
      </c>
      <c r="AE187" s="26">
        <f>IFERROR(IF($F$22="","",IF($K$5+ROW()-26&gt;$K$6,"",IF(INDEX('Raw Pressure Data'!$A:$ZZ,$K$5+ROW()-26+$H$22,MATCH($F$22,'Raw Pressure Data'!$1:$1,0))=-999,"",INDEX('Raw Pressure Data'!$A:$ZZ,$K$5+ROW()-26+$H$22,MATCH($F$22,'Raw Pressure Data'!$1:$1,0))+$G$22))),"")</f>
        <v/>
      </c>
    </row>
    <row r="188" ht="15" customHeight="1">
      <c r="A188" s="23">
        <f>IFERROR(IF($K$5+ROW()-26&gt;$K$6,"",IF(INDEX('Raw Flow Data'!$A:$A,$K$5+ROW()-26)="","",INDEX('Raw Flow Data'!$A:$A,$K$5+ROW()-26))),"")</f>
        <v/>
      </c>
      <c r="B188" s="24">
        <f>IFERROR(IF($B$3="","",IF($K$5+ROW()-26&gt;$K$6,"",IF(INDEX('Raw Flow Data'!$A:$ZZ,$K$5+ROW()-26+$D$3,MATCH($B$3,'Raw Flow Data'!$1:$1,0))=-999,"",INDEX('Raw Flow Data'!$A:$ZZ,$K$5+ROW()-26+$D$3,MATCH($B$3,'Raw Flow Data'!$1:$1,0))*$C$3))),"")</f>
        <v/>
      </c>
      <c r="C188" s="24">
        <f>IFERROR(IF($B$4="","",IF($K$5+ROW()-26&gt;$K$6,"",IF(INDEX('Raw Flow Data'!$A:$ZZ,$K$5+ROW()-26+$D$4,MATCH($B$4,'Raw Flow Data'!$1:$1,0))=-999,"",INDEX('Raw Flow Data'!$A:$ZZ,$K$5+ROW()-26+$D$4,MATCH($B$4,'Raw Flow Data'!$1:$1,0))*$C$4))),"")</f>
        <v/>
      </c>
      <c r="D188" s="24">
        <f>IFERROR(IF($B$5="","",IF($K$5+ROW()-26&gt;$K$6,"",IF(INDEX('Raw Flow Data'!$A:$ZZ,$K$5+ROW()-26+$D$5,MATCH($B$5,'Raw Flow Data'!$1:$1,0))=-999,"",INDEX('Raw Flow Data'!$A:$ZZ,$K$5+ROW()-26+$D$5,MATCH($B$5,'Raw Flow Data'!$1:$1,0))*$C$5))),"")</f>
        <v/>
      </c>
      <c r="E188" s="24">
        <f>IFERROR(IF($B$6="","",IF($K$5+ROW()-26&gt;$K$6,"",IF(INDEX('Raw Flow Data'!$A:$ZZ,$K$5+ROW()-26+$D$6,MATCH($B$6,'Raw Flow Data'!$1:$1,0))=-999,"",INDEX('Raw Flow Data'!$A:$ZZ,$K$5+ROW()-26+$D$6,MATCH($B$6,'Raw Flow Data'!$1:$1,0))*$C$6))),"")</f>
        <v/>
      </c>
      <c r="F188" s="24">
        <f>IFERROR(IF($B$7="","",IF($K$5+ROW()-26&gt;$K$6,"",IF(INDEX('Raw Flow Data'!$A:$ZZ,$K$5+ROW()-26+$D$7,MATCH($B$7,'Raw Flow Data'!$1:$1,0))=-999,"",INDEX('Raw Flow Data'!$A:$ZZ,$K$5+ROW()-26+$D$7,MATCH($B$7,'Raw Flow Data'!$1:$1,0))*$C$7))),"")</f>
        <v/>
      </c>
      <c r="G188" s="24">
        <f>IFERROR(IF($B$8="","",IF($K$5+ROW()-26&gt;$K$6,"",IF(INDEX('Raw Flow Data'!$A:$ZZ,$K$5+ROW()-26+$D$8,MATCH($B$8,'Raw Flow Data'!$1:$1,0))=-999,"",INDEX('Raw Flow Data'!$A:$ZZ,$K$5+ROW()-26+$D$8,MATCH($B$8,'Raw Flow Data'!$1:$1,0))*$C$8))),"")</f>
        <v/>
      </c>
      <c r="H188" s="24">
        <f>IFERROR(IF($B$9="","",IF($K$5+ROW()-26&gt;$K$6,"",IF(INDEX('Raw Flow Data'!$A:$ZZ,$K$5+ROW()-26+$D$9,MATCH($B$9,'Raw Flow Data'!$1:$1,0))=-999,"",INDEX('Raw Flow Data'!$A:$ZZ,$K$5+ROW()-26+$D$9,MATCH($B$9,'Raw Flow Data'!$1:$1,0))*$C$9))),"")</f>
        <v/>
      </c>
      <c r="I188" s="24">
        <f>IFERROR(IF($B$10="","",IF($K$5+ROW()-26&gt;$K$6,"",IF(INDEX('Raw Flow Data'!$A:$ZZ,$K$5+ROW()-26+$D$10,MATCH($B$10,'Raw Flow Data'!$1:$1,0))=-999,"",INDEX('Raw Flow Data'!$A:$ZZ,$K$5+ROW()-26+$D$10,MATCH($B$10,'Raw Flow Data'!$1:$1,0))*$C$10))),"")</f>
        <v/>
      </c>
      <c r="J188" s="24">
        <f>IFERROR(IF($B$11="","",IF($K$5+ROW()-26&gt;$K$6,"",IF(INDEX('Raw Flow Data'!$A:$ZZ,$K$5+ROW()-26+$D$11,MATCH($B$11,'Raw Flow Data'!$1:$1,0))=-999,"",INDEX('Raw Flow Data'!$A:$ZZ,$K$5+ROW()-26+$D$11,MATCH($B$11,'Raw Flow Data'!$1:$1,0))*$C$11))),"")</f>
        <v/>
      </c>
      <c r="K188" s="24">
        <f>IFERROR(IF($B$12="","",IF($K$5+ROW()-26&gt;$K$6,"",IF(INDEX('Raw Flow Data'!$A:$ZZ,$K$5+ROW()-26+$D$12,MATCH($B$12,'Raw Flow Data'!$1:$1,0))=-999,"",INDEX('Raw Flow Data'!$A:$ZZ,$K$5+ROW()-26+$D$12,MATCH($B$12,'Raw Flow Data'!$1:$1,0))*$C$12))),"")</f>
        <v/>
      </c>
      <c r="L188" s="24">
        <f>IFERROR(IF($F$3="","",IF($K$5+ROW()-26&gt;$K$6,"",IF(INDEX('Raw Pressure Data'!$A:$ZZ,$K$5+ROW()-26+$H$3,MATCH($F$3,'Raw Pressure Data'!$1:$1,0))=-999,"",INDEX('Raw Pressure Data'!$A:$ZZ,$K$5+ROW()-26+$H$3,MATCH($F$3,'Raw Pressure Data'!$1:$1,0))+$G$3))),"")</f>
        <v/>
      </c>
      <c r="M188" s="24">
        <f>IFERROR(IF($F$4="","",IF($K$5+ROW()-26&gt;$K$6,"",IF(INDEX('Raw Pressure Data'!$A:$ZZ,$K$5+ROW()-26+$H$4,MATCH($F$4,'Raw Pressure Data'!$1:$1,0))=-999,"",INDEX('Raw Pressure Data'!$A:$ZZ,$K$5+ROW()-26+$H$4,MATCH($F$4,'Raw Pressure Data'!$1:$1,0))+$G$4))),"")</f>
        <v/>
      </c>
      <c r="N188" s="24">
        <f>IFERROR(IF($F$5="","",IF($K$5+ROW()-26&gt;$K$6,"",IF(INDEX('Raw Pressure Data'!$A:$ZZ,$K$5+ROW()-26+$H$5,MATCH($F$5,'Raw Pressure Data'!$1:$1,0))=-999,"",INDEX('Raw Pressure Data'!$A:$ZZ,$K$5+ROW()-26+$H$5,MATCH($F$5,'Raw Pressure Data'!$1:$1,0))+$G$5))),"")</f>
        <v/>
      </c>
      <c r="O188" s="24">
        <f>IFERROR(IF($F$6="","",IF($K$5+ROW()-26&gt;$K$6,"",IF(INDEX('Raw Pressure Data'!$A:$ZZ,$K$5+ROW()-26+$H$6,MATCH($F$6,'Raw Pressure Data'!$1:$1,0))=-999,"",INDEX('Raw Pressure Data'!$A:$ZZ,$K$5+ROW()-26+$H$6,MATCH($F$6,'Raw Pressure Data'!$1:$1,0))+$G$6))),"")</f>
        <v/>
      </c>
      <c r="P188" s="24">
        <f>IFERROR(IF($F$7="","",IF($K$5+ROW()-26&gt;$K$6,"",IF(INDEX('Raw Pressure Data'!$A:$ZZ,$K$5+ROW()-26+$H$7,MATCH($F$7,'Raw Pressure Data'!$1:$1,0))=-999,"",INDEX('Raw Pressure Data'!$A:$ZZ,$K$5+ROW()-26+$H$7,MATCH($F$7,'Raw Pressure Data'!$1:$1,0))+$G$7))),"")</f>
        <v/>
      </c>
      <c r="Q188" s="24">
        <f>IFERROR(IF($F$8="","",IF($K$5+ROW()-26&gt;$K$6,"",IF(INDEX('Raw Pressure Data'!$A:$ZZ,$K$5+ROW()-26+$H$8,MATCH($F$8,'Raw Pressure Data'!$1:$1,0))=-999,"",INDEX('Raw Pressure Data'!$A:$ZZ,$K$5+ROW()-26+$H$8,MATCH($F$8,'Raw Pressure Data'!$1:$1,0))+$G$8))),"")</f>
        <v/>
      </c>
      <c r="R188" s="24">
        <f>IFERROR(IF($F$9="","",IF($K$5+ROW()-26&gt;$K$6,"",IF(INDEX('Raw Pressure Data'!$A:$ZZ,$K$5+ROW()-26+$H$9,MATCH($F$9,'Raw Pressure Data'!$1:$1,0))=-999,"",INDEX('Raw Pressure Data'!$A:$ZZ,$K$5+ROW()-26+$H$9,MATCH($F$9,'Raw Pressure Data'!$1:$1,0))+$G$9))),"")</f>
        <v/>
      </c>
      <c r="S188" s="24">
        <f>IFERROR(IF($F$10="","",IF($K$5+ROW()-26&gt;$K$6,"",IF(INDEX('Raw Pressure Data'!$A:$ZZ,$K$5+ROW()-26+$H$10,MATCH($F$10,'Raw Pressure Data'!$1:$1,0))=-999,"",INDEX('Raw Pressure Data'!$A:$ZZ,$K$5+ROW()-26+$H$10,MATCH($F$10,'Raw Pressure Data'!$1:$1,0))+$G$10))),"")</f>
        <v/>
      </c>
      <c r="T188" s="24">
        <f>IFERROR(IF($F$11="","",IF($K$5+ROW()-26&gt;$K$6,"",IF(INDEX('Raw Pressure Data'!$A:$ZZ,$K$5+ROW()-26+$H$11,MATCH($F$11,'Raw Pressure Data'!$1:$1,0))=-999,"",INDEX('Raw Pressure Data'!$A:$ZZ,$K$5+ROW()-26+$H$11,MATCH($F$11,'Raw Pressure Data'!$1:$1,0))+$G$11))),"")</f>
        <v/>
      </c>
      <c r="U188" s="24">
        <f>IFERROR(IF($F$12="","",IF($K$5+ROW()-26&gt;$K$6,"",IF(INDEX('Raw Pressure Data'!$A:$ZZ,$K$5+ROW()-26+$H$12,MATCH($F$12,'Raw Pressure Data'!$1:$1,0))=-999,"",INDEX('Raw Pressure Data'!$A:$ZZ,$K$5+ROW()-26+$H$12,MATCH($F$12,'Raw Pressure Data'!$1:$1,0))+$G$12))),"")</f>
        <v/>
      </c>
      <c r="V188" s="24">
        <f>IFERROR(IF($F$13="","",IF($K$5+ROW()-26&gt;$K$6,"",IF(INDEX('Raw Pressure Data'!$A:$ZZ,$K$5+ROW()-26+$H$13,MATCH($F$13,'Raw Pressure Data'!$1:$1,0))=-999,"",INDEX('Raw Pressure Data'!$A:$ZZ,$K$5+ROW()-26+$H$13,MATCH($F$13,'Raw Pressure Data'!$1:$1,0))+$G$13))),"")</f>
        <v/>
      </c>
      <c r="W188" s="24">
        <f>IFERROR(IF($F$14="","",IF($K$5+ROW()-26&gt;$K$6,"",IF(INDEX('Raw Pressure Data'!$A:$ZZ,$K$5+ROW()-26+$H$14,MATCH($F$14,'Raw Pressure Data'!$1:$1,0))=-999,"",INDEX('Raw Pressure Data'!$A:$ZZ,$K$5+ROW()-26+$H$14,MATCH($F$14,'Raw Pressure Data'!$1:$1,0))+$G$14))),"")</f>
        <v/>
      </c>
      <c r="X188" s="24">
        <f>IFERROR(IF($F$15="","",IF($K$5+ROW()-26&gt;$K$6,"",IF(INDEX('Raw Pressure Data'!$A:$ZZ,$K$5+ROW()-26+$H$15,MATCH($F$15,'Raw Pressure Data'!$1:$1,0))=-999,"",INDEX('Raw Pressure Data'!$A:$ZZ,$K$5+ROW()-26+$H$15,MATCH($F$15,'Raw Pressure Data'!$1:$1,0))+$G$15))),"")</f>
        <v/>
      </c>
      <c r="Y188" s="24">
        <f>IFERROR(IF($F$16="","",IF($K$5+ROW()-26&gt;$K$6,"",IF(INDEX('Raw Pressure Data'!$A:$ZZ,$K$5+ROW()-26+$H$16,MATCH($F$16,'Raw Pressure Data'!$1:$1,0))=-999,"",INDEX('Raw Pressure Data'!$A:$ZZ,$K$5+ROW()-26+$H$16,MATCH($F$16,'Raw Pressure Data'!$1:$1,0))+$G$16))),"")</f>
        <v/>
      </c>
      <c r="Z188" s="24">
        <f>IFERROR(IF($F$17="","",IF($K$5+ROW()-26&gt;$K$6,"",IF(INDEX('Raw Pressure Data'!$A:$ZZ,$K$5+ROW()-26+$H$17,MATCH($F$17,'Raw Pressure Data'!$1:$1,0))=-999,"",INDEX('Raw Pressure Data'!$A:$ZZ,$K$5+ROW()-26+$H$17,MATCH($F$17,'Raw Pressure Data'!$1:$1,0))+$G$17))),"")</f>
        <v/>
      </c>
      <c r="AA188" s="24">
        <f>IFERROR(IF($F$18="","",IF($K$5+ROW()-26&gt;$K$6,"",IF(INDEX('Raw Pressure Data'!$A:$ZZ,$K$5+ROW()-26+$H$18,MATCH($F$18,'Raw Pressure Data'!$1:$1,0))=-999,"",INDEX('Raw Pressure Data'!$A:$ZZ,$K$5+ROW()-26+$H$18,MATCH($F$18,'Raw Pressure Data'!$1:$1,0))+$G$18))),"")</f>
        <v/>
      </c>
      <c r="AB188" s="24">
        <f>IFERROR(IF($F$19="","",IF($K$5+ROW()-26&gt;$K$6,"",IF(INDEX('Raw Pressure Data'!$A:$ZZ,$K$5+ROW()-26+$H$19,MATCH($F$19,'Raw Pressure Data'!$1:$1,0))=-999,"",INDEX('Raw Pressure Data'!$A:$ZZ,$K$5+ROW()-26+$H$19,MATCH($F$19,'Raw Pressure Data'!$1:$1,0))+$G$19))),"")</f>
        <v/>
      </c>
      <c r="AC188" s="24">
        <f>IFERROR(IF($F$20="","",IF($K$5+ROW()-26&gt;$K$6,"",IF(INDEX('Raw Pressure Data'!$A:$ZZ,$K$5+ROW()-26+$H$20,MATCH($F$20,'Raw Pressure Data'!$1:$1,0))=-999,"",INDEX('Raw Pressure Data'!$A:$ZZ,$K$5+ROW()-26+$H$20,MATCH($F$20,'Raw Pressure Data'!$1:$1,0))+$G$20))),"")</f>
        <v/>
      </c>
      <c r="AD188" s="24">
        <f>IFERROR(IF($F$21="","",IF($K$5+ROW()-26&gt;$K$6,"",IF(INDEX('Raw Pressure Data'!$A:$ZZ,$K$5+ROW()-26+$H$21,MATCH($F$21,'Raw Pressure Data'!$1:$1,0))=-999,"",INDEX('Raw Pressure Data'!$A:$ZZ,$K$5+ROW()-26+$H$21,MATCH($F$21,'Raw Pressure Data'!$1:$1,0))+$G$21))),"")</f>
        <v/>
      </c>
      <c r="AE188" s="24">
        <f>IFERROR(IF($F$22="","",IF($K$5+ROW()-26&gt;$K$6,"",IF(INDEX('Raw Pressure Data'!$A:$ZZ,$K$5+ROW()-26+$H$22,MATCH($F$22,'Raw Pressure Data'!$1:$1,0))=-999,"",INDEX('Raw Pressure Data'!$A:$ZZ,$K$5+ROW()-26+$H$22,MATCH($F$22,'Raw Pressure Data'!$1:$1,0))+$G$22))),"")</f>
        <v/>
      </c>
    </row>
    <row r="189" ht="15" customHeight="1">
      <c r="A189" s="25">
        <f>IFERROR(IF($K$5+ROW()-26&gt;$K$6,"",IF(INDEX('Raw Flow Data'!$A:$A,$K$5+ROW()-26)="","",INDEX('Raw Flow Data'!$A:$A,$K$5+ROW()-26))),"")</f>
        <v/>
      </c>
      <c r="B189" s="26">
        <f>IFERROR(IF($B$3="","",IF($K$5+ROW()-26&gt;$K$6,"",IF(INDEX('Raw Flow Data'!$A:$ZZ,$K$5+ROW()-26+$D$3,MATCH($B$3,'Raw Flow Data'!$1:$1,0))=-999,"",INDEX('Raw Flow Data'!$A:$ZZ,$K$5+ROW()-26+$D$3,MATCH($B$3,'Raw Flow Data'!$1:$1,0))*$C$3))),"")</f>
        <v/>
      </c>
      <c r="C189" s="26">
        <f>IFERROR(IF($B$4="","",IF($K$5+ROW()-26&gt;$K$6,"",IF(INDEX('Raw Flow Data'!$A:$ZZ,$K$5+ROW()-26+$D$4,MATCH($B$4,'Raw Flow Data'!$1:$1,0))=-999,"",INDEX('Raw Flow Data'!$A:$ZZ,$K$5+ROW()-26+$D$4,MATCH($B$4,'Raw Flow Data'!$1:$1,0))*$C$4))),"")</f>
        <v/>
      </c>
      <c r="D189" s="26">
        <f>IFERROR(IF($B$5="","",IF($K$5+ROW()-26&gt;$K$6,"",IF(INDEX('Raw Flow Data'!$A:$ZZ,$K$5+ROW()-26+$D$5,MATCH($B$5,'Raw Flow Data'!$1:$1,0))=-999,"",INDEX('Raw Flow Data'!$A:$ZZ,$K$5+ROW()-26+$D$5,MATCH($B$5,'Raw Flow Data'!$1:$1,0))*$C$5))),"")</f>
        <v/>
      </c>
      <c r="E189" s="26">
        <f>IFERROR(IF($B$6="","",IF($K$5+ROW()-26&gt;$K$6,"",IF(INDEX('Raw Flow Data'!$A:$ZZ,$K$5+ROW()-26+$D$6,MATCH($B$6,'Raw Flow Data'!$1:$1,0))=-999,"",INDEX('Raw Flow Data'!$A:$ZZ,$K$5+ROW()-26+$D$6,MATCH($B$6,'Raw Flow Data'!$1:$1,0))*$C$6))),"")</f>
        <v/>
      </c>
      <c r="F189" s="26">
        <f>IFERROR(IF($B$7="","",IF($K$5+ROW()-26&gt;$K$6,"",IF(INDEX('Raw Flow Data'!$A:$ZZ,$K$5+ROW()-26+$D$7,MATCH($B$7,'Raw Flow Data'!$1:$1,0))=-999,"",INDEX('Raw Flow Data'!$A:$ZZ,$K$5+ROW()-26+$D$7,MATCH($B$7,'Raw Flow Data'!$1:$1,0))*$C$7))),"")</f>
        <v/>
      </c>
      <c r="G189" s="26">
        <f>IFERROR(IF($B$8="","",IF($K$5+ROW()-26&gt;$K$6,"",IF(INDEX('Raw Flow Data'!$A:$ZZ,$K$5+ROW()-26+$D$8,MATCH($B$8,'Raw Flow Data'!$1:$1,0))=-999,"",INDEX('Raw Flow Data'!$A:$ZZ,$K$5+ROW()-26+$D$8,MATCH($B$8,'Raw Flow Data'!$1:$1,0))*$C$8))),"")</f>
        <v/>
      </c>
      <c r="H189" s="26">
        <f>IFERROR(IF($B$9="","",IF($K$5+ROW()-26&gt;$K$6,"",IF(INDEX('Raw Flow Data'!$A:$ZZ,$K$5+ROW()-26+$D$9,MATCH($B$9,'Raw Flow Data'!$1:$1,0))=-999,"",INDEX('Raw Flow Data'!$A:$ZZ,$K$5+ROW()-26+$D$9,MATCH($B$9,'Raw Flow Data'!$1:$1,0))*$C$9))),"")</f>
        <v/>
      </c>
      <c r="I189" s="26">
        <f>IFERROR(IF($B$10="","",IF($K$5+ROW()-26&gt;$K$6,"",IF(INDEX('Raw Flow Data'!$A:$ZZ,$K$5+ROW()-26+$D$10,MATCH($B$10,'Raw Flow Data'!$1:$1,0))=-999,"",INDEX('Raw Flow Data'!$A:$ZZ,$K$5+ROW()-26+$D$10,MATCH($B$10,'Raw Flow Data'!$1:$1,0))*$C$10))),"")</f>
        <v/>
      </c>
      <c r="J189" s="26">
        <f>IFERROR(IF($B$11="","",IF($K$5+ROW()-26&gt;$K$6,"",IF(INDEX('Raw Flow Data'!$A:$ZZ,$K$5+ROW()-26+$D$11,MATCH($B$11,'Raw Flow Data'!$1:$1,0))=-999,"",INDEX('Raw Flow Data'!$A:$ZZ,$K$5+ROW()-26+$D$11,MATCH($B$11,'Raw Flow Data'!$1:$1,0))*$C$11))),"")</f>
        <v/>
      </c>
      <c r="K189" s="26">
        <f>IFERROR(IF($B$12="","",IF($K$5+ROW()-26&gt;$K$6,"",IF(INDEX('Raw Flow Data'!$A:$ZZ,$K$5+ROW()-26+$D$12,MATCH($B$12,'Raw Flow Data'!$1:$1,0))=-999,"",INDEX('Raw Flow Data'!$A:$ZZ,$K$5+ROW()-26+$D$12,MATCH($B$12,'Raw Flow Data'!$1:$1,0))*$C$12))),"")</f>
        <v/>
      </c>
      <c r="L189" s="26">
        <f>IFERROR(IF($F$3="","",IF($K$5+ROW()-26&gt;$K$6,"",IF(INDEX('Raw Pressure Data'!$A:$ZZ,$K$5+ROW()-26+$H$3,MATCH($F$3,'Raw Pressure Data'!$1:$1,0))=-999,"",INDEX('Raw Pressure Data'!$A:$ZZ,$K$5+ROW()-26+$H$3,MATCH($F$3,'Raw Pressure Data'!$1:$1,0))+$G$3))),"")</f>
        <v/>
      </c>
      <c r="M189" s="26">
        <f>IFERROR(IF($F$4="","",IF($K$5+ROW()-26&gt;$K$6,"",IF(INDEX('Raw Pressure Data'!$A:$ZZ,$K$5+ROW()-26+$H$4,MATCH($F$4,'Raw Pressure Data'!$1:$1,0))=-999,"",INDEX('Raw Pressure Data'!$A:$ZZ,$K$5+ROW()-26+$H$4,MATCH($F$4,'Raw Pressure Data'!$1:$1,0))+$G$4))),"")</f>
        <v/>
      </c>
      <c r="N189" s="26">
        <f>IFERROR(IF($F$5="","",IF($K$5+ROW()-26&gt;$K$6,"",IF(INDEX('Raw Pressure Data'!$A:$ZZ,$K$5+ROW()-26+$H$5,MATCH($F$5,'Raw Pressure Data'!$1:$1,0))=-999,"",INDEX('Raw Pressure Data'!$A:$ZZ,$K$5+ROW()-26+$H$5,MATCH($F$5,'Raw Pressure Data'!$1:$1,0))+$G$5))),"")</f>
        <v/>
      </c>
      <c r="O189" s="26">
        <f>IFERROR(IF($F$6="","",IF($K$5+ROW()-26&gt;$K$6,"",IF(INDEX('Raw Pressure Data'!$A:$ZZ,$K$5+ROW()-26+$H$6,MATCH($F$6,'Raw Pressure Data'!$1:$1,0))=-999,"",INDEX('Raw Pressure Data'!$A:$ZZ,$K$5+ROW()-26+$H$6,MATCH($F$6,'Raw Pressure Data'!$1:$1,0))+$G$6))),"")</f>
        <v/>
      </c>
      <c r="P189" s="26">
        <f>IFERROR(IF($F$7="","",IF($K$5+ROW()-26&gt;$K$6,"",IF(INDEX('Raw Pressure Data'!$A:$ZZ,$K$5+ROW()-26+$H$7,MATCH($F$7,'Raw Pressure Data'!$1:$1,0))=-999,"",INDEX('Raw Pressure Data'!$A:$ZZ,$K$5+ROW()-26+$H$7,MATCH($F$7,'Raw Pressure Data'!$1:$1,0))+$G$7))),"")</f>
        <v/>
      </c>
      <c r="Q189" s="26">
        <f>IFERROR(IF($F$8="","",IF($K$5+ROW()-26&gt;$K$6,"",IF(INDEX('Raw Pressure Data'!$A:$ZZ,$K$5+ROW()-26+$H$8,MATCH($F$8,'Raw Pressure Data'!$1:$1,0))=-999,"",INDEX('Raw Pressure Data'!$A:$ZZ,$K$5+ROW()-26+$H$8,MATCH($F$8,'Raw Pressure Data'!$1:$1,0))+$G$8))),"")</f>
        <v/>
      </c>
      <c r="R189" s="26">
        <f>IFERROR(IF($F$9="","",IF($K$5+ROW()-26&gt;$K$6,"",IF(INDEX('Raw Pressure Data'!$A:$ZZ,$K$5+ROW()-26+$H$9,MATCH($F$9,'Raw Pressure Data'!$1:$1,0))=-999,"",INDEX('Raw Pressure Data'!$A:$ZZ,$K$5+ROW()-26+$H$9,MATCH($F$9,'Raw Pressure Data'!$1:$1,0))+$G$9))),"")</f>
        <v/>
      </c>
      <c r="S189" s="26">
        <f>IFERROR(IF($F$10="","",IF($K$5+ROW()-26&gt;$K$6,"",IF(INDEX('Raw Pressure Data'!$A:$ZZ,$K$5+ROW()-26+$H$10,MATCH($F$10,'Raw Pressure Data'!$1:$1,0))=-999,"",INDEX('Raw Pressure Data'!$A:$ZZ,$K$5+ROW()-26+$H$10,MATCH($F$10,'Raw Pressure Data'!$1:$1,0))+$G$10))),"")</f>
        <v/>
      </c>
      <c r="T189" s="26">
        <f>IFERROR(IF($F$11="","",IF($K$5+ROW()-26&gt;$K$6,"",IF(INDEX('Raw Pressure Data'!$A:$ZZ,$K$5+ROW()-26+$H$11,MATCH($F$11,'Raw Pressure Data'!$1:$1,0))=-999,"",INDEX('Raw Pressure Data'!$A:$ZZ,$K$5+ROW()-26+$H$11,MATCH($F$11,'Raw Pressure Data'!$1:$1,0))+$G$11))),"")</f>
        <v/>
      </c>
      <c r="U189" s="26">
        <f>IFERROR(IF($F$12="","",IF($K$5+ROW()-26&gt;$K$6,"",IF(INDEX('Raw Pressure Data'!$A:$ZZ,$K$5+ROW()-26+$H$12,MATCH($F$12,'Raw Pressure Data'!$1:$1,0))=-999,"",INDEX('Raw Pressure Data'!$A:$ZZ,$K$5+ROW()-26+$H$12,MATCH($F$12,'Raw Pressure Data'!$1:$1,0))+$G$12))),"")</f>
        <v/>
      </c>
      <c r="V189" s="26">
        <f>IFERROR(IF($F$13="","",IF($K$5+ROW()-26&gt;$K$6,"",IF(INDEX('Raw Pressure Data'!$A:$ZZ,$K$5+ROW()-26+$H$13,MATCH($F$13,'Raw Pressure Data'!$1:$1,0))=-999,"",INDEX('Raw Pressure Data'!$A:$ZZ,$K$5+ROW()-26+$H$13,MATCH($F$13,'Raw Pressure Data'!$1:$1,0))+$G$13))),"")</f>
        <v/>
      </c>
      <c r="W189" s="26">
        <f>IFERROR(IF($F$14="","",IF($K$5+ROW()-26&gt;$K$6,"",IF(INDEX('Raw Pressure Data'!$A:$ZZ,$K$5+ROW()-26+$H$14,MATCH($F$14,'Raw Pressure Data'!$1:$1,0))=-999,"",INDEX('Raw Pressure Data'!$A:$ZZ,$K$5+ROW()-26+$H$14,MATCH($F$14,'Raw Pressure Data'!$1:$1,0))+$G$14))),"")</f>
        <v/>
      </c>
      <c r="X189" s="26">
        <f>IFERROR(IF($F$15="","",IF($K$5+ROW()-26&gt;$K$6,"",IF(INDEX('Raw Pressure Data'!$A:$ZZ,$K$5+ROW()-26+$H$15,MATCH($F$15,'Raw Pressure Data'!$1:$1,0))=-999,"",INDEX('Raw Pressure Data'!$A:$ZZ,$K$5+ROW()-26+$H$15,MATCH($F$15,'Raw Pressure Data'!$1:$1,0))+$G$15))),"")</f>
        <v/>
      </c>
      <c r="Y189" s="26">
        <f>IFERROR(IF($F$16="","",IF($K$5+ROW()-26&gt;$K$6,"",IF(INDEX('Raw Pressure Data'!$A:$ZZ,$K$5+ROW()-26+$H$16,MATCH($F$16,'Raw Pressure Data'!$1:$1,0))=-999,"",INDEX('Raw Pressure Data'!$A:$ZZ,$K$5+ROW()-26+$H$16,MATCH($F$16,'Raw Pressure Data'!$1:$1,0))+$G$16))),"")</f>
        <v/>
      </c>
      <c r="Z189" s="26">
        <f>IFERROR(IF($F$17="","",IF($K$5+ROW()-26&gt;$K$6,"",IF(INDEX('Raw Pressure Data'!$A:$ZZ,$K$5+ROW()-26+$H$17,MATCH($F$17,'Raw Pressure Data'!$1:$1,0))=-999,"",INDEX('Raw Pressure Data'!$A:$ZZ,$K$5+ROW()-26+$H$17,MATCH($F$17,'Raw Pressure Data'!$1:$1,0))+$G$17))),"")</f>
        <v/>
      </c>
      <c r="AA189" s="26">
        <f>IFERROR(IF($F$18="","",IF($K$5+ROW()-26&gt;$K$6,"",IF(INDEX('Raw Pressure Data'!$A:$ZZ,$K$5+ROW()-26+$H$18,MATCH($F$18,'Raw Pressure Data'!$1:$1,0))=-999,"",INDEX('Raw Pressure Data'!$A:$ZZ,$K$5+ROW()-26+$H$18,MATCH($F$18,'Raw Pressure Data'!$1:$1,0))+$G$18))),"")</f>
        <v/>
      </c>
      <c r="AB189" s="26">
        <f>IFERROR(IF($F$19="","",IF($K$5+ROW()-26&gt;$K$6,"",IF(INDEX('Raw Pressure Data'!$A:$ZZ,$K$5+ROW()-26+$H$19,MATCH($F$19,'Raw Pressure Data'!$1:$1,0))=-999,"",INDEX('Raw Pressure Data'!$A:$ZZ,$K$5+ROW()-26+$H$19,MATCH($F$19,'Raw Pressure Data'!$1:$1,0))+$G$19))),"")</f>
        <v/>
      </c>
      <c r="AC189" s="26">
        <f>IFERROR(IF($F$20="","",IF($K$5+ROW()-26&gt;$K$6,"",IF(INDEX('Raw Pressure Data'!$A:$ZZ,$K$5+ROW()-26+$H$20,MATCH($F$20,'Raw Pressure Data'!$1:$1,0))=-999,"",INDEX('Raw Pressure Data'!$A:$ZZ,$K$5+ROW()-26+$H$20,MATCH($F$20,'Raw Pressure Data'!$1:$1,0))+$G$20))),"")</f>
        <v/>
      </c>
      <c r="AD189" s="26">
        <f>IFERROR(IF($F$21="","",IF($K$5+ROW()-26&gt;$K$6,"",IF(INDEX('Raw Pressure Data'!$A:$ZZ,$K$5+ROW()-26+$H$21,MATCH($F$21,'Raw Pressure Data'!$1:$1,0))=-999,"",INDEX('Raw Pressure Data'!$A:$ZZ,$K$5+ROW()-26+$H$21,MATCH($F$21,'Raw Pressure Data'!$1:$1,0))+$G$21))),"")</f>
        <v/>
      </c>
      <c r="AE189" s="26">
        <f>IFERROR(IF($F$22="","",IF($K$5+ROW()-26&gt;$K$6,"",IF(INDEX('Raw Pressure Data'!$A:$ZZ,$K$5+ROW()-26+$H$22,MATCH($F$22,'Raw Pressure Data'!$1:$1,0))=-999,"",INDEX('Raw Pressure Data'!$A:$ZZ,$K$5+ROW()-26+$H$22,MATCH($F$22,'Raw Pressure Data'!$1:$1,0))+$G$22))),"")</f>
        <v/>
      </c>
    </row>
    <row r="190" ht="15" customHeight="1">
      <c r="A190" s="23">
        <f>IFERROR(IF($K$5+ROW()-26&gt;$K$6,"",IF(INDEX('Raw Flow Data'!$A:$A,$K$5+ROW()-26)="","",INDEX('Raw Flow Data'!$A:$A,$K$5+ROW()-26))),"")</f>
        <v/>
      </c>
      <c r="B190" s="24">
        <f>IFERROR(IF($B$3="","",IF($K$5+ROW()-26&gt;$K$6,"",IF(INDEX('Raw Flow Data'!$A:$ZZ,$K$5+ROW()-26+$D$3,MATCH($B$3,'Raw Flow Data'!$1:$1,0))=-999,"",INDEX('Raw Flow Data'!$A:$ZZ,$K$5+ROW()-26+$D$3,MATCH($B$3,'Raw Flow Data'!$1:$1,0))*$C$3))),"")</f>
        <v/>
      </c>
      <c r="C190" s="24">
        <f>IFERROR(IF($B$4="","",IF($K$5+ROW()-26&gt;$K$6,"",IF(INDEX('Raw Flow Data'!$A:$ZZ,$K$5+ROW()-26+$D$4,MATCH($B$4,'Raw Flow Data'!$1:$1,0))=-999,"",INDEX('Raw Flow Data'!$A:$ZZ,$K$5+ROW()-26+$D$4,MATCH($B$4,'Raw Flow Data'!$1:$1,0))*$C$4))),"")</f>
        <v/>
      </c>
      <c r="D190" s="24">
        <f>IFERROR(IF($B$5="","",IF($K$5+ROW()-26&gt;$K$6,"",IF(INDEX('Raw Flow Data'!$A:$ZZ,$K$5+ROW()-26+$D$5,MATCH($B$5,'Raw Flow Data'!$1:$1,0))=-999,"",INDEX('Raw Flow Data'!$A:$ZZ,$K$5+ROW()-26+$D$5,MATCH($B$5,'Raw Flow Data'!$1:$1,0))*$C$5))),"")</f>
        <v/>
      </c>
      <c r="E190" s="24">
        <f>IFERROR(IF($B$6="","",IF($K$5+ROW()-26&gt;$K$6,"",IF(INDEX('Raw Flow Data'!$A:$ZZ,$K$5+ROW()-26+$D$6,MATCH($B$6,'Raw Flow Data'!$1:$1,0))=-999,"",INDEX('Raw Flow Data'!$A:$ZZ,$K$5+ROW()-26+$D$6,MATCH($B$6,'Raw Flow Data'!$1:$1,0))*$C$6))),"")</f>
        <v/>
      </c>
      <c r="F190" s="24">
        <f>IFERROR(IF($B$7="","",IF($K$5+ROW()-26&gt;$K$6,"",IF(INDEX('Raw Flow Data'!$A:$ZZ,$K$5+ROW()-26+$D$7,MATCH($B$7,'Raw Flow Data'!$1:$1,0))=-999,"",INDEX('Raw Flow Data'!$A:$ZZ,$K$5+ROW()-26+$D$7,MATCH($B$7,'Raw Flow Data'!$1:$1,0))*$C$7))),"")</f>
        <v/>
      </c>
      <c r="G190" s="24">
        <f>IFERROR(IF($B$8="","",IF($K$5+ROW()-26&gt;$K$6,"",IF(INDEX('Raw Flow Data'!$A:$ZZ,$K$5+ROW()-26+$D$8,MATCH($B$8,'Raw Flow Data'!$1:$1,0))=-999,"",INDEX('Raw Flow Data'!$A:$ZZ,$K$5+ROW()-26+$D$8,MATCH($B$8,'Raw Flow Data'!$1:$1,0))*$C$8))),"")</f>
        <v/>
      </c>
      <c r="H190" s="24">
        <f>IFERROR(IF($B$9="","",IF($K$5+ROW()-26&gt;$K$6,"",IF(INDEX('Raw Flow Data'!$A:$ZZ,$K$5+ROW()-26+$D$9,MATCH($B$9,'Raw Flow Data'!$1:$1,0))=-999,"",INDEX('Raw Flow Data'!$A:$ZZ,$K$5+ROW()-26+$D$9,MATCH($B$9,'Raw Flow Data'!$1:$1,0))*$C$9))),"")</f>
        <v/>
      </c>
      <c r="I190" s="24">
        <f>IFERROR(IF($B$10="","",IF($K$5+ROW()-26&gt;$K$6,"",IF(INDEX('Raw Flow Data'!$A:$ZZ,$K$5+ROW()-26+$D$10,MATCH($B$10,'Raw Flow Data'!$1:$1,0))=-999,"",INDEX('Raw Flow Data'!$A:$ZZ,$K$5+ROW()-26+$D$10,MATCH($B$10,'Raw Flow Data'!$1:$1,0))*$C$10))),"")</f>
        <v/>
      </c>
      <c r="J190" s="24">
        <f>IFERROR(IF($B$11="","",IF($K$5+ROW()-26&gt;$K$6,"",IF(INDEX('Raw Flow Data'!$A:$ZZ,$K$5+ROW()-26+$D$11,MATCH($B$11,'Raw Flow Data'!$1:$1,0))=-999,"",INDEX('Raw Flow Data'!$A:$ZZ,$K$5+ROW()-26+$D$11,MATCH($B$11,'Raw Flow Data'!$1:$1,0))*$C$11))),"")</f>
        <v/>
      </c>
      <c r="K190" s="24">
        <f>IFERROR(IF($B$12="","",IF($K$5+ROW()-26&gt;$K$6,"",IF(INDEX('Raw Flow Data'!$A:$ZZ,$K$5+ROW()-26+$D$12,MATCH($B$12,'Raw Flow Data'!$1:$1,0))=-999,"",INDEX('Raw Flow Data'!$A:$ZZ,$K$5+ROW()-26+$D$12,MATCH($B$12,'Raw Flow Data'!$1:$1,0))*$C$12))),"")</f>
        <v/>
      </c>
      <c r="L190" s="24">
        <f>IFERROR(IF($F$3="","",IF($K$5+ROW()-26&gt;$K$6,"",IF(INDEX('Raw Pressure Data'!$A:$ZZ,$K$5+ROW()-26+$H$3,MATCH($F$3,'Raw Pressure Data'!$1:$1,0))=-999,"",INDEX('Raw Pressure Data'!$A:$ZZ,$K$5+ROW()-26+$H$3,MATCH($F$3,'Raw Pressure Data'!$1:$1,0))+$G$3))),"")</f>
        <v/>
      </c>
      <c r="M190" s="24">
        <f>IFERROR(IF($F$4="","",IF($K$5+ROW()-26&gt;$K$6,"",IF(INDEX('Raw Pressure Data'!$A:$ZZ,$K$5+ROW()-26+$H$4,MATCH($F$4,'Raw Pressure Data'!$1:$1,0))=-999,"",INDEX('Raw Pressure Data'!$A:$ZZ,$K$5+ROW()-26+$H$4,MATCH($F$4,'Raw Pressure Data'!$1:$1,0))+$G$4))),"")</f>
        <v/>
      </c>
      <c r="N190" s="24">
        <f>IFERROR(IF($F$5="","",IF($K$5+ROW()-26&gt;$K$6,"",IF(INDEX('Raw Pressure Data'!$A:$ZZ,$K$5+ROW()-26+$H$5,MATCH($F$5,'Raw Pressure Data'!$1:$1,0))=-999,"",INDEX('Raw Pressure Data'!$A:$ZZ,$K$5+ROW()-26+$H$5,MATCH($F$5,'Raw Pressure Data'!$1:$1,0))+$G$5))),"")</f>
        <v/>
      </c>
      <c r="O190" s="24">
        <f>IFERROR(IF($F$6="","",IF($K$5+ROW()-26&gt;$K$6,"",IF(INDEX('Raw Pressure Data'!$A:$ZZ,$K$5+ROW()-26+$H$6,MATCH($F$6,'Raw Pressure Data'!$1:$1,0))=-999,"",INDEX('Raw Pressure Data'!$A:$ZZ,$K$5+ROW()-26+$H$6,MATCH($F$6,'Raw Pressure Data'!$1:$1,0))+$G$6))),"")</f>
        <v/>
      </c>
      <c r="P190" s="24">
        <f>IFERROR(IF($F$7="","",IF($K$5+ROW()-26&gt;$K$6,"",IF(INDEX('Raw Pressure Data'!$A:$ZZ,$K$5+ROW()-26+$H$7,MATCH($F$7,'Raw Pressure Data'!$1:$1,0))=-999,"",INDEX('Raw Pressure Data'!$A:$ZZ,$K$5+ROW()-26+$H$7,MATCH($F$7,'Raw Pressure Data'!$1:$1,0))+$G$7))),"")</f>
        <v/>
      </c>
      <c r="Q190" s="24">
        <f>IFERROR(IF($F$8="","",IF($K$5+ROW()-26&gt;$K$6,"",IF(INDEX('Raw Pressure Data'!$A:$ZZ,$K$5+ROW()-26+$H$8,MATCH($F$8,'Raw Pressure Data'!$1:$1,0))=-999,"",INDEX('Raw Pressure Data'!$A:$ZZ,$K$5+ROW()-26+$H$8,MATCH($F$8,'Raw Pressure Data'!$1:$1,0))+$G$8))),"")</f>
        <v/>
      </c>
      <c r="R190" s="24">
        <f>IFERROR(IF($F$9="","",IF($K$5+ROW()-26&gt;$K$6,"",IF(INDEX('Raw Pressure Data'!$A:$ZZ,$K$5+ROW()-26+$H$9,MATCH($F$9,'Raw Pressure Data'!$1:$1,0))=-999,"",INDEX('Raw Pressure Data'!$A:$ZZ,$K$5+ROW()-26+$H$9,MATCH($F$9,'Raw Pressure Data'!$1:$1,0))+$G$9))),"")</f>
        <v/>
      </c>
      <c r="S190" s="24">
        <f>IFERROR(IF($F$10="","",IF($K$5+ROW()-26&gt;$K$6,"",IF(INDEX('Raw Pressure Data'!$A:$ZZ,$K$5+ROW()-26+$H$10,MATCH($F$10,'Raw Pressure Data'!$1:$1,0))=-999,"",INDEX('Raw Pressure Data'!$A:$ZZ,$K$5+ROW()-26+$H$10,MATCH($F$10,'Raw Pressure Data'!$1:$1,0))+$G$10))),"")</f>
        <v/>
      </c>
      <c r="T190" s="24">
        <f>IFERROR(IF($F$11="","",IF($K$5+ROW()-26&gt;$K$6,"",IF(INDEX('Raw Pressure Data'!$A:$ZZ,$K$5+ROW()-26+$H$11,MATCH($F$11,'Raw Pressure Data'!$1:$1,0))=-999,"",INDEX('Raw Pressure Data'!$A:$ZZ,$K$5+ROW()-26+$H$11,MATCH($F$11,'Raw Pressure Data'!$1:$1,0))+$G$11))),"")</f>
        <v/>
      </c>
      <c r="U190" s="24">
        <f>IFERROR(IF($F$12="","",IF($K$5+ROW()-26&gt;$K$6,"",IF(INDEX('Raw Pressure Data'!$A:$ZZ,$K$5+ROW()-26+$H$12,MATCH($F$12,'Raw Pressure Data'!$1:$1,0))=-999,"",INDEX('Raw Pressure Data'!$A:$ZZ,$K$5+ROW()-26+$H$12,MATCH($F$12,'Raw Pressure Data'!$1:$1,0))+$G$12))),"")</f>
        <v/>
      </c>
      <c r="V190" s="24">
        <f>IFERROR(IF($F$13="","",IF($K$5+ROW()-26&gt;$K$6,"",IF(INDEX('Raw Pressure Data'!$A:$ZZ,$K$5+ROW()-26+$H$13,MATCH($F$13,'Raw Pressure Data'!$1:$1,0))=-999,"",INDEX('Raw Pressure Data'!$A:$ZZ,$K$5+ROW()-26+$H$13,MATCH($F$13,'Raw Pressure Data'!$1:$1,0))+$G$13))),"")</f>
        <v/>
      </c>
      <c r="W190" s="24">
        <f>IFERROR(IF($F$14="","",IF($K$5+ROW()-26&gt;$K$6,"",IF(INDEX('Raw Pressure Data'!$A:$ZZ,$K$5+ROW()-26+$H$14,MATCH($F$14,'Raw Pressure Data'!$1:$1,0))=-999,"",INDEX('Raw Pressure Data'!$A:$ZZ,$K$5+ROW()-26+$H$14,MATCH($F$14,'Raw Pressure Data'!$1:$1,0))+$G$14))),"")</f>
        <v/>
      </c>
      <c r="X190" s="24">
        <f>IFERROR(IF($F$15="","",IF($K$5+ROW()-26&gt;$K$6,"",IF(INDEX('Raw Pressure Data'!$A:$ZZ,$K$5+ROW()-26+$H$15,MATCH($F$15,'Raw Pressure Data'!$1:$1,0))=-999,"",INDEX('Raw Pressure Data'!$A:$ZZ,$K$5+ROW()-26+$H$15,MATCH($F$15,'Raw Pressure Data'!$1:$1,0))+$G$15))),"")</f>
        <v/>
      </c>
      <c r="Y190" s="24">
        <f>IFERROR(IF($F$16="","",IF($K$5+ROW()-26&gt;$K$6,"",IF(INDEX('Raw Pressure Data'!$A:$ZZ,$K$5+ROW()-26+$H$16,MATCH($F$16,'Raw Pressure Data'!$1:$1,0))=-999,"",INDEX('Raw Pressure Data'!$A:$ZZ,$K$5+ROW()-26+$H$16,MATCH($F$16,'Raw Pressure Data'!$1:$1,0))+$G$16))),"")</f>
        <v/>
      </c>
      <c r="Z190" s="24">
        <f>IFERROR(IF($F$17="","",IF($K$5+ROW()-26&gt;$K$6,"",IF(INDEX('Raw Pressure Data'!$A:$ZZ,$K$5+ROW()-26+$H$17,MATCH($F$17,'Raw Pressure Data'!$1:$1,0))=-999,"",INDEX('Raw Pressure Data'!$A:$ZZ,$K$5+ROW()-26+$H$17,MATCH($F$17,'Raw Pressure Data'!$1:$1,0))+$G$17))),"")</f>
        <v/>
      </c>
      <c r="AA190" s="24">
        <f>IFERROR(IF($F$18="","",IF($K$5+ROW()-26&gt;$K$6,"",IF(INDEX('Raw Pressure Data'!$A:$ZZ,$K$5+ROW()-26+$H$18,MATCH($F$18,'Raw Pressure Data'!$1:$1,0))=-999,"",INDEX('Raw Pressure Data'!$A:$ZZ,$K$5+ROW()-26+$H$18,MATCH($F$18,'Raw Pressure Data'!$1:$1,0))+$G$18))),"")</f>
        <v/>
      </c>
      <c r="AB190" s="24">
        <f>IFERROR(IF($F$19="","",IF($K$5+ROW()-26&gt;$K$6,"",IF(INDEX('Raw Pressure Data'!$A:$ZZ,$K$5+ROW()-26+$H$19,MATCH($F$19,'Raw Pressure Data'!$1:$1,0))=-999,"",INDEX('Raw Pressure Data'!$A:$ZZ,$K$5+ROW()-26+$H$19,MATCH($F$19,'Raw Pressure Data'!$1:$1,0))+$G$19))),"")</f>
        <v/>
      </c>
      <c r="AC190" s="24">
        <f>IFERROR(IF($F$20="","",IF($K$5+ROW()-26&gt;$K$6,"",IF(INDEX('Raw Pressure Data'!$A:$ZZ,$K$5+ROW()-26+$H$20,MATCH($F$20,'Raw Pressure Data'!$1:$1,0))=-999,"",INDEX('Raw Pressure Data'!$A:$ZZ,$K$5+ROW()-26+$H$20,MATCH($F$20,'Raw Pressure Data'!$1:$1,0))+$G$20))),"")</f>
        <v/>
      </c>
      <c r="AD190" s="24">
        <f>IFERROR(IF($F$21="","",IF($K$5+ROW()-26&gt;$K$6,"",IF(INDEX('Raw Pressure Data'!$A:$ZZ,$K$5+ROW()-26+$H$21,MATCH($F$21,'Raw Pressure Data'!$1:$1,0))=-999,"",INDEX('Raw Pressure Data'!$A:$ZZ,$K$5+ROW()-26+$H$21,MATCH($F$21,'Raw Pressure Data'!$1:$1,0))+$G$21))),"")</f>
        <v/>
      </c>
      <c r="AE190" s="24">
        <f>IFERROR(IF($F$22="","",IF($K$5+ROW()-26&gt;$K$6,"",IF(INDEX('Raw Pressure Data'!$A:$ZZ,$K$5+ROW()-26+$H$22,MATCH($F$22,'Raw Pressure Data'!$1:$1,0))=-999,"",INDEX('Raw Pressure Data'!$A:$ZZ,$K$5+ROW()-26+$H$22,MATCH($F$22,'Raw Pressure Data'!$1:$1,0))+$G$22))),"")</f>
        <v/>
      </c>
    </row>
    <row r="191" ht="15" customHeight="1">
      <c r="A191" s="25">
        <f>IFERROR(IF($K$5+ROW()-26&gt;$K$6,"",IF(INDEX('Raw Flow Data'!$A:$A,$K$5+ROW()-26)="","",INDEX('Raw Flow Data'!$A:$A,$K$5+ROW()-26))),"")</f>
        <v/>
      </c>
      <c r="B191" s="26">
        <f>IFERROR(IF($B$3="","",IF($K$5+ROW()-26&gt;$K$6,"",IF(INDEX('Raw Flow Data'!$A:$ZZ,$K$5+ROW()-26+$D$3,MATCH($B$3,'Raw Flow Data'!$1:$1,0))=-999,"",INDEX('Raw Flow Data'!$A:$ZZ,$K$5+ROW()-26+$D$3,MATCH($B$3,'Raw Flow Data'!$1:$1,0))*$C$3))),"")</f>
        <v/>
      </c>
      <c r="C191" s="26">
        <f>IFERROR(IF($B$4="","",IF($K$5+ROW()-26&gt;$K$6,"",IF(INDEX('Raw Flow Data'!$A:$ZZ,$K$5+ROW()-26+$D$4,MATCH($B$4,'Raw Flow Data'!$1:$1,0))=-999,"",INDEX('Raw Flow Data'!$A:$ZZ,$K$5+ROW()-26+$D$4,MATCH($B$4,'Raw Flow Data'!$1:$1,0))*$C$4))),"")</f>
        <v/>
      </c>
      <c r="D191" s="26">
        <f>IFERROR(IF($B$5="","",IF($K$5+ROW()-26&gt;$K$6,"",IF(INDEX('Raw Flow Data'!$A:$ZZ,$K$5+ROW()-26+$D$5,MATCH($B$5,'Raw Flow Data'!$1:$1,0))=-999,"",INDEX('Raw Flow Data'!$A:$ZZ,$K$5+ROW()-26+$D$5,MATCH($B$5,'Raw Flow Data'!$1:$1,0))*$C$5))),"")</f>
        <v/>
      </c>
      <c r="E191" s="26">
        <f>IFERROR(IF($B$6="","",IF($K$5+ROW()-26&gt;$K$6,"",IF(INDEX('Raw Flow Data'!$A:$ZZ,$K$5+ROW()-26+$D$6,MATCH($B$6,'Raw Flow Data'!$1:$1,0))=-999,"",INDEX('Raw Flow Data'!$A:$ZZ,$K$5+ROW()-26+$D$6,MATCH($B$6,'Raw Flow Data'!$1:$1,0))*$C$6))),"")</f>
        <v/>
      </c>
      <c r="F191" s="26">
        <f>IFERROR(IF($B$7="","",IF($K$5+ROW()-26&gt;$K$6,"",IF(INDEX('Raw Flow Data'!$A:$ZZ,$K$5+ROW()-26+$D$7,MATCH($B$7,'Raw Flow Data'!$1:$1,0))=-999,"",INDEX('Raw Flow Data'!$A:$ZZ,$K$5+ROW()-26+$D$7,MATCH($B$7,'Raw Flow Data'!$1:$1,0))*$C$7))),"")</f>
        <v/>
      </c>
      <c r="G191" s="26">
        <f>IFERROR(IF($B$8="","",IF($K$5+ROW()-26&gt;$K$6,"",IF(INDEX('Raw Flow Data'!$A:$ZZ,$K$5+ROW()-26+$D$8,MATCH($B$8,'Raw Flow Data'!$1:$1,0))=-999,"",INDEX('Raw Flow Data'!$A:$ZZ,$K$5+ROW()-26+$D$8,MATCH($B$8,'Raw Flow Data'!$1:$1,0))*$C$8))),"")</f>
        <v/>
      </c>
      <c r="H191" s="26">
        <f>IFERROR(IF($B$9="","",IF($K$5+ROW()-26&gt;$K$6,"",IF(INDEX('Raw Flow Data'!$A:$ZZ,$K$5+ROW()-26+$D$9,MATCH($B$9,'Raw Flow Data'!$1:$1,0))=-999,"",INDEX('Raw Flow Data'!$A:$ZZ,$K$5+ROW()-26+$D$9,MATCH($B$9,'Raw Flow Data'!$1:$1,0))*$C$9))),"")</f>
        <v/>
      </c>
      <c r="I191" s="26">
        <f>IFERROR(IF($B$10="","",IF($K$5+ROW()-26&gt;$K$6,"",IF(INDEX('Raw Flow Data'!$A:$ZZ,$K$5+ROW()-26+$D$10,MATCH($B$10,'Raw Flow Data'!$1:$1,0))=-999,"",INDEX('Raw Flow Data'!$A:$ZZ,$K$5+ROW()-26+$D$10,MATCH($B$10,'Raw Flow Data'!$1:$1,0))*$C$10))),"")</f>
        <v/>
      </c>
      <c r="J191" s="26">
        <f>IFERROR(IF($B$11="","",IF($K$5+ROW()-26&gt;$K$6,"",IF(INDEX('Raw Flow Data'!$A:$ZZ,$K$5+ROW()-26+$D$11,MATCH($B$11,'Raw Flow Data'!$1:$1,0))=-999,"",INDEX('Raw Flow Data'!$A:$ZZ,$K$5+ROW()-26+$D$11,MATCH($B$11,'Raw Flow Data'!$1:$1,0))*$C$11))),"")</f>
        <v/>
      </c>
      <c r="K191" s="26">
        <f>IFERROR(IF($B$12="","",IF($K$5+ROW()-26&gt;$K$6,"",IF(INDEX('Raw Flow Data'!$A:$ZZ,$K$5+ROW()-26+$D$12,MATCH($B$12,'Raw Flow Data'!$1:$1,0))=-999,"",INDEX('Raw Flow Data'!$A:$ZZ,$K$5+ROW()-26+$D$12,MATCH($B$12,'Raw Flow Data'!$1:$1,0))*$C$12))),"")</f>
        <v/>
      </c>
      <c r="L191" s="26">
        <f>IFERROR(IF($F$3="","",IF($K$5+ROW()-26&gt;$K$6,"",IF(INDEX('Raw Pressure Data'!$A:$ZZ,$K$5+ROW()-26+$H$3,MATCH($F$3,'Raw Pressure Data'!$1:$1,0))=-999,"",INDEX('Raw Pressure Data'!$A:$ZZ,$K$5+ROW()-26+$H$3,MATCH($F$3,'Raw Pressure Data'!$1:$1,0))+$G$3))),"")</f>
        <v/>
      </c>
      <c r="M191" s="26">
        <f>IFERROR(IF($F$4="","",IF($K$5+ROW()-26&gt;$K$6,"",IF(INDEX('Raw Pressure Data'!$A:$ZZ,$K$5+ROW()-26+$H$4,MATCH($F$4,'Raw Pressure Data'!$1:$1,0))=-999,"",INDEX('Raw Pressure Data'!$A:$ZZ,$K$5+ROW()-26+$H$4,MATCH($F$4,'Raw Pressure Data'!$1:$1,0))+$G$4))),"")</f>
        <v/>
      </c>
      <c r="N191" s="26">
        <f>IFERROR(IF($F$5="","",IF($K$5+ROW()-26&gt;$K$6,"",IF(INDEX('Raw Pressure Data'!$A:$ZZ,$K$5+ROW()-26+$H$5,MATCH($F$5,'Raw Pressure Data'!$1:$1,0))=-999,"",INDEX('Raw Pressure Data'!$A:$ZZ,$K$5+ROW()-26+$H$5,MATCH($F$5,'Raw Pressure Data'!$1:$1,0))+$G$5))),"")</f>
        <v/>
      </c>
      <c r="O191" s="26">
        <f>IFERROR(IF($F$6="","",IF($K$5+ROW()-26&gt;$K$6,"",IF(INDEX('Raw Pressure Data'!$A:$ZZ,$K$5+ROW()-26+$H$6,MATCH($F$6,'Raw Pressure Data'!$1:$1,0))=-999,"",INDEX('Raw Pressure Data'!$A:$ZZ,$K$5+ROW()-26+$H$6,MATCH($F$6,'Raw Pressure Data'!$1:$1,0))+$G$6))),"")</f>
        <v/>
      </c>
      <c r="P191" s="26">
        <f>IFERROR(IF($F$7="","",IF($K$5+ROW()-26&gt;$K$6,"",IF(INDEX('Raw Pressure Data'!$A:$ZZ,$K$5+ROW()-26+$H$7,MATCH($F$7,'Raw Pressure Data'!$1:$1,0))=-999,"",INDEX('Raw Pressure Data'!$A:$ZZ,$K$5+ROW()-26+$H$7,MATCH($F$7,'Raw Pressure Data'!$1:$1,0))+$G$7))),"")</f>
        <v/>
      </c>
      <c r="Q191" s="26">
        <f>IFERROR(IF($F$8="","",IF($K$5+ROW()-26&gt;$K$6,"",IF(INDEX('Raw Pressure Data'!$A:$ZZ,$K$5+ROW()-26+$H$8,MATCH($F$8,'Raw Pressure Data'!$1:$1,0))=-999,"",INDEX('Raw Pressure Data'!$A:$ZZ,$K$5+ROW()-26+$H$8,MATCH($F$8,'Raw Pressure Data'!$1:$1,0))+$G$8))),"")</f>
        <v/>
      </c>
      <c r="R191" s="26">
        <f>IFERROR(IF($F$9="","",IF($K$5+ROW()-26&gt;$K$6,"",IF(INDEX('Raw Pressure Data'!$A:$ZZ,$K$5+ROW()-26+$H$9,MATCH($F$9,'Raw Pressure Data'!$1:$1,0))=-999,"",INDEX('Raw Pressure Data'!$A:$ZZ,$K$5+ROW()-26+$H$9,MATCH($F$9,'Raw Pressure Data'!$1:$1,0))+$G$9))),"")</f>
        <v/>
      </c>
      <c r="S191" s="26">
        <f>IFERROR(IF($F$10="","",IF($K$5+ROW()-26&gt;$K$6,"",IF(INDEX('Raw Pressure Data'!$A:$ZZ,$K$5+ROW()-26+$H$10,MATCH($F$10,'Raw Pressure Data'!$1:$1,0))=-999,"",INDEX('Raw Pressure Data'!$A:$ZZ,$K$5+ROW()-26+$H$10,MATCH($F$10,'Raw Pressure Data'!$1:$1,0))+$G$10))),"")</f>
        <v/>
      </c>
      <c r="T191" s="26">
        <f>IFERROR(IF($F$11="","",IF($K$5+ROW()-26&gt;$K$6,"",IF(INDEX('Raw Pressure Data'!$A:$ZZ,$K$5+ROW()-26+$H$11,MATCH($F$11,'Raw Pressure Data'!$1:$1,0))=-999,"",INDEX('Raw Pressure Data'!$A:$ZZ,$K$5+ROW()-26+$H$11,MATCH($F$11,'Raw Pressure Data'!$1:$1,0))+$G$11))),"")</f>
        <v/>
      </c>
      <c r="U191" s="26">
        <f>IFERROR(IF($F$12="","",IF($K$5+ROW()-26&gt;$K$6,"",IF(INDEX('Raw Pressure Data'!$A:$ZZ,$K$5+ROW()-26+$H$12,MATCH($F$12,'Raw Pressure Data'!$1:$1,0))=-999,"",INDEX('Raw Pressure Data'!$A:$ZZ,$K$5+ROW()-26+$H$12,MATCH($F$12,'Raw Pressure Data'!$1:$1,0))+$G$12))),"")</f>
        <v/>
      </c>
      <c r="V191" s="26">
        <f>IFERROR(IF($F$13="","",IF($K$5+ROW()-26&gt;$K$6,"",IF(INDEX('Raw Pressure Data'!$A:$ZZ,$K$5+ROW()-26+$H$13,MATCH($F$13,'Raw Pressure Data'!$1:$1,0))=-999,"",INDEX('Raw Pressure Data'!$A:$ZZ,$K$5+ROW()-26+$H$13,MATCH($F$13,'Raw Pressure Data'!$1:$1,0))+$G$13))),"")</f>
        <v/>
      </c>
      <c r="W191" s="26">
        <f>IFERROR(IF($F$14="","",IF($K$5+ROW()-26&gt;$K$6,"",IF(INDEX('Raw Pressure Data'!$A:$ZZ,$K$5+ROW()-26+$H$14,MATCH($F$14,'Raw Pressure Data'!$1:$1,0))=-999,"",INDEX('Raw Pressure Data'!$A:$ZZ,$K$5+ROW()-26+$H$14,MATCH($F$14,'Raw Pressure Data'!$1:$1,0))+$G$14))),"")</f>
        <v/>
      </c>
      <c r="X191" s="26">
        <f>IFERROR(IF($F$15="","",IF($K$5+ROW()-26&gt;$K$6,"",IF(INDEX('Raw Pressure Data'!$A:$ZZ,$K$5+ROW()-26+$H$15,MATCH($F$15,'Raw Pressure Data'!$1:$1,0))=-999,"",INDEX('Raw Pressure Data'!$A:$ZZ,$K$5+ROW()-26+$H$15,MATCH($F$15,'Raw Pressure Data'!$1:$1,0))+$G$15))),"")</f>
        <v/>
      </c>
      <c r="Y191" s="26">
        <f>IFERROR(IF($F$16="","",IF($K$5+ROW()-26&gt;$K$6,"",IF(INDEX('Raw Pressure Data'!$A:$ZZ,$K$5+ROW()-26+$H$16,MATCH($F$16,'Raw Pressure Data'!$1:$1,0))=-999,"",INDEX('Raw Pressure Data'!$A:$ZZ,$K$5+ROW()-26+$H$16,MATCH($F$16,'Raw Pressure Data'!$1:$1,0))+$G$16))),"")</f>
        <v/>
      </c>
      <c r="Z191" s="26">
        <f>IFERROR(IF($F$17="","",IF($K$5+ROW()-26&gt;$K$6,"",IF(INDEX('Raw Pressure Data'!$A:$ZZ,$K$5+ROW()-26+$H$17,MATCH($F$17,'Raw Pressure Data'!$1:$1,0))=-999,"",INDEX('Raw Pressure Data'!$A:$ZZ,$K$5+ROW()-26+$H$17,MATCH($F$17,'Raw Pressure Data'!$1:$1,0))+$G$17))),"")</f>
        <v/>
      </c>
      <c r="AA191" s="26">
        <f>IFERROR(IF($F$18="","",IF($K$5+ROW()-26&gt;$K$6,"",IF(INDEX('Raw Pressure Data'!$A:$ZZ,$K$5+ROW()-26+$H$18,MATCH($F$18,'Raw Pressure Data'!$1:$1,0))=-999,"",INDEX('Raw Pressure Data'!$A:$ZZ,$K$5+ROW()-26+$H$18,MATCH($F$18,'Raw Pressure Data'!$1:$1,0))+$G$18))),"")</f>
        <v/>
      </c>
      <c r="AB191" s="26">
        <f>IFERROR(IF($F$19="","",IF($K$5+ROW()-26&gt;$K$6,"",IF(INDEX('Raw Pressure Data'!$A:$ZZ,$K$5+ROW()-26+$H$19,MATCH($F$19,'Raw Pressure Data'!$1:$1,0))=-999,"",INDEX('Raw Pressure Data'!$A:$ZZ,$K$5+ROW()-26+$H$19,MATCH($F$19,'Raw Pressure Data'!$1:$1,0))+$G$19))),"")</f>
        <v/>
      </c>
      <c r="AC191" s="26">
        <f>IFERROR(IF($F$20="","",IF($K$5+ROW()-26&gt;$K$6,"",IF(INDEX('Raw Pressure Data'!$A:$ZZ,$K$5+ROW()-26+$H$20,MATCH($F$20,'Raw Pressure Data'!$1:$1,0))=-999,"",INDEX('Raw Pressure Data'!$A:$ZZ,$K$5+ROW()-26+$H$20,MATCH($F$20,'Raw Pressure Data'!$1:$1,0))+$G$20))),"")</f>
        <v/>
      </c>
      <c r="AD191" s="26">
        <f>IFERROR(IF($F$21="","",IF($K$5+ROW()-26&gt;$K$6,"",IF(INDEX('Raw Pressure Data'!$A:$ZZ,$K$5+ROW()-26+$H$21,MATCH($F$21,'Raw Pressure Data'!$1:$1,0))=-999,"",INDEX('Raw Pressure Data'!$A:$ZZ,$K$5+ROW()-26+$H$21,MATCH($F$21,'Raw Pressure Data'!$1:$1,0))+$G$21))),"")</f>
        <v/>
      </c>
      <c r="AE191" s="26">
        <f>IFERROR(IF($F$22="","",IF($K$5+ROW()-26&gt;$K$6,"",IF(INDEX('Raw Pressure Data'!$A:$ZZ,$K$5+ROW()-26+$H$22,MATCH($F$22,'Raw Pressure Data'!$1:$1,0))=-999,"",INDEX('Raw Pressure Data'!$A:$ZZ,$K$5+ROW()-26+$H$22,MATCH($F$22,'Raw Pressure Data'!$1:$1,0))+$G$22))),"")</f>
        <v/>
      </c>
    </row>
    <row r="192" ht="15" customHeight="1">
      <c r="A192" s="23">
        <f>IFERROR(IF($K$5+ROW()-26&gt;$K$6,"",IF(INDEX('Raw Flow Data'!$A:$A,$K$5+ROW()-26)="","",INDEX('Raw Flow Data'!$A:$A,$K$5+ROW()-26))),"")</f>
        <v/>
      </c>
      <c r="B192" s="24">
        <f>IFERROR(IF($B$3="","",IF($K$5+ROW()-26&gt;$K$6,"",IF(INDEX('Raw Flow Data'!$A:$ZZ,$K$5+ROW()-26+$D$3,MATCH($B$3,'Raw Flow Data'!$1:$1,0))=-999,"",INDEX('Raw Flow Data'!$A:$ZZ,$K$5+ROW()-26+$D$3,MATCH($B$3,'Raw Flow Data'!$1:$1,0))*$C$3))),"")</f>
        <v/>
      </c>
      <c r="C192" s="24">
        <f>IFERROR(IF($B$4="","",IF($K$5+ROW()-26&gt;$K$6,"",IF(INDEX('Raw Flow Data'!$A:$ZZ,$K$5+ROW()-26+$D$4,MATCH($B$4,'Raw Flow Data'!$1:$1,0))=-999,"",INDEX('Raw Flow Data'!$A:$ZZ,$K$5+ROW()-26+$D$4,MATCH($B$4,'Raw Flow Data'!$1:$1,0))*$C$4))),"")</f>
        <v/>
      </c>
      <c r="D192" s="24">
        <f>IFERROR(IF($B$5="","",IF($K$5+ROW()-26&gt;$K$6,"",IF(INDEX('Raw Flow Data'!$A:$ZZ,$K$5+ROW()-26+$D$5,MATCH($B$5,'Raw Flow Data'!$1:$1,0))=-999,"",INDEX('Raw Flow Data'!$A:$ZZ,$K$5+ROW()-26+$D$5,MATCH($B$5,'Raw Flow Data'!$1:$1,0))*$C$5))),"")</f>
        <v/>
      </c>
      <c r="E192" s="24">
        <f>IFERROR(IF($B$6="","",IF($K$5+ROW()-26&gt;$K$6,"",IF(INDEX('Raw Flow Data'!$A:$ZZ,$K$5+ROW()-26+$D$6,MATCH($B$6,'Raw Flow Data'!$1:$1,0))=-999,"",INDEX('Raw Flow Data'!$A:$ZZ,$K$5+ROW()-26+$D$6,MATCH($B$6,'Raw Flow Data'!$1:$1,0))*$C$6))),"")</f>
        <v/>
      </c>
      <c r="F192" s="24">
        <f>IFERROR(IF($B$7="","",IF($K$5+ROW()-26&gt;$K$6,"",IF(INDEX('Raw Flow Data'!$A:$ZZ,$K$5+ROW()-26+$D$7,MATCH($B$7,'Raw Flow Data'!$1:$1,0))=-999,"",INDEX('Raw Flow Data'!$A:$ZZ,$K$5+ROW()-26+$D$7,MATCH($B$7,'Raw Flow Data'!$1:$1,0))*$C$7))),"")</f>
        <v/>
      </c>
      <c r="G192" s="24">
        <f>IFERROR(IF($B$8="","",IF($K$5+ROW()-26&gt;$K$6,"",IF(INDEX('Raw Flow Data'!$A:$ZZ,$K$5+ROW()-26+$D$8,MATCH($B$8,'Raw Flow Data'!$1:$1,0))=-999,"",INDEX('Raw Flow Data'!$A:$ZZ,$K$5+ROW()-26+$D$8,MATCH($B$8,'Raw Flow Data'!$1:$1,0))*$C$8))),"")</f>
        <v/>
      </c>
      <c r="H192" s="24">
        <f>IFERROR(IF($B$9="","",IF($K$5+ROW()-26&gt;$K$6,"",IF(INDEX('Raw Flow Data'!$A:$ZZ,$K$5+ROW()-26+$D$9,MATCH($B$9,'Raw Flow Data'!$1:$1,0))=-999,"",INDEX('Raw Flow Data'!$A:$ZZ,$K$5+ROW()-26+$D$9,MATCH($B$9,'Raw Flow Data'!$1:$1,0))*$C$9))),"")</f>
        <v/>
      </c>
      <c r="I192" s="24">
        <f>IFERROR(IF($B$10="","",IF($K$5+ROW()-26&gt;$K$6,"",IF(INDEX('Raw Flow Data'!$A:$ZZ,$K$5+ROW()-26+$D$10,MATCH($B$10,'Raw Flow Data'!$1:$1,0))=-999,"",INDEX('Raw Flow Data'!$A:$ZZ,$K$5+ROW()-26+$D$10,MATCH($B$10,'Raw Flow Data'!$1:$1,0))*$C$10))),"")</f>
        <v/>
      </c>
      <c r="J192" s="24">
        <f>IFERROR(IF($B$11="","",IF($K$5+ROW()-26&gt;$K$6,"",IF(INDEX('Raw Flow Data'!$A:$ZZ,$K$5+ROW()-26+$D$11,MATCH($B$11,'Raw Flow Data'!$1:$1,0))=-999,"",INDEX('Raw Flow Data'!$A:$ZZ,$K$5+ROW()-26+$D$11,MATCH($B$11,'Raw Flow Data'!$1:$1,0))*$C$11))),"")</f>
        <v/>
      </c>
      <c r="K192" s="24">
        <f>IFERROR(IF($B$12="","",IF($K$5+ROW()-26&gt;$K$6,"",IF(INDEX('Raw Flow Data'!$A:$ZZ,$K$5+ROW()-26+$D$12,MATCH($B$12,'Raw Flow Data'!$1:$1,0))=-999,"",INDEX('Raw Flow Data'!$A:$ZZ,$K$5+ROW()-26+$D$12,MATCH($B$12,'Raw Flow Data'!$1:$1,0))*$C$12))),"")</f>
        <v/>
      </c>
      <c r="L192" s="24">
        <f>IFERROR(IF($F$3="","",IF($K$5+ROW()-26&gt;$K$6,"",IF(INDEX('Raw Pressure Data'!$A:$ZZ,$K$5+ROW()-26+$H$3,MATCH($F$3,'Raw Pressure Data'!$1:$1,0))=-999,"",INDEX('Raw Pressure Data'!$A:$ZZ,$K$5+ROW()-26+$H$3,MATCH($F$3,'Raw Pressure Data'!$1:$1,0))+$G$3))),"")</f>
        <v/>
      </c>
      <c r="M192" s="24">
        <f>IFERROR(IF($F$4="","",IF($K$5+ROW()-26&gt;$K$6,"",IF(INDEX('Raw Pressure Data'!$A:$ZZ,$K$5+ROW()-26+$H$4,MATCH($F$4,'Raw Pressure Data'!$1:$1,0))=-999,"",INDEX('Raw Pressure Data'!$A:$ZZ,$K$5+ROW()-26+$H$4,MATCH($F$4,'Raw Pressure Data'!$1:$1,0))+$G$4))),"")</f>
        <v/>
      </c>
      <c r="N192" s="24">
        <f>IFERROR(IF($F$5="","",IF($K$5+ROW()-26&gt;$K$6,"",IF(INDEX('Raw Pressure Data'!$A:$ZZ,$K$5+ROW()-26+$H$5,MATCH($F$5,'Raw Pressure Data'!$1:$1,0))=-999,"",INDEX('Raw Pressure Data'!$A:$ZZ,$K$5+ROW()-26+$H$5,MATCH($F$5,'Raw Pressure Data'!$1:$1,0))+$G$5))),"")</f>
        <v/>
      </c>
      <c r="O192" s="24">
        <f>IFERROR(IF($F$6="","",IF($K$5+ROW()-26&gt;$K$6,"",IF(INDEX('Raw Pressure Data'!$A:$ZZ,$K$5+ROW()-26+$H$6,MATCH($F$6,'Raw Pressure Data'!$1:$1,0))=-999,"",INDEX('Raw Pressure Data'!$A:$ZZ,$K$5+ROW()-26+$H$6,MATCH($F$6,'Raw Pressure Data'!$1:$1,0))+$G$6))),"")</f>
        <v/>
      </c>
      <c r="P192" s="24">
        <f>IFERROR(IF($F$7="","",IF($K$5+ROW()-26&gt;$K$6,"",IF(INDEX('Raw Pressure Data'!$A:$ZZ,$K$5+ROW()-26+$H$7,MATCH($F$7,'Raw Pressure Data'!$1:$1,0))=-999,"",INDEX('Raw Pressure Data'!$A:$ZZ,$K$5+ROW()-26+$H$7,MATCH($F$7,'Raw Pressure Data'!$1:$1,0))+$G$7))),"")</f>
        <v/>
      </c>
      <c r="Q192" s="24">
        <f>IFERROR(IF($F$8="","",IF($K$5+ROW()-26&gt;$K$6,"",IF(INDEX('Raw Pressure Data'!$A:$ZZ,$K$5+ROW()-26+$H$8,MATCH($F$8,'Raw Pressure Data'!$1:$1,0))=-999,"",INDEX('Raw Pressure Data'!$A:$ZZ,$K$5+ROW()-26+$H$8,MATCH($F$8,'Raw Pressure Data'!$1:$1,0))+$G$8))),"")</f>
        <v/>
      </c>
      <c r="R192" s="24">
        <f>IFERROR(IF($F$9="","",IF($K$5+ROW()-26&gt;$K$6,"",IF(INDEX('Raw Pressure Data'!$A:$ZZ,$K$5+ROW()-26+$H$9,MATCH($F$9,'Raw Pressure Data'!$1:$1,0))=-999,"",INDEX('Raw Pressure Data'!$A:$ZZ,$K$5+ROW()-26+$H$9,MATCH($F$9,'Raw Pressure Data'!$1:$1,0))+$G$9))),"")</f>
        <v/>
      </c>
      <c r="S192" s="24">
        <f>IFERROR(IF($F$10="","",IF($K$5+ROW()-26&gt;$K$6,"",IF(INDEX('Raw Pressure Data'!$A:$ZZ,$K$5+ROW()-26+$H$10,MATCH($F$10,'Raw Pressure Data'!$1:$1,0))=-999,"",INDEX('Raw Pressure Data'!$A:$ZZ,$K$5+ROW()-26+$H$10,MATCH($F$10,'Raw Pressure Data'!$1:$1,0))+$G$10))),"")</f>
        <v/>
      </c>
      <c r="T192" s="24">
        <f>IFERROR(IF($F$11="","",IF($K$5+ROW()-26&gt;$K$6,"",IF(INDEX('Raw Pressure Data'!$A:$ZZ,$K$5+ROW()-26+$H$11,MATCH($F$11,'Raw Pressure Data'!$1:$1,0))=-999,"",INDEX('Raw Pressure Data'!$A:$ZZ,$K$5+ROW()-26+$H$11,MATCH($F$11,'Raw Pressure Data'!$1:$1,0))+$G$11))),"")</f>
        <v/>
      </c>
      <c r="U192" s="24">
        <f>IFERROR(IF($F$12="","",IF($K$5+ROW()-26&gt;$K$6,"",IF(INDEX('Raw Pressure Data'!$A:$ZZ,$K$5+ROW()-26+$H$12,MATCH($F$12,'Raw Pressure Data'!$1:$1,0))=-999,"",INDEX('Raw Pressure Data'!$A:$ZZ,$K$5+ROW()-26+$H$12,MATCH($F$12,'Raw Pressure Data'!$1:$1,0))+$G$12))),"")</f>
        <v/>
      </c>
      <c r="V192" s="24">
        <f>IFERROR(IF($F$13="","",IF($K$5+ROW()-26&gt;$K$6,"",IF(INDEX('Raw Pressure Data'!$A:$ZZ,$K$5+ROW()-26+$H$13,MATCH($F$13,'Raw Pressure Data'!$1:$1,0))=-999,"",INDEX('Raw Pressure Data'!$A:$ZZ,$K$5+ROW()-26+$H$13,MATCH($F$13,'Raw Pressure Data'!$1:$1,0))+$G$13))),"")</f>
        <v/>
      </c>
      <c r="W192" s="24">
        <f>IFERROR(IF($F$14="","",IF($K$5+ROW()-26&gt;$K$6,"",IF(INDEX('Raw Pressure Data'!$A:$ZZ,$K$5+ROW()-26+$H$14,MATCH($F$14,'Raw Pressure Data'!$1:$1,0))=-999,"",INDEX('Raw Pressure Data'!$A:$ZZ,$K$5+ROW()-26+$H$14,MATCH($F$14,'Raw Pressure Data'!$1:$1,0))+$G$14))),"")</f>
        <v/>
      </c>
      <c r="X192" s="24">
        <f>IFERROR(IF($F$15="","",IF($K$5+ROW()-26&gt;$K$6,"",IF(INDEX('Raw Pressure Data'!$A:$ZZ,$K$5+ROW()-26+$H$15,MATCH($F$15,'Raw Pressure Data'!$1:$1,0))=-999,"",INDEX('Raw Pressure Data'!$A:$ZZ,$K$5+ROW()-26+$H$15,MATCH($F$15,'Raw Pressure Data'!$1:$1,0))+$G$15))),"")</f>
        <v/>
      </c>
      <c r="Y192" s="24">
        <f>IFERROR(IF($F$16="","",IF($K$5+ROW()-26&gt;$K$6,"",IF(INDEX('Raw Pressure Data'!$A:$ZZ,$K$5+ROW()-26+$H$16,MATCH($F$16,'Raw Pressure Data'!$1:$1,0))=-999,"",INDEX('Raw Pressure Data'!$A:$ZZ,$K$5+ROW()-26+$H$16,MATCH($F$16,'Raw Pressure Data'!$1:$1,0))+$G$16))),"")</f>
        <v/>
      </c>
      <c r="Z192" s="24">
        <f>IFERROR(IF($F$17="","",IF($K$5+ROW()-26&gt;$K$6,"",IF(INDEX('Raw Pressure Data'!$A:$ZZ,$K$5+ROW()-26+$H$17,MATCH($F$17,'Raw Pressure Data'!$1:$1,0))=-999,"",INDEX('Raw Pressure Data'!$A:$ZZ,$K$5+ROW()-26+$H$17,MATCH($F$17,'Raw Pressure Data'!$1:$1,0))+$G$17))),"")</f>
        <v/>
      </c>
      <c r="AA192" s="24">
        <f>IFERROR(IF($F$18="","",IF($K$5+ROW()-26&gt;$K$6,"",IF(INDEX('Raw Pressure Data'!$A:$ZZ,$K$5+ROW()-26+$H$18,MATCH($F$18,'Raw Pressure Data'!$1:$1,0))=-999,"",INDEX('Raw Pressure Data'!$A:$ZZ,$K$5+ROW()-26+$H$18,MATCH($F$18,'Raw Pressure Data'!$1:$1,0))+$G$18))),"")</f>
        <v/>
      </c>
      <c r="AB192" s="24">
        <f>IFERROR(IF($F$19="","",IF($K$5+ROW()-26&gt;$K$6,"",IF(INDEX('Raw Pressure Data'!$A:$ZZ,$K$5+ROW()-26+$H$19,MATCH($F$19,'Raw Pressure Data'!$1:$1,0))=-999,"",INDEX('Raw Pressure Data'!$A:$ZZ,$K$5+ROW()-26+$H$19,MATCH($F$19,'Raw Pressure Data'!$1:$1,0))+$G$19))),"")</f>
        <v/>
      </c>
      <c r="AC192" s="24">
        <f>IFERROR(IF($F$20="","",IF($K$5+ROW()-26&gt;$K$6,"",IF(INDEX('Raw Pressure Data'!$A:$ZZ,$K$5+ROW()-26+$H$20,MATCH($F$20,'Raw Pressure Data'!$1:$1,0))=-999,"",INDEX('Raw Pressure Data'!$A:$ZZ,$K$5+ROW()-26+$H$20,MATCH($F$20,'Raw Pressure Data'!$1:$1,0))+$G$20))),"")</f>
        <v/>
      </c>
      <c r="AD192" s="24">
        <f>IFERROR(IF($F$21="","",IF($K$5+ROW()-26&gt;$K$6,"",IF(INDEX('Raw Pressure Data'!$A:$ZZ,$K$5+ROW()-26+$H$21,MATCH($F$21,'Raw Pressure Data'!$1:$1,0))=-999,"",INDEX('Raw Pressure Data'!$A:$ZZ,$K$5+ROW()-26+$H$21,MATCH($F$21,'Raw Pressure Data'!$1:$1,0))+$G$21))),"")</f>
        <v/>
      </c>
      <c r="AE192" s="24">
        <f>IFERROR(IF($F$22="","",IF($K$5+ROW()-26&gt;$K$6,"",IF(INDEX('Raw Pressure Data'!$A:$ZZ,$K$5+ROW()-26+$H$22,MATCH($F$22,'Raw Pressure Data'!$1:$1,0))=-999,"",INDEX('Raw Pressure Data'!$A:$ZZ,$K$5+ROW()-26+$H$22,MATCH($F$22,'Raw Pressure Data'!$1:$1,0))+$G$22))),"")</f>
        <v/>
      </c>
    </row>
    <row r="193" ht="15" customHeight="1">
      <c r="A193" s="25">
        <f>IFERROR(IF($K$5+ROW()-26&gt;$K$6,"",IF(INDEX('Raw Flow Data'!$A:$A,$K$5+ROW()-26)="","",INDEX('Raw Flow Data'!$A:$A,$K$5+ROW()-26))),"")</f>
        <v/>
      </c>
      <c r="B193" s="26">
        <f>IFERROR(IF($B$3="","",IF($K$5+ROW()-26&gt;$K$6,"",IF(INDEX('Raw Flow Data'!$A:$ZZ,$K$5+ROW()-26+$D$3,MATCH($B$3,'Raw Flow Data'!$1:$1,0))=-999,"",INDEX('Raw Flow Data'!$A:$ZZ,$K$5+ROW()-26+$D$3,MATCH($B$3,'Raw Flow Data'!$1:$1,0))*$C$3))),"")</f>
        <v/>
      </c>
      <c r="C193" s="26">
        <f>IFERROR(IF($B$4="","",IF($K$5+ROW()-26&gt;$K$6,"",IF(INDEX('Raw Flow Data'!$A:$ZZ,$K$5+ROW()-26+$D$4,MATCH($B$4,'Raw Flow Data'!$1:$1,0))=-999,"",INDEX('Raw Flow Data'!$A:$ZZ,$K$5+ROW()-26+$D$4,MATCH($B$4,'Raw Flow Data'!$1:$1,0))*$C$4))),"")</f>
        <v/>
      </c>
      <c r="D193" s="26">
        <f>IFERROR(IF($B$5="","",IF($K$5+ROW()-26&gt;$K$6,"",IF(INDEX('Raw Flow Data'!$A:$ZZ,$K$5+ROW()-26+$D$5,MATCH($B$5,'Raw Flow Data'!$1:$1,0))=-999,"",INDEX('Raw Flow Data'!$A:$ZZ,$K$5+ROW()-26+$D$5,MATCH($B$5,'Raw Flow Data'!$1:$1,0))*$C$5))),"")</f>
        <v/>
      </c>
      <c r="E193" s="26">
        <f>IFERROR(IF($B$6="","",IF($K$5+ROW()-26&gt;$K$6,"",IF(INDEX('Raw Flow Data'!$A:$ZZ,$K$5+ROW()-26+$D$6,MATCH($B$6,'Raw Flow Data'!$1:$1,0))=-999,"",INDEX('Raw Flow Data'!$A:$ZZ,$K$5+ROW()-26+$D$6,MATCH($B$6,'Raw Flow Data'!$1:$1,0))*$C$6))),"")</f>
        <v/>
      </c>
      <c r="F193" s="26">
        <f>IFERROR(IF($B$7="","",IF($K$5+ROW()-26&gt;$K$6,"",IF(INDEX('Raw Flow Data'!$A:$ZZ,$K$5+ROW()-26+$D$7,MATCH($B$7,'Raw Flow Data'!$1:$1,0))=-999,"",INDEX('Raw Flow Data'!$A:$ZZ,$K$5+ROW()-26+$D$7,MATCH($B$7,'Raw Flow Data'!$1:$1,0))*$C$7))),"")</f>
        <v/>
      </c>
      <c r="G193" s="26">
        <f>IFERROR(IF($B$8="","",IF($K$5+ROW()-26&gt;$K$6,"",IF(INDEX('Raw Flow Data'!$A:$ZZ,$K$5+ROW()-26+$D$8,MATCH($B$8,'Raw Flow Data'!$1:$1,0))=-999,"",INDEX('Raw Flow Data'!$A:$ZZ,$K$5+ROW()-26+$D$8,MATCH($B$8,'Raw Flow Data'!$1:$1,0))*$C$8))),"")</f>
        <v/>
      </c>
      <c r="H193" s="26">
        <f>IFERROR(IF($B$9="","",IF($K$5+ROW()-26&gt;$K$6,"",IF(INDEX('Raw Flow Data'!$A:$ZZ,$K$5+ROW()-26+$D$9,MATCH($B$9,'Raw Flow Data'!$1:$1,0))=-999,"",INDEX('Raw Flow Data'!$A:$ZZ,$K$5+ROW()-26+$D$9,MATCH($B$9,'Raw Flow Data'!$1:$1,0))*$C$9))),"")</f>
        <v/>
      </c>
      <c r="I193" s="26">
        <f>IFERROR(IF($B$10="","",IF($K$5+ROW()-26&gt;$K$6,"",IF(INDEX('Raw Flow Data'!$A:$ZZ,$K$5+ROW()-26+$D$10,MATCH($B$10,'Raw Flow Data'!$1:$1,0))=-999,"",INDEX('Raw Flow Data'!$A:$ZZ,$K$5+ROW()-26+$D$10,MATCH($B$10,'Raw Flow Data'!$1:$1,0))*$C$10))),"")</f>
        <v/>
      </c>
      <c r="J193" s="26">
        <f>IFERROR(IF($B$11="","",IF($K$5+ROW()-26&gt;$K$6,"",IF(INDEX('Raw Flow Data'!$A:$ZZ,$K$5+ROW()-26+$D$11,MATCH($B$11,'Raw Flow Data'!$1:$1,0))=-999,"",INDEX('Raw Flow Data'!$A:$ZZ,$K$5+ROW()-26+$D$11,MATCH($B$11,'Raw Flow Data'!$1:$1,0))*$C$11))),"")</f>
        <v/>
      </c>
      <c r="K193" s="26">
        <f>IFERROR(IF($B$12="","",IF($K$5+ROW()-26&gt;$K$6,"",IF(INDEX('Raw Flow Data'!$A:$ZZ,$K$5+ROW()-26+$D$12,MATCH($B$12,'Raw Flow Data'!$1:$1,0))=-999,"",INDEX('Raw Flow Data'!$A:$ZZ,$K$5+ROW()-26+$D$12,MATCH($B$12,'Raw Flow Data'!$1:$1,0))*$C$12))),"")</f>
        <v/>
      </c>
      <c r="L193" s="26">
        <f>IFERROR(IF($F$3="","",IF($K$5+ROW()-26&gt;$K$6,"",IF(INDEX('Raw Pressure Data'!$A:$ZZ,$K$5+ROW()-26+$H$3,MATCH($F$3,'Raw Pressure Data'!$1:$1,0))=-999,"",INDEX('Raw Pressure Data'!$A:$ZZ,$K$5+ROW()-26+$H$3,MATCH($F$3,'Raw Pressure Data'!$1:$1,0))+$G$3))),"")</f>
        <v/>
      </c>
      <c r="M193" s="26">
        <f>IFERROR(IF($F$4="","",IF($K$5+ROW()-26&gt;$K$6,"",IF(INDEX('Raw Pressure Data'!$A:$ZZ,$K$5+ROW()-26+$H$4,MATCH($F$4,'Raw Pressure Data'!$1:$1,0))=-999,"",INDEX('Raw Pressure Data'!$A:$ZZ,$K$5+ROW()-26+$H$4,MATCH($F$4,'Raw Pressure Data'!$1:$1,0))+$G$4))),"")</f>
        <v/>
      </c>
      <c r="N193" s="26">
        <f>IFERROR(IF($F$5="","",IF($K$5+ROW()-26&gt;$K$6,"",IF(INDEX('Raw Pressure Data'!$A:$ZZ,$K$5+ROW()-26+$H$5,MATCH($F$5,'Raw Pressure Data'!$1:$1,0))=-999,"",INDEX('Raw Pressure Data'!$A:$ZZ,$K$5+ROW()-26+$H$5,MATCH($F$5,'Raw Pressure Data'!$1:$1,0))+$G$5))),"")</f>
        <v/>
      </c>
      <c r="O193" s="26">
        <f>IFERROR(IF($F$6="","",IF($K$5+ROW()-26&gt;$K$6,"",IF(INDEX('Raw Pressure Data'!$A:$ZZ,$K$5+ROW()-26+$H$6,MATCH($F$6,'Raw Pressure Data'!$1:$1,0))=-999,"",INDEX('Raw Pressure Data'!$A:$ZZ,$K$5+ROW()-26+$H$6,MATCH($F$6,'Raw Pressure Data'!$1:$1,0))+$G$6))),"")</f>
        <v/>
      </c>
      <c r="P193" s="26">
        <f>IFERROR(IF($F$7="","",IF($K$5+ROW()-26&gt;$K$6,"",IF(INDEX('Raw Pressure Data'!$A:$ZZ,$K$5+ROW()-26+$H$7,MATCH($F$7,'Raw Pressure Data'!$1:$1,0))=-999,"",INDEX('Raw Pressure Data'!$A:$ZZ,$K$5+ROW()-26+$H$7,MATCH($F$7,'Raw Pressure Data'!$1:$1,0))+$G$7))),"")</f>
        <v/>
      </c>
      <c r="Q193" s="26">
        <f>IFERROR(IF($F$8="","",IF($K$5+ROW()-26&gt;$K$6,"",IF(INDEX('Raw Pressure Data'!$A:$ZZ,$K$5+ROW()-26+$H$8,MATCH($F$8,'Raw Pressure Data'!$1:$1,0))=-999,"",INDEX('Raw Pressure Data'!$A:$ZZ,$K$5+ROW()-26+$H$8,MATCH($F$8,'Raw Pressure Data'!$1:$1,0))+$G$8))),"")</f>
        <v/>
      </c>
      <c r="R193" s="26">
        <f>IFERROR(IF($F$9="","",IF($K$5+ROW()-26&gt;$K$6,"",IF(INDEX('Raw Pressure Data'!$A:$ZZ,$K$5+ROW()-26+$H$9,MATCH($F$9,'Raw Pressure Data'!$1:$1,0))=-999,"",INDEX('Raw Pressure Data'!$A:$ZZ,$K$5+ROW()-26+$H$9,MATCH($F$9,'Raw Pressure Data'!$1:$1,0))+$G$9))),"")</f>
        <v/>
      </c>
      <c r="S193" s="26">
        <f>IFERROR(IF($F$10="","",IF($K$5+ROW()-26&gt;$K$6,"",IF(INDEX('Raw Pressure Data'!$A:$ZZ,$K$5+ROW()-26+$H$10,MATCH($F$10,'Raw Pressure Data'!$1:$1,0))=-999,"",INDEX('Raw Pressure Data'!$A:$ZZ,$K$5+ROW()-26+$H$10,MATCH($F$10,'Raw Pressure Data'!$1:$1,0))+$G$10))),"")</f>
        <v/>
      </c>
      <c r="T193" s="26">
        <f>IFERROR(IF($F$11="","",IF($K$5+ROW()-26&gt;$K$6,"",IF(INDEX('Raw Pressure Data'!$A:$ZZ,$K$5+ROW()-26+$H$11,MATCH($F$11,'Raw Pressure Data'!$1:$1,0))=-999,"",INDEX('Raw Pressure Data'!$A:$ZZ,$K$5+ROW()-26+$H$11,MATCH($F$11,'Raw Pressure Data'!$1:$1,0))+$G$11))),"")</f>
        <v/>
      </c>
      <c r="U193" s="26">
        <f>IFERROR(IF($F$12="","",IF($K$5+ROW()-26&gt;$K$6,"",IF(INDEX('Raw Pressure Data'!$A:$ZZ,$K$5+ROW()-26+$H$12,MATCH($F$12,'Raw Pressure Data'!$1:$1,0))=-999,"",INDEX('Raw Pressure Data'!$A:$ZZ,$K$5+ROW()-26+$H$12,MATCH($F$12,'Raw Pressure Data'!$1:$1,0))+$G$12))),"")</f>
        <v/>
      </c>
      <c r="V193" s="26">
        <f>IFERROR(IF($F$13="","",IF($K$5+ROW()-26&gt;$K$6,"",IF(INDEX('Raw Pressure Data'!$A:$ZZ,$K$5+ROW()-26+$H$13,MATCH($F$13,'Raw Pressure Data'!$1:$1,0))=-999,"",INDEX('Raw Pressure Data'!$A:$ZZ,$K$5+ROW()-26+$H$13,MATCH($F$13,'Raw Pressure Data'!$1:$1,0))+$G$13))),"")</f>
        <v/>
      </c>
      <c r="W193" s="26">
        <f>IFERROR(IF($F$14="","",IF($K$5+ROW()-26&gt;$K$6,"",IF(INDEX('Raw Pressure Data'!$A:$ZZ,$K$5+ROW()-26+$H$14,MATCH($F$14,'Raw Pressure Data'!$1:$1,0))=-999,"",INDEX('Raw Pressure Data'!$A:$ZZ,$K$5+ROW()-26+$H$14,MATCH($F$14,'Raw Pressure Data'!$1:$1,0))+$G$14))),"")</f>
        <v/>
      </c>
      <c r="X193" s="26">
        <f>IFERROR(IF($F$15="","",IF($K$5+ROW()-26&gt;$K$6,"",IF(INDEX('Raw Pressure Data'!$A:$ZZ,$K$5+ROW()-26+$H$15,MATCH($F$15,'Raw Pressure Data'!$1:$1,0))=-999,"",INDEX('Raw Pressure Data'!$A:$ZZ,$K$5+ROW()-26+$H$15,MATCH($F$15,'Raw Pressure Data'!$1:$1,0))+$G$15))),"")</f>
        <v/>
      </c>
      <c r="Y193" s="26">
        <f>IFERROR(IF($F$16="","",IF($K$5+ROW()-26&gt;$K$6,"",IF(INDEX('Raw Pressure Data'!$A:$ZZ,$K$5+ROW()-26+$H$16,MATCH($F$16,'Raw Pressure Data'!$1:$1,0))=-999,"",INDEX('Raw Pressure Data'!$A:$ZZ,$K$5+ROW()-26+$H$16,MATCH($F$16,'Raw Pressure Data'!$1:$1,0))+$G$16))),"")</f>
        <v/>
      </c>
      <c r="Z193" s="26">
        <f>IFERROR(IF($F$17="","",IF($K$5+ROW()-26&gt;$K$6,"",IF(INDEX('Raw Pressure Data'!$A:$ZZ,$K$5+ROW()-26+$H$17,MATCH($F$17,'Raw Pressure Data'!$1:$1,0))=-999,"",INDEX('Raw Pressure Data'!$A:$ZZ,$K$5+ROW()-26+$H$17,MATCH($F$17,'Raw Pressure Data'!$1:$1,0))+$G$17))),"")</f>
        <v/>
      </c>
      <c r="AA193" s="26">
        <f>IFERROR(IF($F$18="","",IF($K$5+ROW()-26&gt;$K$6,"",IF(INDEX('Raw Pressure Data'!$A:$ZZ,$K$5+ROW()-26+$H$18,MATCH($F$18,'Raw Pressure Data'!$1:$1,0))=-999,"",INDEX('Raw Pressure Data'!$A:$ZZ,$K$5+ROW()-26+$H$18,MATCH($F$18,'Raw Pressure Data'!$1:$1,0))+$G$18))),"")</f>
        <v/>
      </c>
      <c r="AB193" s="26">
        <f>IFERROR(IF($F$19="","",IF($K$5+ROW()-26&gt;$K$6,"",IF(INDEX('Raw Pressure Data'!$A:$ZZ,$K$5+ROW()-26+$H$19,MATCH($F$19,'Raw Pressure Data'!$1:$1,0))=-999,"",INDEX('Raw Pressure Data'!$A:$ZZ,$K$5+ROW()-26+$H$19,MATCH($F$19,'Raw Pressure Data'!$1:$1,0))+$G$19))),"")</f>
        <v/>
      </c>
      <c r="AC193" s="26">
        <f>IFERROR(IF($F$20="","",IF($K$5+ROW()-26&gt;$K$6,"",IF(INDEX('Raw Pressure Data'!$A:$ZZ,$K$5+ROW()-26+$H$20,MATCH($F$20,'Raw Pressure Data'!$1:$1,0))=-999,"",INDEX('Raw Pressure Data'!$A:$ZZ,$K$5+ROW()-26+$H$20,MATCH($F$20,'Raw Pressure Data'!$1:$1,0))+$G$20))),"")</f>
        <v/>
      </c>
      <c r="AD193" s="26">
        <f>IFERROR(IF($F$21="","",IF($K$5+ROW()-26&gt;$K$6,"",IF(INDEX('Raw Pressure Data'!$A:$ZZ,$K$5+ROW()-26+$H$21,MATCH($F$21,'Raw Pressure Data'!$1:$1,0))=-999,"",INDEX('Raw Pressure Data'!$A:$ZZ,$K$5+ROW()-26+$H$21,MATCH($F$21,'Raw Pressure Data'!$1:$1,0))+$G$21))),"")</f>
        <v/>
      </c>
      <c r="AE193" s="26">
        <f>IFERROR(IF($F$22="","",IF($K$5+ROW()-26&gt;$K$6,"",IF(INDEX('Raw Pressure Data'!$A:$ZZ,$K$5+ROW()-26+$H$22,MATCH($F$22,'Raw Pressure Data'!$1:$1,0))=-999,"",INDEX('Raw Pressure Data'!$A:$ZZ,$K$5+ROW()-26+$H$22,MATCH($F$22,'Raw Pressure Data'!$1:$1,0))+$G$22))),"")</f>
        <v/>
      </c>
    </row>
    <row r="194" ht="15" customHeight="1">
      <c r="A194" s="23">
        <f>IFERROR(IF($K$5+ROW()-26&gt;$K$6,"",IF(INDEX('Raw Flow Data'!$A:$A,$K$5+ROW()-26)="","",INDEX('Raw Flow Data'!$A:$A,$K$5+ROW()-26))),"")</f>
        <v/>
      </c>
      <c r="B194" s="24">
        <f>IFERROR(IF($B$3="","",IF($K$5+ROW()-26&gt;$K$6,"",IF(INDEX('Raw Flow Data'!$A:$ZZ,$K$5+ROW()-26+$D$3,MATCH($B$3,'Raw Flow Data'!$1:$1,0))=-999,"",INDEX('Raw Flow Data'!$A:$ZZ,$K$5+ROW()-26+$D$3,MATCH($B$3,'Raw Flow Data'!$1:$1,0))*$C$3))),"")</f>
        <v/>
      </c>
      <c r="C194" s="24">
        <f>IFERROR(IF($B$4="","",IF($K$5+ROW()-26&gt;$K$6,"",IF(INDEX('Raw Flow Data'!$A:$ZZ,$K$5+ROW()-26+$D$4,MATCH($B$4,'Raw Flow Data'!$1:$1,0))=-999,"",INDEX('Raw Flow Data'!$A:$ZZ,$K$5+ROW()-26+$D$4,MATCH($B$4,'Raw Flow Data'!$1:$1,0))*$C$4))),"")</f>
        <v/>
      </c>
      <c r="D194" s="24">
        <f>IFERROR(IF($B$5="","",IF($K$5+ROW()-26&gt;$K$6,"",IF(INDEX('Raw Flow Data'!$A:$ZZ,$K$5+ROW()-26+$D$5,MATCH($B$5,'Raw Flow Data'!$1:$1,0))=-999,"",INDEX('Raw Flow Data'!$A:$ZZ,$K$5+ROW()-26+$D$5,MATCH($B$5,'Raw Flow Data'!$1:$1,0))*$C$5))),"")</f>
        <v/>
      </c>
      <c r="E194" s="24">
        <f>IFERROR(IF($B$6="","",IF($K$5+ROW()-26&gt;$K$6,"",IF(INDEX('Raw Flow Data'!$A:$ZZ,$K$5+ROW()-26+$D$6,MATCH($B$6,'Raw Flow Data'!$1:$1,0))=-999,"",INDEX('Raw Flow Data'!$A:$ZZ,$K$5+ROW()-26+$D$6,MATCH($B$6,'Raw Flow Data'!$1:$1,0))*$C$6))),"")</f>
        <v/>
      </c>
      <c r="F194" s="24">
        <f>IFERROR(IF($B$7="","",IF($K$5+ROW()-26&gt;$K$6,"",IF(INDEX('Raw Flow Data'!$A:$ZZ,$K$5+ROW()-26+$D$7,MATCH($B$7,'Raw Flow Data'!$1:$1,0))=-999,"",INDEX('Raw Flow Data'!$A:$ZZ,$K$5+ROW()-26+$D$7,MATCH($B$7,'Raw Flow Data'!$1:$1,0))*$C$7))),"")</f>
        <v/>
      </c>
      <c r="G194" s="24">
        <f>IFERROR(IF($B$8="","",IF($K$5+ROW()-26&gt;$K$6,"",IF(INDEX('Raw Flow Data'!$A:$ZZ,$K$5+ROW()-26+$D$8,MATCH($B$8,'Raw Flow Data'!$1:$1,0))=-999,"",INDEX('Raw Flow Data'!$A:$ZZ,$K$5+ROW()-26+$D$8,MATCH($B$8,'Raw Flow Data'!$1:$1,0))*$C$8))),"")</f>
        <v/>
      </c>
      <c r="H194" s="24">
        <f>IFERROR(IF($B$9="","",IF($K$5+ROW()-26&gt;$K$6,"",IF(INDEX('Raw Flow Data'!$A:$ZZ,$K$5+ROW()-26+$D$9,MATCH($B$9,'Raw Flow Data'!$1:$1,0))=-999,"",INDEX('Raw Flow Data'!$A:$ZZ,$K$5+ROW()-26+$D$9,MATCH($B$9,'Raw Flow Data'!$1:$1,0))*$C$9))),"")</f>
        <v/>
      </c>
      <c r="I194" s="24">
        <f>IFERROR(IF($B$10="","",IF($K$5+ROW()-26&gt;$K$6,"",IF(INDEX('Raw Flow Data'!$A:$ZZ,$K$5+ROW()-26+$D$10,MATCH($B$10,'Raw Flow Data'!$1:$1,0))=-999,"",INDEX('Raw Flow Data'!$A:$ZZ,$K$5+ROW()-26+$D$10,MATCH($B$10,'Raw Flow Data'!$1:$1,0))*$C$10))),"")</f>
        <v/>
      </c>
      <c r="J194" s="24">
        <f>IFERROR(IF($B$11="","",IF($K$5+ROW()-26&gt;$K$6,"",IF(INDEX('Raw Flow Data'!$A:$ZZ,$K$5+ROW()-26+$D$11,MATCH($B$11,'Raw Flow Data'!$1:$1,0))=-999,"",INDEX('Raw Flow Data'!$A:$ZZ,$K$5+ROW()-26+$D$11,MATCH($B$11,'Raw Flow Data'!$1:$1,0))*$C$11))),"")</f>
        <v/>
      </c>
      <c r="K194" s="24">
        <f>IFERROR(IF($B$12="","",IF($K$5+ROW()-26&gt;$K$6,"",IF(INDEX('Raw Flow Data'!$A:$ZZ,$K$5+ROW()-26+$D$12,MATCH($B$12,'Raw Flow Data'!$1:$1,0))=-999,"",INDEX('Raw Flow Data'!$A:$ZZ,$K$5+ROW()-26+$D$12,MATCH($B$12,'Raw Flow Data'!$1:$1,0))*$C$12))),"")</f>
        <v/>
      </c>
      <c r="L194" s="24">
        <f>IFERROR(IF($F$3="","",IF($K$5+ROW()-26&gt;$K$6,"",IF(INDEX('Raw Pressure Data'!$A:$ZZ,$K$5+ROW()-26+$H$3,MATCH($F$3,'Raw Pressure Data'!$1:$1,0))=-999,"",INDEX('Raw Pressure Data'!$A:$ZZ,$K$5+ROW()-26+$H$3,MATCH($F$3,'Raw Pressure Data'!$1:$1,0))+$G$3))),"")</f>
        <v/>
      </c>
      <c r="M194" s="24">
        <f>IFERROR(IF($F$4="","",IF($K$5+ROW()-26&gt;$K$6,"",IF(INDEX('Raw Pressure Data'!$A:$ZZ,$K$5+ROW()-26+$H$4,MATCH($F$4,'Raw Pressure Data'!$1:$1,0))=-999,"",INDEX('Raw Pressure Data'!$A:$ZZ,$K$5+ROW()-26+$H$4,MATCH($F$4,'Raw Pressure Data'!$1:$1,0))+$G$4))),"")</f>
        <v/>
      </c>
      <c r="N194" s="24">
        <f>IFERROR(IF($F$5="","",IF($K$5+ROW()-26&gt;$K$6,"",IF(INDEX('Raw Pressure Data'!$A:$ZZ,$K$5+ROW()-26+$H$5,MATCH($F$5,'Raw Pressure Data'!$1:$1,0))=-999,"",INDEX('Raw Pressure Data'!$A:$ZZ,$K$5+ROW()-26+$H$5,MATCH($F$5,'Raw Pressure Data'!$1:$1,0))+$G$5))),"")</f>
        <v/>
      </c>
      <c r="O194" s="24">
        <f>IFERROR(IF($F$6="","",IF($K$5+ROW()-26&gt;$K$6,"",IF(INDEX('Raw Pressure Data'!$A:$ZZ,$K$5+ROW()-26+$H$6,MATCH($F$6,'Raw Pressure Data'!$1:$1,0))=-999,"",INDEX('Raw Pressure Data'!$A:$ZZ,$K$5+ROW()-26+$H$6,MATCH($F$6,'Raw Pressure Data'!$1:$1,0))+$G$6))),"")</f>
        <v/>
      </c>
      <c r="P194" s="24">
        <f>IFERROR(IF($F$7="","",IF($K$5+ROW()-26&gt;$K$6,"",IF(INDEX('Raw Pressure Data'!$A:$ZZ,$K$5+ROW()-26+$H$7,MATCH($F$7,'Raw Pressure Data'!$1:$1,0))=-999,"",INDEX('Raw Pressure Data'!$A:$ZZ,$K$5+ROW()-26+$H$7,MATCH($F$7,'Raw Pressure Data'!$1:$1,0))+$G$7))),"")</f>
        <v/>
      </c>
      <c r="Q194" s="24">
        <f>IFERROR(IF($F$8="","",IF($K$5+ROW()-26&gt;$K$6,"",IF(INDEX('Raw Pressure Data'!$A:$ZZ,$K$5+ROW()-26+$H$8,MATCH($F$8,'Raw Pressure Data'!$1:$1,0))=-999,"",INDEX('Raw Pressure Data'!$A:$ZZ,$K$5+ROW()-26+$H$8,MATCH($F$8,'Raw Pressure Data'!$1:$1,0))+$G$8))),"")</f>
        <v/>
      </c>
      <c r="R194" s="24">
        <f>IFERROR(IF($F$9="","",IF($K$5+ROW()-26&gt;$K$6,"",IF(INDEX('Raw Pressure Data'!$A:$ZZ,$K$5+ROW()-26+$H$9,MATCH($F$9,'Raw Pressure Data'!$1:$1,0))=-999,"",INDEX('Raw Pressure Data'!$A:$ZZ,$K$5+ROW()-26+$H$9,MATCH($F$9,'Raw Pressure Data'!$1:$1,0))+$G$9))),"")</f>
        <v/>
      </c>
      <c r="S194" s="24">
        <f>IFERROR(IF($F$10="","",IF($K$5+ROW()-26&gt;$K$6,"",IF(INDEX('Raw Pressure Data'!$A:$ZZ,$K$5+ROW()-26+$H$10,MATCH($F$10,'Raw Pressure Data'!$1:$1,0))=-999,"",INDEX('Raw Pressure Data'!$A:$ZZ,$K$5+ROW()-26+$H$10,MATCH($F$10,'Raw Pressure Data'!$1:$1,0))+$G$10))),"")</f>
        <v/>
      </c>
      <c r="T194" s="24">
        <f>IFERROR(IF($F$11="","",IF($K$5+ROW()-26&gt;$K$6,"",IF(INDEX('Raw Pressure Data'!$A:$ZZ,$K$5+ROW()-26+$H$11,MATCH($F$11,'Raw Pressure Data'!$1:$1,0))=-999,"",INDEX('Raw Pressure Data'!$A:$ZZ,$K$5+ROW()-26+$H$11,MATCH($F$11,'Raw Pressure Data'!$1:$1,0))+$G$11))),"")</f>
        <v/>
      </c>
      <c r="U194" s="24">
        <f>IFERROR(IF($F$12="","",IF($K$5+ROW()-26&gt;$K$6,"",IF(INDEX('Raw Pressure Data'!$A:$ZZ,$K$5+ROW()-26+$H$12,MATCH($F$12,'Raw Pressure Data'!$1:$1,0))=-999,"",INDEX('Raw Pressure Data'!$A:$ZZ,$K$5+ROW()-26+$H$12,MATCH($F$12,'Raw Pressure Data'!$1:$1,0))+$G$12))),"")</f>
        <v/>
      </c>
      <c r="V194" s="24">
        <f>IFERROR(IF($F$13="","",IF($K$5+ROW()-26&gt;$K$6,"",IF(INDEX('Raw Pressure Data'!$A:$ZZ,$K$5+ROW()-26+$H$13,MATCH($F$13,'Raw Pressure Data'!$1:$1,0))=-999,"",INDEX('Raw Pressure Data'!$A:$ZZ,$K$5+ROW()-26+$H$13,MATCH($F$13,'Raw Pressure Data'!$1:$1,0))+$G$13))),"")</f>
        <v/>
      </c>
      <c r="W194" s="24">
        <f>IFERROR(IF($F$14="","",IF($K$5+ROW()-26&gt;$K$6,"",IF(INDEX('Raw Pressure Data'!$A:$ZZ,$K$5+ROW()-26+$H$14,MATCH($F$14,'Raw Pressure Data'!$1:$1,0))=-999,"",INDEX('Raw Pressure Data'!$A:$ZZ,$K$5+ROW()-26+$H$14,MATCH($F$14,'Raw Pressure Data'!$1:$1,0))+$G$14))),"")</f>
        <v/>
      </c>
      <c r="X194" s="24">
        <f>IFERROR(IF($F$15="","",IF($K$5+ROW()-26&gt;$K$6,"",IF(INDEX('Raw Pressure Data'!$A:$ZZ,$K$5+ROW()-26+$H$15,MATCH($F$15,'Raw Pressure Data'!$1:$1,0))=-999,"",INDEX('Raw Pressure Data'!$A:$ZZ,$K$5+ROW()-26+$H$15,MATCH($F$15,'Raw Pressure Data'!$1:$1,0))+$G$15))),"")</f>
        <v/>
      </c>
      <c r="Y194" s="24">
        <f>IFERROR(IF($F$16="","",IF($K$5+ROW()-26&gt;$K$6,"",IF(INDEX('Raw Pressure Data'!$A:$ZZ,$K$5+ROW()-26+$H$16,MATCH($F$16,'Raw Pressure Data'!$1:$1,0))=-999,"",INDEX('Raw Pressure Data'!$A:$ZZ,$K$5+ROW()-26+$H$16,MATCH($F$16,'Raw Pressure Data'!$1:$1,0))+$G$16))),"")</f>
        <v/>
      </c>
      <c r="Z194" s="24">
        <f>IFERROR(IF($F$17="","",IF($K$5+ROW()-26&gt;$K$6,"",IF(INDEX('Raw Pressure Data'!$A:$ZZ,$K$5+ROW()-26+$H$17,MATCH($F$17,'Raw Pressure Data'!$1:$1,0))=-999,"",INDEX('Raw Pressure Data'!$A:$ZZ,$K$5+ROW()-26+$H$17,MATCH($F$17,'Raw Pressure Data'!$1:$1,0))+$G$17))),"")</f>
        <v/>
      </c>
      <c r="AA194" s="24">
        <f>IFERROR(IF($F$18="","",IF($K$5+ROW()-26&gt;$K$6,"",IF(INDEX('Raw Pressure Data'!$A:$ZZ,$K$5+ROW()-26+$H$18,MATCH($F$18,'Raw Pressure Data'!$1:$1,0))=-999,"",INDEX('Raw Pressure Data'!$A:$ZZ,$K$5+ROW()-26+$H$18,MATCH($F$18,'Raw Pressure Data'!$1:$1,0))+$G$18))),"")</f>
        <v/>
      </c>
      <c r="AB194" s="24">
        <f>IFERROR(IF($F$19="","",IF($K$5+ROW()-26&gt;$K$6,"",IF(INDEX('Raw Pressure Data'!$A:$ZZ,$K$5+ROW()-26+$H$19,MATCH($F$19,'Raw Pressure Data'!$1:$1,0))=-999,"",INDEX('Raw Pressure Data'!$A:$ZZ,$K$5+ROW()-26+$H$19,MATCH($F$19,'Raw Pressure Data'!$1:$1,0))+$G$19))),"")</f>
        <v/>
      </c>
      <c r="AC194" s="24">
        <f>IFERROR(IF($F$20="","",IF($K$5+ROW()-26&gt;$K$6,"",IF(INDEX('Raw Pressure Data'!$A:$ZZ,$K$5+ROW()-26+$H$20,MATCH($F$20,'Raw Pressure Data'!$1:$1,0))=-999,"",INDEX('Raw Pressure Data'!$A:$ZZ,$K$5+ROW()-26+$H$20,MATCH($F$20,'Raw Pressure Data'!$1:$1,0))+$G$20))),"")</f>
        <v/>
      </c>
      <c r="AD194" s="24">
        <f>IFERROR(IF($F$21="","",IF($K$5+ROW()-26&gt;$K$6,"",IF(INDEX('Raw Pressure Data'!$A:$ZZ,$K$5+ROW()-26+$H$21,MATCH($F$21,'Raw Pressure Data'!$1:$1,0))=-999,"",INDEX('Raw Pressure Data'!$A:$ZZ,$K$5+ROW()-26+$H$21,MATCH($F$21,'Raw Pressure Data'!$1:$1,0))+$G$21))),"")</f>
        <v/>
      </c>
      <c r="AE194" s="24">
        <f>IFERROR(IF($F$22="","",IF($K$5+ROW()-26&gt;$K$6,"",IF(INDEX('Raw Pressure Data'!$A:$ZZ,$K$5+ROW()-26+$H$22,MATCH($F$22,'Raw Pressure Data'!$1:$1,0))=-999,"",INDEX('Raw Pressure Data'!$A:$ZZ,$K$5+ROW()-26+$H$22,MATCH($F$22,'Raw Pressure Data'!$1:$1,0))+$G$22))),"")</f>
        <v/>
      </c>
    </row>
    <row r="195" ht="15" customHeight="1">
      <c r="A195" s="25">
        <f>IFERROR(IF($K$5+ROW()-26&gt;$K$6,"",IF(INDEX('Raw Flow Data'!$A:$A,$K$5+ROW()-26)="","",INDEX('Raw Flow Data'!$A:$A,$K$5+ROW()-26))),"")</f>
        <v/>
      </c>
      <c r="B195" s="26">
        <f>IFERROR(IF($B$3="","",IF($K$5+ROW()-26&gt;$K$6,"",IF(INDEX('Raw Flow Data'!$A:$ZZ,$K$5+ROW()-26+$D$3,MATCH($B$3,'Raw Flow Data'!$1:$1,0))=-999,"",INDEX('Raw Flow Data'!$A:$ZZ,$K$5+ROW()-26+$D$3,MATCH($B$3,'Raw Flow Data'!$1:$1,0))*$C$3))),"")</f>
        <v/>
      </c>
      <c r="C195" s="26">
        <f>IFERROR(IF($B$4="","",IF($K$5+ROW()-26&gt;$K$6,"",IF(INDEX('Raw Flow Data'!$A:$ZZ,$K$5+ROW()-26+$D$4,MATCH($B$4,'Raw Flow Data'!$1:$1,0))=-999,"",INDEX('Raw Flow Data'!$A:$ZZ,$K$5+ROW()-26+$D$4,MATCH($B$4,'Raw Flow Data'!$1:$1,0))*$C$4))),"")</f>
        <v/>
      </c>
      <c r="D195" s="26">
        <f>IFERROR(IF($B$5="","",IF($K$5+ROW()-26&gt;$K$6,"",IF(INDEX('Raw Flow Data'!$A:$ZZ,$K$5+ROW()-26+$D$5,MATCH($B$5,'Raw Flow Data'!$1:$1,0))=-999,"",INDEX('Raw Flow Data'!$A:$ZZ,$K$5+ROW()-26+$D$5,MATCH($B$5,'Raw Flow Data'!$1:$1,0))*$C$5))),"")</f>
        <v/>
      </c>
      <c r="E195" s="26">
        <f>IFERROR(IF($B$6="","",IF($K$5+ROW()-26&gt;$K$6,"",IF(INDEX('Raw Flow Data'!$A:$ZZ,$K$5+ROW()-26+$D$6,MATCH($B$6,'Raw Flow Data'!$1:$1,0))=-999,"",INDEX('Raw Flow Data'!$A:$ZZ,$K$5+ROW()-26+$D$6,MATCH($B$6,'Raw Flow Data'!$1:$1,0))*$C$6))),"")</f>
        <v/>
      </c>
      <c r="F195" s="26">
        <f>IFERROR(IF($B$7="","",IF($K$5+ROW()-26&gt;$K$6,"",IF(INDEX('Raw Flow Data'!$A:$ZZ,$K$5+ROW()-26+$D$7,MATCH($B$7,'Raw Flow Data'!$1:$1,0))=-999,"",INDEX('Raw Flow Data'!$A:$ZZ,$K$5+ROW()-26+$D$7,MATCH($B$7,'Raw Flow Data'!$1:$1,0))*$C$7))),"")</f>
        <v/>
      </c>
      <c r="G195" s="26">
        <f>IFERROR(IF($B$8="","",IF($K$5+ROW()-26&gt;$K$6,"",IF(INDEX('Raw Flow Data'!$A:$ZZ,$K$5+ROW()-26+$D$8,MATCH($B$8,'Raw Flow Data'!$1:$1,0))=-999,"",INDEX('Raw Flow Data'!$A:$ZZ,$K$5+ROW()-26+$D$8,MATCH($B$8,'Raw Flow Data'!$1:$1,0))*$C$8))),"")</f>
        <v/>
      </c>
      <c r="H195" s="26">
        <f>IFERROR(IF($B$9="","",IF($K$5+ROW()-26&gt;$K$6,"",IF(INDEX('Raw Flow Data'!$A:$ZZ,$K$5+ROW()-26+$D$9,MATCH($B$9,'Raw Flow Data'!$1:$1,0))=-999,"",INDEX('Raw Flow Data'!$A:$ZZ,$K$5+ROW()-26+$D$9,MATCH($B$9,'Raw Flow Data'!$1:$1,0))*$C$9))),"")</f>
        <v/>
      </c>
      <c r="I195" s="26">
        <f>IFERROR(IF($B$10="","",IF($K$5+ROW()-26&gt;$K$6,"",IF(INDEX('Raw Flow Data'!$A:$ZZ,$K$5+ROW()-26+$D$10,MATCH($B$10,'Raw Flow Data'!$1:$1,0))=-999,"",INDEX('Raw Flow Data'!$A:$ZZ,$K$5+ROW()-26+$D$10,MATCH($B$10,'Raw Flow Data'!$1:$1,0))*$C$10))),"")</f>
        <v/>
      </c>
      <c r="J195" s="26">
        <f>IFERROR(IF($B$11="","",IF($K$5+ROW()-26&gt;$K$6,"",IF(INDEX('Raw Flow Data'!$A:$ZZ,$K$5+ROW()-26+$D$11,MATCH($B$11,'Raw Flow Data'!$1:$1,0))=-999,"",INDEX('Raw Flow Data'!$A:$ZZ,$K$5+ROW()-26+$D$11,MATCH($B$11,'Raw Flow Data'!$1:$1,0))*$C$11))),"")</f>
        <v/>
      </c>
      <c r="K195" s="26">
        <f>IFERROR(IF($B$12="","",IF($K$5+ROW()-26&gt;$K$6,"",IF(INDEX('Raw Flow Data'!$A:$ZZ,$K$5+ROW()-26+$D$12,MATCH($B$12,'Raw Flow Data'!$1:$1,0))=-999,"",INDEX('Raw Flow Data'!$A:$ZZ,$K$5+ROW()-26+$D$12,MATCH($B$12,'Raw Flow Data'!$1:$1,0))*$C$12))),"")</f>
        <v/>
      </c>
      <c r="L195" s="26">
        <f>IFERROR(IF($F$3="","",IF($K$5+ROW()-26&gt;$K$6,"",IF(INDEX('Raw Pressure Data'!$A:$ZZ,$K$5+ROW()-26+$H$3,MATCH($F$3,'Raw Pressure Data'!$1:$1,0))=-999,"",INDEX('Raw Pressure Data'!$A:$ZZ,$K$5+ROW()-26+$H$3,MATCH($F$3,'Raw Pressure Data'!$1:$1,0))+$G$3))),"")</f>
        <v/>
      </c>
      <c r="M195" s="26">
        <f>IFERROR(IF($F$4="","",IF($K$5+ROW()-26&gt;$K$6,"",IF(INDEX('Raw Pressure Data'!$A:$ZZ,$K$5+ROW()-26+$H$4,MATCH($F$4,'Raw Pressure Data'!$1:$1,0))=-999,"",INDEX('Raw Pressure Data'!$A:$ZZ,$K$5+ROW()-26+$H$4,MATCH($F$4,'Raw Pressure Data'!$1:$1,0))+$G$4))),"")</f>
        <v/>
      </c>
      <c r="N195" s="26">
        <f>IFERROR(IF($F$5="","",IF($K$5+ROW()-26&gt;$K$6,"",IF(INDEX('Raw Pressure Data'!$A:$ZZ,$K$5+ROW()-26+$H$5,MATCH($F$5,'Raw Pressure Data'!$1:$1,0))=-999,"",INDEX('Raw Pressure Data'!$A:$ZZ,$K$5+ROW()-26+$H$5,MATCH($F$5,'Raw Pressure Data'!$1:$1,0))+$G$5))),"")</f>
        <v/>
      </c>
      <c r="O195" s="26">
        <f>IFERROR(IF($F$6="","",IF($K$5+ROW()-26&gt;$K$6,"",IF(INDEX('Raw Pressure Data'!$A:$ZZ,$K$5+ROW()-26+$H$6,MATCH($F$6,'Raw Pressure Data'!$1:$1,0))=-999,"",INDEX('Raw Pressure Data'!$A:$ZZ,$K$5+ROW()-26+$H$6,MATCH($F$6,'Raw Pressure Data'!$1:$1,0))+$G$6))),"")</f>
        <v/>
      </c>
      <c r="P195" s="26">
        <f>IFERROR(IF($F$7="","",IF($K$5+ROW()-26&gt;$K$6,"",IF(INDEX('Raw Pressure Data'!$A:$ZZ,$K$5+ROW()-26+$H$7,MATCH($F$7,'Raw Pressure Data'!$1:$1,0))=-999,"",INDEX('Raw Pressure Data'!$A:$ZZ,$K$5+ROW()-26+$H$7,MATCH($F$7,'Raw Pressure Data'!$1:$1,0))+$G$7))),"")</f>
        <v/>
      </c>
      <c r="Q195" s="26">
        <f>IFERROR(IF($F$8="","",IF($K$5+ROW()-26&gt;$K$6,"",IF(INDEX('Raw Pressure Data'!$A:$ZZ,$K$5+ROW()-26+$H$8,MATCH($F$8,'Raw Pressure Data'!$1:$1,0))=-999,"",INDEX('Raw Pressure Data'!$A:$ZZ,$K$5+ROW()-26+$H$8,MATCH($F$8,'Raw Pressure Data'!$1:$1,0))+$G$8))),"")</f>
        <v/>
      </c>
      <c r="R195" s="26">
        <f>IFERROR(IF($F$9="","",IF($K$5+ROW()-26&gt;$K$6,"",IF(INDEX('Raw Pressure Data'!$A:$ZZ,$K$5+ROW()-26+$H$9,MATCH($F$9,'Raw Pressure Data'!$1:$1,0))=-999,"",INDEX('Raw Pressure Data'!$A:$ZZ,$K$5+ROW()-26+$H$9,MATCH($F$9,'Raw Pressure Data'!$1:$1,0))+$G$9))),"")</f>
        <v/>
      </c>
      <c r="S195" s="26">
        <f>IFERROR(IF($F$10="","",IF($K$5+ROW()-26&gt;$K$6,"",IF(INDEX('Raw Pressure Data'!$A:$ZZ,$K$5+ROW()-26+$H$10,MATCH($F$10,'Raw Pressure Data'!$1:$1,0))=-999,"",INDEX('Raw Pressure Data'!$A:$ZZ,$K$5+ROW()-26+$H$10,MATCH($F$10,'Raw Pressure Data'!$1:$1,0))+$G$10))),"")</f>
        <v/>
      </c>
      <c r="T195" s="26">
        <f>IFERROR(IF($F$11="","",IF($K$5+ROW()-26&gt;$K$6,"",IF(INDEX('Raw Pressure Data'!$A:$ZZ,$K$5+ROW()-26+$H$11,MATCH($F$11,'Raw Pressure Data'!$1:$1,0))=-999,"",INDEX('Raw Pressure Data'!$A:$ZZ,$K$5+ROW()-26+$H$11,MATCH($F$11,'Raw Pressure Data'!$1:$1,0))+$G$11))),"")</f>
        <v/>
      </c>
      <c r="U195" s="26">
        <f>IFERROR(IF($F$12="","",IF($K$5+ROW()-26&gt;$K$6,"",IF(INDEX('Raw Pressure Data'!$A:$ZZ,$K$5+ROW()-26+$H$12,MATCH($F$12,'Raw Pressure Data'!$1:$1,0))=-999,"",INDEX('Raw Pressure Data'!$A:$ZZ,$K$5+ROW()-26+$H$12,MATCH($F$12,'Raw Pressure Data'!$1:$1,0))+$G$12))),"")</f>
        <v/>
      </c>
      <c r="V195" s="26">
        <f>IFERROR(IF($F$13="","",IF($K$5+ROW()-26&gt;$K$6,"",IF(INDEX('Raw Pressure Data'!$A:$ZZ,$K$5+ROW()-26+$H$13,MATCH($F$13,'Raw Pressure Data'!$1:$1,0))=-999,"",INDEX('Raw Pressure Data'!$A:$ZZ,$K$5+ROW()-26+$H$13,MATCH($F$13,'Raw Pressure Data'!$1:$1,0))+$G$13))),"")</f>
        <v/>
      </c>
      <c r="W195" s="26">
        <f>IFERROR(IF($F$14="","",IF($K$5+ROW()-26&gt;$K$6,"",IF(INDEX('Raw Pressure Data'!$A:$ZZ,$K$5+ROW()-26+$H$14,MATCH($F$14,'Raw Pressure Data'!$1:$1,0))=-999,"",INDEX('Raw Pressure Data'!$A:$ZZ,$K$5+ROW()-26+$H$14,MATCH($F$14,'Raw Pressure Data'!$1:$1,0))+$G$14))),"")</f>
        <v/>
      </c>
      <c r="X195" s="26">
        <f>IFERROR(IF($F$15="","",IF($K$5+ROW()-26&gt;$K$6,"",IF(INDEX('Raw Pressure Data'!$A:$ZZ,$K$5+ROW()-26+$H$15,MATCH($F$15,'Raw Pressure Data'!$1:$1,0))=-999,"",INDEX('Raw Pressure Data'!$A:$ZZ,$K$5+ROW()-26+$H$15,MATCH($F$15,'Raw Pressure Data'!$1:$1,0))+$G$15))),"")</f>
        <v/>
      </c>
      <c r="Y195" s="26">
        <f>IFERROR(IF($F$16="","",IF($K$5+ROW()-26&gt;$K$6,"",IF(INDEX('Raw Pressure Data'!$A:$ZZ,$K$5+ROW()-26+$H$16,MATCH($F$16,'Raw Pressure Data'!$1:$1,0))=-999,"",INDEX('Raw Pressure Data'!$A:$ZZ,$K$5+ROW()-26+$H$16,MATCH($F$16,'Raw Pressure Data'!$1:$1,0))+$G$16))),"")</f>
        <v/>
      </c>
      <c r="Z195" s="26">
        <f>IFERROR(IF($F$17="","",IF($K$5+ROW()-26&gt;$K$6,"",IF(INDEX('Raw Pressure Data'!$A:$ZZ,$K$5+ROW()-26+$H$17,MATCH($F$17,'Raw Pressure Data'!$1:$1,0))=-999,"",INDEX('Raw Pressure Data'!$A:$ZZ,$K$5+ROW()-26+$H$17,MATCH($F$17,'Raw Pressure Data'!$1:$1,0))+$G$17))),"")</f>
        <v/>
      </c>
      <c r="AA195" s="26">
        <f>IFERROR(IF($F$18="","",IF($K$5+ROW()-26&gt;$K$6,"",IF(INDEX('Raw Pressure Data'!$A:$ZZ,$K$5+ROW()-26+$H$18,MATCH($F$18,'Raw Pressure Data'!$1:$1,0))=-999,"",INDEX('Raw Pressure Data'!$A:$ZZ,$K$5+ROW()-26+$H$18,MATCH($F$18,'Raw Pressure Data'!$1:$1,0))+$G$18))),"")</f>
        <v/>
      </c>
      <c r="AB195" s="26">
        <f>IFERROR(IF($F$19="","",IF($K$5+ROW()-26&gt;$K$6,"",IF(INDEX('Raw Pressure Data'!$A:$ZZ,$K$5+ROW()-26+$H$19,MATCH($F$19,'Raw Pressure Data'!$1:$1,0))=-999,"",INDEX('Raw Pressure Data'!$A:$ZZ,$K$5+ROW()-26+$H$19,MATCH($F$19,'Raw Pressure Data'!$1:$1,0))+$G$19))),"")</f>
        <v/>
      </c>
      <c r="AC195" s="26">
        <f>IFERROR(IF($F$20="","",IF($K$5+ROW()-26&gt;$K$6,"",IF(INDEX('Raw Pressure Data'!$A:$ZZ,$K$5+ROW()-26+$H$20,MATCH($F$20,'Raw Pressure Data'!$1:$1,0))=-999,"",INDEX('Raw Pressure Data'!$A:$ZZ,$K$5+ROW()-26+$H$20,MATCH($F$20,'Raw Pressure Data'!$1:$1,0))+$G$20))),"")</f>
        <v/>
      </c>
      <c r="AD195" s="26">
        <f>IFERROR(IF($F$21="","",IF($K$5+ROW()-26&gt;$K$6,"",IF(INDEX('Raw Pressure Data'!$A:$ZZ,$K$5+ROW()-26+$H$21,MATCH($F$21,'Raw Pressure Data'!$1:$1,0))=-999,"",INDEX('Raw Pressure Data'!$A:$ZZ,$K$5+ROW()-26+$H$21,MATCH($F$21,'Raw Pressure Data'!$1:$1,0))+$G$21))),"")</f>
        <v/>
      </c>
      <c r="AE195" s="26">
        <f>IFERROR(IF($F$22="","",IF($K$5+ROW()-26&gt;$K$6,"",IF(INDEX('Raw Pressure Data'!$A:$ZZ,$K$5+ROW()-26+$H$22,MATCH($F$22,'Raw Pressure Data'!$1:$1,0))=-999,"",INDEX('Raw Pressure Data'!$A:$ZZ,$K$5+ROW()-26+$H$22,MATCH($F$22,'Raw Pressure Data'!$1:$1,0))+$G$22))),"")</f>
        <v/>
      </c>
    </row>
    <row r="196" ht="15" customHeight="1">
      <c r="A196" s="23">
        <f>IFERROR(IF($K$5+ROW()-26&gt;$K$6,"",IF(INDEX('Raw Flow Data'!$A:$A,$K$5+ROW()-26)="","",INDEX('Raw Flow Data'!$A:$A,$K$5+ROW()-26))),"")</f>
        <v/>
      </c>
      <c r="B196" s="24">
        <f>IFERROR(IF($B$3="","",IF($K$5+ROW()-26&gt;$K$6,"",IF(INDEX('Raw Flow Data'!$A:$ZZ,$K$5+ROW()-26+$D$3,MATCH($B$3,'Raw Flow Data'!$1:$1,0))=-999,"",INDEX('Raw Flow Data'!$A:$ZZ,$K$5+ROW()-26+$D$3,MATCH($B$3,'Raw Flow Data'!$1:$1,0))*$C$3))),"")</f>
        <v/>
      </c>
      <c r="C196" s="24">
        <f>IFERROR(IF($B$4="","",IF($K$5+ROW()-26&gt;$K$6,"",IF(INDEX('Raw Flow Data'!$A:$ZZ,$K$5+ROW()-26+$D$4,MATCH($B$4,'Raw Flow Data'!$1:$1,0))=-999,"",INDEX('Raw Flow Data'!$A:$ZZ,$K$5+ROW()-26+$D$4,MATCH($B$4,'Raw Flow Data'!$1:$1,0))*$C$4))),"")</f>
        <v/>
      </c>
      <c r="D196" s="24">
        <f>IFERROR(IF($B$5="","",IF($K$5+ROW()-26&gt;$K$6,"",IF(INDEX('Raw Flow Data'!$A:$ZZ,$K$5+ROW()-26+$D$5,MATCH($B$5,'Raw Flow Data'!$1:$1,0))=-999,"",INDEX('Raw Flow Data'!$A:$ZZ,$K$5+ROW()-26+$D$5,MATCH($B$5,'Raw Flow Data'!$1:$1,0))*$C$5))),"")</f>
        <v/>
      </c>
      <c r="E196" s="24">
        <f>IFERROR(IF($B$6="","",IF($K$5+ROW()-26&gt;$K$6,"",IF(INDEX('Raw Flow Data'!$A:$ZZ,$K$5+ROW()-26+$D$6,MATCH($B$6,'Raw Flow Data'!$1:$1,0))=-999,"",INDEX('Raw Flow Data'!$A:$ZZ,$K$5+ROW()-26+$D$6,MATCH($B$6,'Raw Flow Data'!$1:$1,0))*$C$6))),"")</f>
        <v/>
      </c>
      <c r="F196" s="24">
        <f>IFERROR(IF($B$7="","",IF($K$5+ROW()-26&gt;$K$6,"",IF(INDEX('Raw Flow Data'!$A:$ZZ,$K$5+ROW()-26+$D$7,MATCH($B$7,'Raw Flow Data'!$1:$1,0))=-999,"",INDEX('Raw Flow Data'!$A:$ZZ,$K$5+ROW()-26+$D$7,MATCH($B$7,'Raw Flow Data'!$1:$1,0))*$C$7))),"")</f>
        <v/>
      </c>
      <c r="G196" s="24">
        <f>IFERROR(IF($B$8="","",IF($K$5+ROW()-26&gt;$K$6,"",IF(INDEX('Raw Flow Data'!$A:$ZZ,$K$5+ROW()-26+$D$8,MATCH($B$8,'Raw Flow Data'!$1:$1,0))=-999,"",INDEX('Raw Flow Data'!$A:$ZZ,$K$5+ROW()-26+$D$8,MATCH($B$8,'Raw Flow Data'!$1:$1,0))*$C$8))),"")</f>
        <v/>
      </c>
      <c r="H196" s="24">
        <f>IFERROR(IF($B$9="","",IF($K$5+ROW()-26&gt;$K$6,"",IF(INDEX('Raw Flow Data'!$A:$ZZ,$K$5+ROW()-26+$D$9,MATCH($B$9,'Raw Flow Data'!$1:$1,0))=-999,"",INDEX('Raw Flow Data'!$A:$ZZ,$K$5+ROW()-26+$D$9,MATCH($B$9,'Raw Flow Data'!$1:$1,0))*$C$9))),"")</f>
        <v/>
      </c>
      <c r="I196" s="24">
        <f>IFERROR(IF($B$10="","",IF($K$5+ROW()-26&gt;$K$6,"",IF(INDEX('Raw Flow Data'!$A:$ZZ,$K$5+ROW()-26+$D$10,MATCH($B$10,'Raw Flow Data'!$1:$1,0))=-999,"",INDEX('Raw Flow Data'!$A:$ZZ,$K$5+ROW()-26+$D$10,MATCH($B$10,'Raw Flow Data'!$1:$1,0))*$C$10))),"")</f>
        <v/>
      </c>
      <c r="J196" s="24">
        <f>IFERROR(IF($B$11="","",IF($K$5+ROW()-26&gt;$K$6,"",IF(INDEX('Raw Flow Data'!$A:$ZZ,$K$5+ROW()-26+$D$11,MATCH($B$11,'Raw Flow Data'!$1:$1,0))=-999,"",INDEX('Raw Flow Data'!$A:$ZZ,$K$5+ROW()-26+$D$11,MATCH($B$11,'Raw Flow Data'!$1:$1,0))*$C$11))),"")</f>
        <v/>
      </c>
      <c r="K196" s="24">
        <f>IFERROR(IF($B$12="","",IF($K$5+ROW()-26&gt;$K$6,"",IF(INDEX('Raw Flow Data'!$A:$ZZ,$K$5+ROW()-26+$D$12,MATCH($B$12,'Raw Flow Data'!$1:$1,0))=-999,"",INDEX('Raw Flow Data'!$A:$ZZ,$K$5+ROW()-26+$D$12,MATCH($B$12,'Raw Flow Data'!$1:$1,0))*$C$12))),"")</f>
        <v/>
      </c>
      <c r="L196" s="24">
        <f>IFERROR(IF($F$3="","",IF($K$5+ROW()-26&gt;$K$6,"",IF(INDEX('Raw Pressure Data'!$A:$ZZ,$K$5+ROW()-26+$H$3,MATCH($F$3,'Raw Pressure Data'!$1:$1,0))=-999,"",INDEX('Raw Pressure Data'!$A:$ZZ,$K$5+ROW()-26+$H$3,MATCH($F$3,'Raw Pressure Data'!$1:$1,0))+$G$3))),"")</f>
        <v/>
      </c>
      <c r="M196" s="24">
        <f>IFERROR(IF($F$4="","",IF($K$5+ROW()-26&gt;$K$6,"",IF(INDEX('Raw Pressure Data'!$A:$ZZ,$K$5+ROW()-26+$H$4,MATCH($F$4,'Raw Pressure Data'!$1:$1,0))=-999,"",INDEX('Raw Pressure Data'!$A:$ZZ,$K$5+ROW()-26+$H$4,MATCH($F$4,'Raw Pressure Data'!$1:$1,0))+$G$4))),"")</f>
        <v/>
      </c>
      <c r="N196" s="24">
        <f>IFERROR(IF($F$5="","",IF($K$5+ROW()-26&gt;$K$6,"",IF(INDEX('Raw Pressure Data'!$A:$ZZ,$K$5+ROW()-26+$H$5,MATCH($F$5,'Raw Pressure Data'!$1:$1,0))=-999,"",INDEX('Raw Pressure Data'!$A:$ZZ,$K$5+ROW()-26+$H$5,MATCH($F$5,'Raw Pressure Data'!$1:$1,0))+$G$5))),"")</f>
        <v/>
      </c>
      <c r="O196" s="24">
        <f>IFERROR(IF($F$6="","",IF($K$5+ROW()-26&gt;$K$6,"",IF(INDEX('Raw Pressure Data'!$A:$ZZ,$K$5+ROW()-26+$H$6,MATCH($F$6,'Raw Pressure Data'!$1:$1,0))=-999,"",INDEX('Raw Pressure Data'!$A:$ZZ,$K$5+ROW()-26+$H$6,MATCH($F$6,'Raw Pressure Data'!$1:$1,0))+$G$6))),"")</f>
        <v/>
      </c>
      <c r="P196" s="24">
        <f>IFERROR(IF($F$7="","",IF($K$5+ROW()-26&gt;$K$6,"",IF(INDEX('Raw Pressure Data'!$A:$ZZ,$K$5+ROW()-26+$H$7,MATCH($F$7,'Raw Pressure Data'!$1:$1,0))=-999,"",INDEX('Raw Pressure Data'!$A:$ZZ,$K$5+ROW()-26+$H$7,MATCH($F$7,'Raw Pressure Data'!$1:$1,0))+$G$7))),"")</f>
        <v/>
      </c>
      <c r="Q196" s="24">
        <f>IFERROR(IF($F$8="","",IF($K$5+ROW()-26&gt;$K$6,"",IF(INDEX('Raw Pressure Data'!$A:$ZZ,$K$5+ROW()-26+$H$8,MATCH($F$8,'Raw Pressure Data'!$1:$1,0))=-999,"",INDEX('Raw Pressure Data'!$A:$ZZ,$K$5+ROW()-26+$H$8,MATCH($F$8,'Raw Pressure Data'!$1:$1,0))+$G$8))),"")</f>
        <v/>
      </c>
      <c r="R196" s="24">
        <f>IFERROR(IF($F$9="","",IF($K$5+ROW()-26&gt;$K$6,"",IF(INDEX('Raw Pressure Data'!$A:$ZZ,$K$5+ROW()-26+$H$9,MATCH($F$9,'Raw Pressure Data'!$1:$1,0))=-999,"",INDEX('Raw Pressure Data'!$A:$ZZ,$K$5+ROW()-26+$H$9,MATCH($F$9,'Raw Pressure Data'!$1:$1,0))+$G$9))),"")</f>
        <v/>
      </c>
      <c r="S196" s="24">
        <f>IFERROR(IF($F$10="","",IF($K$5+ROW()-26&gt;$K$6,"",IF(INDEX('Raw Pressure Data'!$A:$ZZ,$K$5+ROW()-26+$H$10,MATCH($F$10,'Raw Pressure Data'!$1:$1,0))=-999,"",INDEX('Raw Pressure Data'!$A:$ZZ,$K$5+ROW()-26+$H$10,MATCH($F$10,'Raw Pressure Data'!$1:$1,0))+$G$10))),"")</f>
        <v/>
      </c>
      <c r="T196" s="24">
        <f>IFERROR(IF($F$11="","",IF($K$5+ROW()-26&gt;$K$6,"",IF(INDEX('Raw Pressure Data'!$A:$ZZ,$K$5+ROW()-26+$H$11,MATCH($F$11,'Raw Pressure Data'!$1:$1,0))=-999,"",INDEX('Raw Pressure Data'!$A:$ZZ,$K$5+ROW()-26+$H$11,MATCH($F$11,'Raw Pressure Data'!$1:$1,0))+$G$11))),"")</f>
        <v/>
      </c>
      <c r="U196" s="24">
        <f>IFERROR(IF($F$12="","",IF($K$5+ROW()-26&gt;$K$6,"",IF(INDEX('Raw Pressure Data'!$A:$ZZ,$K$5+ROW()-26+$H$12,MATCH($F$12,'Raw Pressure Data'!$1:$1,0))=-999,"",INDEX('Raw Pressure Data'!$A:$ZZ,$K$5+ROW()-26+$H$12,MATCH($F$12,'Raw Pressure Data'!$1:$1,0))+$G$12))),"")</f>
        <v/>
      </c>
      <c r="V196" s="24">
        <f>IFERROR(IF($F$13="","",IF($K$5+ROW()-26&gt;$K$6,"",IF(INDEX('Raw Pressure Data'!$A:$ZZ,$K$5+ROW()-26+$H$13,MATCH($F$13,'Raw Pressure Data'!$1:$1,0))=-999,"",INDEX('Raw Pressure Data'!$A:$ZZ,$K$5+ROW()-26+$H$13,MATCH($F$13,'Raw Pressure Data'!$1:$1,0))+$G$13))),"")</f>
        <v/>
      </c>
      <c r="W196" s="24">
        <f>IFERROR(IF($F$14="","",IF($K$5+ROW()-26&gt;$K$6,"",IF(INDEX('Raw Pressure Data'!$A:$ZZ,$K$5+ROW()-26+$H$14,MATCH($F$14,'Raw Pressure Data'!$1:$1,0))=-999,"",INDEX('Raw Pressure Data'!$A:$ZZ,$K$5+ROW()-26+$H$14,MATCH($F$14,'Raw Pressure Data'!$1:$1,0))+$G$14))),"")</f>
        <v/>
      </c>
      <c r="X196" s="24">
        <f>IFERROR(IF($F$15="","",IF($K$5+ROW()-26&gt;$K$6,"",IF(INDEX('Raw Pressure Data'!$A:$ZZ,$K$5+ROW()-26+$H$15,MATCH($F$15,'Raw Pressure Data'!$1:$1,0))=-999,"",INDEX('Raw Pressure Data'!$A:$ZZ,$K$5+ROW()-26+$H$15,MATCH($F$15,'Raw Pressure Data'!$1:$1,0))+$G$15))),"")</f>
        <v/>
      </c>
      <c r="Y196" s="24">
        <f>IFERROR(IF($F$16="","",IF($K$5+ROW()-26&gt;$K$6,"",IF(INDEX('Raw Pressure Data'!$A:$ZZ,$K$5+ROW()-26+$H$16,MATCH($F$16,'Raw Pressure Data'!$1:$1,0))=-999,"",INDEX('Raw Pressure Data'!$A:$ZZ,$K$5+ROW()-26+$H$16,MATCH($F$16,'Raw Pressure Data'!$1:$1,0))+$G$16))),"")</f>
        <v/>
      </c>
      <c r="Z196" s="24">
        <f>IFERROR(IF($F$17="","",IF($K$5+ROW()-26&gt;$K$6,"",IF(INDEX('Raw Pressure Data'!$A:$ZZ,$K$5+ROW()-26+$H$17,MATCH($F$17,'Raw Pressure Data'!$1:$1,0))=-999,"",INDEX('Raw Pressure Data'!$A:$ZZ,$K$5+ROW()-26+$H$17,MATCH($F$17,'Raw Pressure Data'!$1:$1,0))+$G$17))),"")</f>
        <v/>
      </c>
      <c r="AA196" s="24">
        <f>IFERROR(IF($F$18="","",IF($K$5+ROW()-26&gt;$K$6,"",IF(INDEX('Raw Pressure Data'!$A:$ZZ,$K$5+ROW()-26+$H$18,MATCH($F$18,'Raw Pressure Data'!$1:$1,0))=-999,"",INDEX('Raw Pressure Data'!$A:$ZZ,$K$5+ROW()-26+$H$18,MATCH($F$18,'Raw Pressure Data'!$1:$1,0))+$G$18))),"")</f>
        <v/>
      </c>
      <c r="AB196" s="24">
        <f>IFERROR(IF($F$19="","",IF($K$5+ROW()-26&gt;$K$6,"",IF(INDEX('Raw Pressure Data'!$A:$ZZ,$K$5+ROW()-26+$H$19,MATCH($F$19,'Raw Pressure Data'!$1:$1,0))=-999,"",INDEX('Raw Pressure Data'!$A:$ZZ,$K$5+ROW()-26+$H$19,MATCH($F$19,'Raw Pressure Data'!$1:$1,0))+$G$19))),"")</f>
        <v/>
      </c>
      <c r="AC196" s="24">
        <f>IFERROR(IF($F$20="","",IF($K$5+ROW()-26&gt;$K$6,"",IF(INDEX('Raw Pressure Data'!$A:$ZZ,$K$5+ROW()-26+$H$20,MATCH($F$20,'Raw Pressure Data'!$1:$1,0))=-999,"",INDEX('Raw Pressure Data'!$A:$ZZ,$K$5+ROW()-26+$H$20,MATCH($F$20,'Raw Pressure Data'!$1:$1,0))+$G$20))),"")</f>
        <v/>
      </c>
      <c r="AD196" s="24">
        <f>IFERROR(IF($F$21="","",IF($K$5+ROW()-26&gt;$K$6,"",IF(INDEX('Raw Pressure Data'!$A:$ZZ,$K$5+ROW()-26+$H$21,MATCH($F$21,'Raw Pressure Data'!$1:$1,0))=-999,"",INDEX('Raw Pressure Data'!$A:$ZZ,$K$5+ROW()-26+$H$21,MATCH($F$21,'Raw Pressure Data'!$1:$1,0))+$G$21))),"")</f>
        <v/>
      </c>
      <c r="AE196" s="24">
        <f>IFERROR(IF($F$22="","",IF($K$5+ROW()-26&gt;$K$6,"",IF(INDEX('Raw Pressure Data'!$A:$ZZ,$K$5+ROW()-26+$H$22,MATCH($F$22,'Raw Pressure Data'!$1:$1,0))=-999,"",INDEX('Raw Pressure Data'!$A:$ZZ,$K$5+ROW()-26+$H$22,MATCH($F$22,'Raw Pressure Data'!$1:$1,0))+$G$22))),"")</f>
        <v/>
      </c>
    </row>
    <row r="197" ht="15" customHeight="1">
      <c r="A197" s="25">
        <f>IFERROR(IF($K$5+ROW()-26&gt;$K$6,"",IF(INDEX('Raw Flow Data'!$A:$A,$K$5+ROW()-26)="","",INDEX('Raw Flow Data'!$A:$A,$K$5+ROW()-26))),"")</f>
        <v/>
      </c>
      <c r="B197" s="26">
        <f>IFERROR(IF($B$3="","",IF($K$5+ROW()-26&gt;$K$6,"",IF(INDEX('Raw Flow Data'!$A:$ZZ,$K$5+ROW()-26+$D$3,MATCH($B$3,'Raw Flow Data'!$1:$1,0))=-999,"",INDEX('Raw Flow Data'!$A:$ZZ,$K$5+ROW()-26+$D$3,MATCH($B$3,'Raw Flow Data'!$1:$1,0))*$C$3))),"")</f>
        <v/>
      </c>
      <c r="C197" s="26">
        <f>IFERROR(IF($B$4="","",IF($K$5+ROW()-26&gt;$K$6,"",IF(INDEX('Raw Flow Data'!$A:$ZZ,$K$5+ROW()-26+$D$4,MATCH($B$4,'Raw Flow Data'!$1:$1,0))=-999,"",INDEX('Raw Flow Data'!$A:$ZZ,$K$5+ROW()-26+$D$4,MATCH($B$4,'Raw Flow Data'!$1:$1,0))*$C$4))),"")</f>
        <v/>
      </c>
      <c r="D197" s="26">
        <f>IFERROR(IF($B$5="","",IF($K$5+ROW()-26&gt;$K$6,"",IF(INDEX('Raw Flow Data'!$A:$ZZ,$K$5+ROW()-26+$D$5,MATCH($B$5,'Raw Flow Data'!$1:$1,0))=-999,"",INDEX('Raw Flow Data'!$A:$ZZ,$K$5+ROW()-26+$D$5,MATCH($B$5,'Raw Flow Data'!$1:$1,0))*$C$5))),"")</f>
        <v/>
      </c>
      <c r="E197" s="26">
        <f>IFERROR(IF($B$6="","",IF($K$5+ROW()-26&gt;$K$6,"",IF(INDEX('Raw Flow Data'!$A:$ZZ,$K$5+ROW()-26+$D$6,MATCH($B$6,'Raw Flow Data'!$1:$1,0))=-999,"",INDEX('Raw Flow Data'!$A:$ZZ,$K$5+ROW()-26+$D$6,MATCH($B$6,'Raw Flow Data'!$1:$1,0))*$C$6))),"")</f>
        <v/>
      </c>
      <c r="F197" s="26">
        <f>IFERROR(IF($B$7="","",IF($K$5+ROW()-26&gt;$K$6,"",IF(INDEX('Raw Flow Data'!$A:$ZZ,$K$5+ROW()-26+$D$7,MATCH($B$7,'Raw Flow Data'!$1:$1,0))=-999,"",INDEX('Raw Flow Data'!$A:$ZZ,$K$5+ROW()-26+$D$7,MATCH($B$7,'Raw Flow Data'!$1:$1,0))*$C$7))),"")</f>
        <v/>
      </c>
      <c r="G197" s="26">
        <f>IFERROR(IF($B$8="","",IF($K$5+ROW()-26&gt;$K$6,"",IF(INDEX('Raw Flow Data'!$A:$ZZ,$K$5+ROW()-26+$D$8,MATCH($B$8,'Raw Flow Data'!$1:$1,0))=-999,"",INDEX('Raw Flow Data'!$A:$ZZ,$K$5+ROW()-26+$D$8,MATCH($B$8,'Raw Flow Data'!$1:$1,0))*$C$8))),"")</f>
        <v/>
      </c>
      <c r="H197" s="26">
        <f>IFERROR(IF($B$9="","",IF($K$5+ROW()-26&gt;$K$6,"",IF(INDEX('Raw Flow Data'!$A:$ZZ,$K$5+ROW()-26+$D$9,MATCH($B$9,'Raw Flow Data'!$1:$1,0))=-999,"",INDEX('Raw Flow Data'!$A:$ZZ,$K$5+ROW()-26+$D$9,MATCH($B$9,'Raw Flow Data'!$1:$1,0))*$C$9))),"")</f>
        <v/>
      </c>
      <c r="I197" s="26">
        <f>IFERROR(IF($B$10="","",IF($K$5+ROW()-26&gt;$K$6,"",IF(INDEX('Raw Flow Data'!$A:$ZZ,$K$5+ROW()-26+$D$10,MATCH($B$10,'Raw Flow Data'!$1:$1,0))=-999,"",INDEX('Raw Flow Data'!$A:$ZZ,$K$5+ROW()-26+$D$10,MATCH($B$10,'Raw Flow Data'!$1:$1,0))*$C$10))),"")</f>
        <v/>
      </c>
      <c r="J197" s="26">
        <f>IFERROR(IF($B$11="","",IF($K$5+ROW()-26&gt;$K$6,"",IF(INDEX('Raw Flow Data'!$A:$ZZ,$K$5+ROW()-26+$D$11,MATCH($B$11,'Raw Flow Data'!$1:$1,0))=-999,"",INDEX('Raw Flow Data'!$A:$ZZ,$K$5+ROW()-26+$D$11,MATCH($B$11,'Raw Flow Data'!$1:$1,0))*$C$11))),"")</f>
        <v/>
      </c>
      <c r="K197" s="26">
        <f>IFERROR(IF($B$12="","",IF($K$5+ROW()-26&gt;$K$6,"",IF(INDEX('Raw Flow Data'!$A:$ZZ,$K$5+ROW()-26+$D$12,MATCH($B$12,'Raw Flow Data'!$1:$1,0))=-999,"",INDEX('Raw Flow Data'!$A:$ZZ,$K$5+ROW()-26+$D$12,MATCH($B$12,'Raw Flow Data'!$1:$1,0))*$C$12))),"")</f>
        <v/>
      </c>
      <c r="L197" s="26">
        <f>IFERROR(IF($F$3="","",IF($K$5+ROW()-26&gt;$K$6,"",IF(INDEX('Raw Pressure Data'!$A:$ZZ,$K$5+ROW()-26+$H$3,MATCH($F$3,'Raw Pressure Data'!$1:$1,0))=-999,"",INDEX('Raw Pressure Data'!$A:$ZZ,$K$5+ROW()-26+$H$3,MATCH($F$3,'Raw Pressure Data'!$1:$1,0))+$G$3))),"")</f>
        <v/>
      </c>
      <c r="M197" s="26">
        <f>IFERROR(IF($F$4="","",IF($K$5+ROW()-26&gt;$K$6,"",IF(INDEX('Raw Pressure Data'!$A:$ZZ,$K$5+ROW()-26+$H$4,MATCH($F$4,'Raw Pressure Data'!$1:$1,0))=-999,"",INDEX('Raw Pressure Data'!$A:$ZZ,$K$5+ROW()-26+$H$4,MATCH($F$4,'Raw Pressure Data'!$1:$1,0))+$G$4))),"")</f>
        <v/>
      </c>
      <c r="N197" s="26">
        <f>IFERROR(IF($F$5="","",IF($K$5+ROW()-26&gt;$K$6,"",IF(INDEX('Raw Pressure Data'!$A:$ZZ,$K$5+ROW()-26+$H$5,MATCH($F$5,'Raw Pressure Data'!$1:$1,0))=-999,"",INDEX('Raw Pressure Data'!$A:$ZZ,$K$5+ROW()-26+$H$5,MATCH($F$5,'Raw Pressure Data'!$1:$1,0))+$G$5))),"")</f>
        <v/>
      </c>
      <c r="O197" s="26">
        <f>IFERROR(IF($F$6="","",IF($K$5+ROW()-26&gt;$K$6,"",IF(INDEX('Raw Pressure Data'!$A:$ZZ,$K$5+ROW()-26+$H$6,MATCH($F$6,'Raw Pressure Data'!$1:$1,0))=-999,"",INDEX('Raw Pressure Data'!$A:$ZZ,$K$5+ROW()-26+$H$6,MATCH($F$6,'Raw Pressure Data'!$1:$1,0))+$G$6))),"")</f>
        <v/>
      </c>
      <c r="P197" s="26">
        <f>IFERROR(IF($F$7="","",IF($K$5+ROW()-26&gt;$K$6,"",IF(INDEX('Raw Pressure Data'!$A:$ZZ,$K$5+ROW()-26+$H$7,MATCH($F$7,'Raw Pressure Data'!$1:$1,0))=-999,"",INDEX('Raw Pressure Data'!$A:$ZZ,$K$5+ROW()-26+$H$7,MATCH($F$7,'Raw Pressure Data'!$1:$1,0))+$G$7))),"")</f>
        <v/>
      </c>
      <c r="Q197" s="26">
        <f>IFERROR(IF($F$8="","",IF($K$5+ROW()-26&gt;$K$6,"",IF(INDEX('Raw Pressure Data'!$A:$ZZ,$K$5+ROW()-26+$H$8,MATCH($F$8,'Raw Pressure Data'!$1:$1,0))=-999,"",INDEX('Raw Pressure Data'!$A:$ZZ,$K$5+ROW()-26+$H$8,MATCH($F$8,'Raw Pressure Data'!$1:$1,0))+$G$8))),"")</f>
        <v/>
      </c>
      <c r="R197" s="26">
        <f>IFERROR(IF($F$9="","",IF($K$5+ROW()-26&gt;$K$6,"",IF(INDEX('Raw Pressure Data'!$A:$ZZ,$K$5+ROW()-26+$H$9,MATCH($F$9,'Raw Pressure Data'!$1:$1,0))=-999,"",INDEX('Raw Pressure Data'!$A:$ZZ,$K$5+ROW()-26+$H$9,MATCH($F$9,'Raw Pressure Data'!$1:$1,0))+$G$9))),"")</f>
        <v/>
      </c>
      <c r="S197" s="26">
        <f>IFERROR(IF($F$10="","",IF($K$5+ROW()-26&gt;$K$6,"",IF(INDEX('Raw Pressure Data'!$A:$ZZ,$K$5+ROW()-26+$H$10,MATCH($F$10,'Raw Pressure Data'!$1:$1,0))=-999,"",INDEX('Raw Pressure Data'!$A:$ZZ,$K$5+ROW()-26+$H$10,MATCH($F$10,'Raw Pressure Data'!$1:$1,0))+$G$10))),"")</f>
        <v/>
      </c>
      <c r="T197" s="26">
        <f>IFERROR(IF($F$11="","",IF($K$5+ROW()-26&gt;$K$6,"",IF(INDEX('Raw Pressure Data'!$A:$ZZ,$K$5+ROW()-26+$H$11,MATCH($F$11,'Raw Pressure Data'!$1:$1,0))=-999,"",INDEX('Raw Pressure Data'!$A:$ZZ,$K$5+ROW()-26+$H$11,MATCH($F$11,'Raw Pressure Data'!$1:$1,0))+$G$11))),"")</f>
        <v/>
      </c>
      <c r="U197" s="26">
        <f>IFERROR(IF($F$12="","",IF($K$5+ROW()-26&gt;$K$6,"",IF(INDEX('Raw Pressure Data'!$A:$ZZ,$K$5+ROW()-26+$H$12,MATCH($F$12,'Raw Pressure Data'!$1:$1,0))=-999,"",INDEX('Raw Pressure Data'!$A:$ZZ,$K$5+ROW()-26+$H$12,MATCH($F$12,'Raw Pressure Data'!$1:$1,0))+$G$12))),"")</f>
        <v/>
      </c>
      <c r="V197" s="26">
        <f>IFERROR(IF($F$13="","",IF($K$5+ROW()-26&gt;$K$6,"",IF(INDEX('Raw Pressure Data'!$A:$ZZ,$K$5+ROW()-26+$H$13,MATCH($F$13,'Raw Pressure Data'!$1:$1,0))=-999,"",INDEX('Raw Pressure Data'!$A:$ZZ,$K$5+ROW()-26+$H$13,MATCH($F$13,'Raw Pressure Data'!$1:$1,0))+$G$13))),"")</f>
        <v/>
      </c>
      <c r="W197" s="26">
        <f>IFERROR(IF($F$14="","",IF($K$5+ROW()-26&gt;$K$6,"",IF(INDEX('Raw Pressure Data'!$A:$ZZ,$K$5+ROW()-26+$H$14,MATCH($F$14,'Raw Pressure Data'!$1:$1,0))=-999,"",INDEX('Raw Pressure Data'!$A:$ZZ,$K$5+ROW()-26+$H$14,MATCH($F$14,'Raw Pressure Data'!$1:$1,0))+$G$14))),"")</f>
        <v/>
      </c>
      <c r="X197" s="26">
        <f>IFERROR(IF($F$15="","",IF($K$5+ROW()-26&gt;$K$6,"",IF(INDEX('Raw Pressure Data'!$A:$ZZ,$K$5+ROW()-26+$H$15,MATCH($F$15,'Raw Pressure Data'!$1:$1,0))=-999,"",INDEX('Raw Pressure Data'!$A:$ZZ,$K$5+ROW()-26+$H$15,MATCH($F$15,'Raw Pressure Data'!$1:$1,0))+$G$15))),"")</f>
        <v/>
      </c>
      <c r="Y197" s="26">
        <f>IFERROR(IF($F$16="","",IF($K$5+ROW()-26&gt;$K$6,"",IF(INDEX('Raw Pressure Data'!$A:$ZZ,$K$5+ROW()-26+$H$16,MATCH($F$16,'Raw Pressure Data'!$1:$1,0))=-999,"",INDEX('Raw Pressure Data'!$A:$ZZ,$K$5+ROW()-26+$H$16,MATCH($F$16,'Raw Pressure Data'!$1:$1,0))+$G$16))),"")</f>
        <v/>
      </c>
      <c r="Z197" s="26">
        <f>IFERROR(IF($F$17="","",IF($K$5+ROW()-26&gt;$K$6,"",IF(INDEX('Raw Pressure Data'!$A:$ZZ,$K$5+ROW()-26+$H$17,MATCH($F$17,'Raw Pressure Data'!$1:$1,0))=-999,"",INDEX('Raw Pressure Data'!$A:$ZZ,$K$5+ROW()-26+$H$17,MATCH($F$17,'Raw Pressure Data'!$1:$1,0))+$G$17))),"")</f>
        <v/>
      </c>
      <c r="AA197" s="26">
        <f>IFERROR(IF($F$18="","",IF($K$5+ROW()-26&gt;$K$6,"",IF(INDEX('Raw Pressure Data'!$A:$ZZ,$K$5+ROW()-26+$H$18,MATCH($F$18,'Raw Pressure Data'!$1:$1,0))=-999,"",INDEX('Raw Pressure Data'!$A:$ZZ,$K$5+ROW()-26+$H$18,MATCH($F$18,'Raw Pressure Data'!$1:$1,0))+$G$18))),"")</f>
        <v/>
      </c>
      <c r="AB197" s="26">
        <f>IFERROR(IF($F$19="","",IF($K$5+ROW()-26&gt;$K$6,"",IF(INDEX('Raw Pressure Data'!$A:$ZZ,$K$5+ROW()-26+$H$19,MATCH($F$19,'Raw Pressure Data'!$1:$1,0))=-999,"",INDEX('Raw Pressure Data'!$A:$ZZ,$K$5+ROW()-26+$H$19,MATCH($F$19,'Raw Pressure Data'!$1:$1,0))+$G$19))),"")</f>
        <v/>
      </c>
      <c r="AC197" s="26">
        <f>IFERROR(IF($F$20="","",IF($K$5+ROW()-26&gt;$K$6,"",IF(INDEX('Raw Pressure Data'!$A:$ZZ,$K$5+ROW()-26+$H$20,MATCH($F$20,'Raw Pressure Data'!$1:$1,0))=-999,"",INDEX('Raw Pressure Data'!$A:$ZZ,$K$5+ROW()-26+$H$20,MATCH($F$20,'Raw Pressure Data'!$1:$1,0))+$G$20))),"")</f>
        <v/>
      </c>
      <c r="AD197" s="26">
        <f>IFERROR(IF($F$21="","",IF($K$5+ROW()-26&gt;$K$6,"",IF(INDEX('Raw Pressure Data'!$A:$ZZ,$K$5+ROW()-26+$H$21,MATCH($F$21,'Raw Pressure Data'!$1:$1,0))=-999,"",INDEX('Raw Pressure Data'!$A:$ZZ,$K$5+ROW()-26+$H$21,MATCH($F$21,'Raw Pressure Data'!$1:$1,0))+$G$21))),"")</f>
        <v/>
      </c>
      <c r="AE197" s="26">
        <f>IFERROR(IF($F$22="","",IF($K$5+ROW()-26&gt;$K$6,"",IF(INDEX('Raw Pressure Data'!$A:$ZZ,$K$5+ROW()-26+$H$22,MATCH($F$22,'Raw Pressure Data'!$1:$1,0))=-999,"",INDEX('Raw Pressure Data'!$A:$ZZ,$K$5+ROW()-26+$H$22,MATCH($F$22,'Raw Pressure Data'!$1:$1,0))+$G$22))),"")</f>
        <v/>
      </c>
    </row>
    <row r="198" ht="15" customHeight="1">
      <c r="A198" s="23">
        <f>IFERROR(IF($K$5+ROW()-26&gt;$K$6,"",IF(INDEX('Raw Flow Data'!$A:$A,$K$5+ROW()-26)="","",INDEX('Raw Flow Data'!$A:$A,$K$5+ROW()-26))),"")</f>
        <v/>
      </c>
      <c r="B198" s="24">
        <f>IFERROR(IF($B$3="","",IF($K$5+ROW()-26&gt;$K$6,"",IF(INDEX('Raw Flow Data'!$A:$ZZ,$K$5+ROW()-26+$D$3,MATCH($B$3,'Raw Flow Data'!$1:$1,0))=-999,"",INDEX('Raw Flow Data'!$A:$ZZ,$K$5+ROW()-26+$D$3,MATCH($B$3,'Raw Flow Data'!$1:$1,0))*$C$3))),"")</f>
        <v/>
      </c>
      <c r="C198" s="24">
        <f>IFERROR(IF($B$4="","",IF($K$5+ROW()-26&gt;$K$6,"",IF(INDEX('Raw Flow Data'!$A:$ZZ,$K$5+ROW()-26+$D$4,MATCH($B$4,'Raw Flow Data'!$1:$1,0))=-999,"",INDEX('Raw Flow Data'!$A:$ZZ,$K$5+ROW()-26+$D$4,MATCH($B$4,'Raw Flow Data'!$1:$1,0))*$C$4))),"")</f>
        <v/>
      </c>
      <c r="D198" s="24">
        <f>IFERROR(IF($B$5="","",IF($K$5+ROW()-26&gt;$K$6,"",IF(INDEX('Raw Flow Data'!$A:$ZZ,$K$5+ROW()-26+$D$5,MATCH($B$5,'Raw Flow Data'!$1:$1,0))=-999,"",INDEX('Raw Flow Data'!$A:$ZZ,$K$5+ROW()-26+$D$5,MATCH($B$5,'Raw Flow Data'!$1:$1,0))*$C$5))),"")</f>
        <v/>
      </c>
      <c r="E198" s="24">
        <f>IFERROR(IF($B$6="","",IF($K$5+ROW()-26&gt;$K$6,"",IF(INDEX('Raw Flow Data'!$A:$ZZ,$K$5+ROW()-26+$D$6,MATCH($B$6,'Raw Flow Data'!$1:$1,0))=-999,"",INDEX('Raw Flow Data'!$A:$ZZ,$K$5+ROW()-26+$D$6,MATCH($B$6,'Raw Flow Data'!$1:$1,0))*$C$6))),"")</f>
        <v/>
      </c>
      <c r="F198" s="24">
        <f>IFERROR(IF($B$7="","",IF($K$5+ROW()-26&gt;$K$6,"",IF(INDEX('Raw Flow Data'!$A:$ZZ,$K$5+ROW()-26+$D$7,MATCH($B$7,'Raw Flow Data'!$1:$1,0))=-999,"",INDEX('Raw Flow Data'!$A:$ZZ,$K$5+ROW()-26+$D$7,MATCH($B$7,'Raw Flow Data'!$1:$1,0))*$C$7))),"")</f>
        <v/>
      </c>
      <c r="G198" s="24">
        <f>IFERROR(IF($B$8="","",IF($K$5+ROW()-26&gt;$K$6,"",IF(INDEX('Raw Flow Data'!$A:$ZZ,$K$5+ROW()-26+$D$8,MATCH($B$8,'Raw Flow Data'!$1:$1,0))=-999,"",INDEX('Raw Flow Data'!$A:$ZZ,$K$5+ROW()-26+$D$8,MATCH($B$8,'Raw Flow Data'!$1:$1,0))*$C$8))),"")</f>
        <v/>
      </c>
      <c r="H198" s="24">
        <f>IFERROR(IF($B$9="","",IF($K$5+ROW()-26&gt;$K$6,"",IF(INDEX('Raw Flow Data'!$A:$ZZ,$K$5+ROW()-26+$D$9,MATCH($B$9,'Raw Flow Data'!$1:$1,0))=-999,"",INDEX('Raw Flow Data'!$A:$ZZ,$K$5+ROW()-26+$D$9,MATCH($B$9,'Raw Flow Data'!$1:$1,0))*$C$9))),"")</f>
        <v/>
      </c>
      <c r="I198" s="24">
        <f>IFERROR(IF($B$10="","",IF($K$5+ROW()-26&gt;$K$6,"",IF(INDEX('Raw Flow Data'!$A:$ZZ,$K$5+ROW()-26+$D$10,MATCH($B$10,'Raw Flow Data'!$1:$1,0))=-999,"",INDEX('Raw Flow Data'!$A:$ZZ,$K$5+ROW()-26+$D$10,MATCH($B$10,'Raw Flow Data'!$1:$1,0))*$C$10))),"")</f>
        <v/>
      </c>
      <c r="J198" s="24">
        <f>IFERROR(IF($B$11="","",IF($K$5+ROW()-26&gt;$K$6,"",IF(INDEX('Raw Flow Data'!$A:$ZZ,$K$5+ROW()-26+$D$11,MATCH($B$11,'Raw Flow Data'!$1:$1,0))=-999,"",INDEX('Raw Flow Data'!$A:$ZZ,$K$5+ROW()-26+$D$11,MATCH($B$11,'Raw Flow Data'!$1:$1,0))*$C$11))),"")</f>
        <v/>
      </c>
      <c r="K198" s="24">
        <f>IFERROR(IF($B$12="","",IF($K$5+ROW()-26&gt;$K$6,"",IF(INDEX('Raw Flow Data'!$A:$ZZ,$K$5+ROW()-26+$D$12,MATCH($B$12,'Raw Flow Data'!$1:$1,0))=-999,"",INDEX('Raw Flow Data'!$A:$ZZ,$K$5+ROW()-26+$D$12,MATCH($B$12,'Raw Flow Data'!$1:$1,0))*$C$12))),"")</f>
        <v/>
      </c>
      <c r="L198" s="24">
        <f>IFERROR(IF($F$3="","",IF($K$5+ROW()-26&gt;$K$6,"",IF(INDEX('Raw Pressure Data'!$A:$ZZ,$K$5+ROW()-26+$H$3,MATCH($F$3,'Raw Pressure Data'!$1:$1,0))=-999,"",INDEX('Raw Pressure Data'!$A:$ZZ,$K$5+ROW()-26+$H$3,MATCH($F$3,'Raw Pressure Data'!$1:$1,0))+$G$3))),"")</f>
        <v/>
      </c>
      <c r="M198" s="24">
        <f>IFERROR(IF($F$4="","",IF($K$5+ROW()-26&gt;$K$6,"",IF(INDEX('Raw Pressure Data'!$A:$ZZ,$K$5+ROW()-26+$H$4,MATCH($F$4,'Raw Pressure Data'!$1:$1,0))=-999,"",INDEX('Raw Pressure Data'!$A:$ZZ,$K$5+ROW()-26+$H$4,MATCH($F$4,'Raw Pressure Data'!$1:$1,0))+$G$4))),"")</f>
        <v/>
      </c>
      <c r="N198" s="24">
        <f>IFERROR(IF($F$5="","",IF($K$5+ROW()-26&gt;$K$6,"",IF(INDEX('Raw Pressure Data'!$A:$ZZ,$K$5+ROW()-26+$H$5,MATCH($F$5,'Raw Pressure Data'!$1:$1,0))=-999,"",INDEX('Raw Pressure Data'!$A:$ZZ,$K$5+ROW()-26+$H$5,MATCH($F$5,'Raw Pressure Data'!$1:$1,0))+$G$5))),"")</f>
        <v/>
      </c>
      <c r="O198" s="24">
        <f>IFERROR(IF($F$6="","",IF($K$5+ROW()-26&gt;$K$6,"",IF(INDEX('Raw Pressure Data'!$A:$ZZ,$K$5+ROW()-26+$H$6,MATCH($F$6,'Raw Pressure Data'!$1:$1,0))=-999,"",INDEX('Raw Pressure Data'!$A:$ZZ,$K$5+ROW()-26+$H$6,MATCH($F$6,'Raw Pressure Data'!$1:$1,0))+$G$6))),"")</f>
        <v/>
      </c>
      <c r="P198" s="24">
        <f>IFERROR(IF($F$7="","",IF($K$5+ROW()-26&gt;$K$6,"",IF(INDEX('Raw Pressure Data'!$A:$ZZ,$K$5+ROW()-26+$H$7,MATCH($F$7,'Raw Pressure Data'!$1:$1,0))=-999,"",INDEX('Raw Pressure Data'!$A:$ZZ,$K$5+ROW()-26+$H$7,MATCH($F$7,'Raw Pressure Data'!$1:$1,0))+$G$7))),"")</f>
        <v/>
      </c>
      <c r="Q198" s="24">
        <f>IFERROR(IF($F$8="","",IF($K$5+ROW()-26&gt;$K$6,"",IF(INDEX('Raw Pressure Data'!$A:$ZZ,$K$5+ROW()-26+$H$8,MATCH($F$8,'Raw Pressure Data'!$1:$1,0))=-999,"",INDEX('Raw Pressure Data'!$A:$ZZ,$K$5+ROW()-26+$H$8,MATCH($F$8,'Raw Pressure Data'!$1:$1,0))+$G$8))),"")</f>
        <v/>
      </c>
      <c r="R198" s="24">
        <f>IFERROR(IF($F$9="","",IF($K$5+ROW()-26&gt;$K$6,"",IF(INDEX('Raw Pressure Data'!$A:$ZZ,$K$5+ROW()-26+$H$9,MATCH($F$9,'Raw Pressure Data'!$1:$1,0))=-999,"",INDEX('Raw Pressure Data'!$A:$ZZ,$K$5+ROW()-26+$H$9,MATCH($F$9,'Raw Pressure Data'!$1:$1,0))+$G$9))),"")</f>
        <v/>
      </c>
      <c r="S198" s="24">
        <f>IFERROR(IF($F$10="","",IF($K$5+ROW()-26&gt;$K$6,"",IF(INDEX('Raw Pressure Data'!$A:$ZZ,$K$5+ROW()-26+$H$10,MATCH($F$10,'Raw Pressure Data'!$1:$1,0))=-999,"",INDEX('Raw Pressure Data'!$A:$ZZ,$K$5+ROW()-26+$H$10,MATCH($F$10,'Raw Pressure Data'!$1:$1,0))+$G$10))),"")</f>
        <v/>
      </c>
      <c r="T198" s="24">
        <f>IFERROR(IF($F$11="","",IF($K$5+ROW()-26&gt;$K$6,"",IF(INDEX('Raw Pressure Data'!$A:$ZZ,$K$5+ROW()-26+$H$11,MATCH($F$11,'Raw Pressure Data'!$1:$1,0))=-999,"",INDEX('Raw Pressure Data'!$A:$ZZ,$K$5+ROW()-26+$H$11,MATCH($F$11,'Raw Pressure Data'!$1:$1,0))+$G$11))),"")</f>
        <v/>
      </c>
      <c r="U198" s="24">
        <f>IFERROR(IF($F$12="","",IF($K$5+ROW()-26&gt;$K$6,"",IF(INDEX('Raw Pressure Data'!$A:$ZZ,$K$5+ROW()-26+$H$12,MATCH($F$12,'Raw Pressure Data'!$1:$1,0))=-999,"",INDEX('Raw Pressure Data'!$A:$ZZ,$K$5+ROW()-26+$H$12,MATCH($F$12,'Raw Pressure Data'!$1:$1,0))+$G$12))),"")</f>
        <v/>
      </c>
      <c r="V198" s="24">
        <f>IFERROR(IF($F$13="","",IF($K$5+ROW()-26&gt;$K$6,"",IF(INDEX('Raw Pressure Data'!$A:$ZZ,$K$5+ROW()-26+$H$13,MATCH($F$13,'Raw Pressure Data'!$1:$1,0))=-999,"",INDEX('Raw Pressure Data'!$A:$ZZ,$K$5+ROW()-26+$H$13,MATCH($F$13,'Raw Pressure Data'!$1:$1,0))+$G$13))),"")</f>
        <v/>
      </c>
      <c r="W198" s="24">
        <f>IFERROR(IF($F$14="","",IF($K$5+ROW()-26&gt;$K$6,"",IF(INDEX('Raw Pressure Data'!$A:$ZZ,$K$5+ROW()-26+$H$14,MATCH($F$14,'Raw Pressure Data'!$1:$1,0))=-999,"",INDEX('Raw Pressure Data'!$A:$ZZ,$K$5+ROW()-26+$H$14,MATCH($F$14,'Raw Pressure Data'!$1:$1,0))+$G$14))),"")</f>
        <v/>
      </c>
      <c r="X198" s="24">
        <f>IFERROR(IF($F$15="","",IF($K$5+ROW()-26&gt;$K$6,"",IF(INDEX('Raw Pressure Data'!$A:$ZZ,$K$5+ROW()-26+$H$15,MATCH($F$15,'Raw Pressure Data'!$1:$1,0))=-999,"",INDEX('Raw Pressure Data'!$A:$ZZ,$K$5+ROW()-26+$H$15,MATCH($F$15,'Raw Pressure Data'!$1:$1,0))+$G$15))),"")</f>
        <v/>
      </c>
      <c r="Y198" s="24">
        <f>IFERROR(IF($F$16="","",IF($K$5+ROW()-26&gt;$K$6,"",IF(INDEX('Raw Pressure Data'!$A:$ZZ,$K$5+ROW()-26+$H$16,MATCH($F$16,'Raw Pressure Data'!$1:$1,0))=-999,"",INDEX('Raw Pressure Data'!$A:$ZZ,$K$5+ROW()-26+$H$16,MATCH($F$16,'Raw Pressure Data'!$1:$1,0))+$G$16))),"")</f>
        <v/>
      </c>
      <c r="Z198" s="24">
        <f>IFERROR(IF($F$17="","",IF($K$5+ROW()-26&gt;$K$6,"",IF(INDEX('Raw Pressure Data'!$A:$ZZ,$K$5+ROW()-26+$H$17,MATCH($F$17,'Raw Pressure Data'!$1:$1,0))=-999,"",INDEX('Raw Pressure Data'!$A:$ZZ,$K$5+ROW()-26+$H$17,MATCH($F$17,'Raw Pressure Data'!$1:$1,0))+$G$17))),"")</f>
        <v/>
      </c>
      <c r="AA198" s="24">
        <f>IFERROR(IF($F$18="","",IF($K$5+ROW()-26&gt;$K$6,"",IF(INDEX('Raw Pressure Data'!$A:$ZZ,$K$5+ROW()-26+$H$18,MATCH($F$18,'Raw Pressure Data'!$1:$1,0))=-999,"",INDEX('Raw Pressure Data'!$A:$ZZ,$K$5+ROW()-26+$H$18,MATCH($F$18,'Raw Pressure Data'!$1:$1,0))+$G$18))),"")</f>
        <v/>
      </c>
      <c r="AB198" s="24">
        <f>IFERROR(IF($F$19="","",IF($K$5+ROW()-26&gt;$K$6,"",IF(INDEX('Raw Pressure Data'!$A:$ZZ,$K$5+ROW()-26+$H$19,MATCH($F$19,'Raw Pressure Data'!$1:$1,0))=-999,"",INDEX('Raw Pressure Data'!$A:$ZZ,$K$5+ROW()-26+$H$19,MATCH($F$19,'Raw Pressure Data'!$1:$1,0))+$G$19))),"")</f>
        <v/>
      </c>
      <c r="AC198" s="24">
        <f>IFERROR(IF($F$20="","",IF($K$5+ROW()-26&gt;$K$6,"",IF(INDEX('Raw Pressure Data'!$A:$ZZ,$K$5+ROW()-26+$H$20,MATCH($F$20,'Raw Pressure Data'!$1:$1,0))=-999,"",INDEX('Raw Pressure Data'!$A:$ZZ,$K$5+ROW()-26+$H$20,MATCH($F$20,'Raw Pressure Data'!$1:$1,0))+$G$20))),"")</f>
        <v/>
      </c>
      <c r="AD198" s="24">
        <f>IFERROR(IF($F$21="","",IF($K$5+ROW()-26&gt;$K$6,"",IF(INDEX('Raw Pressure Data'!$A:$ZZ,$K$5+ROW()-26+$H$21,MATCH($F$21,'Raw Pressure Data'!$1:$1,0))=-999,"",INDEX('Raw Pressure Data'!$A:$ZZ,$K$5+ROW()-26+$H$21,MATCH($F$21,'Raw Pressure Data'!$1:$1,0))+$G$21))),"")</f>
        <v/>
      </c>
      <c r="AE198" s="24">
        <f>IFERROR(IF($F$22="","",IF($K$5+ROW()-26&gt;$K$6,"",IF(INDEX('Raw Pressure Data'!$A:$ZZ,$K$5+ROW()-26+$H$22,MATCH($F$22,'Raw Pressure Data'!$1:$1,0))=-999,"",INDEX('Raw Pressure Data'!$A:$ZZ,$K$5+ROW()-26+$H$22,MATCH($F$22,'Raw Pressure Data'!$1:$1,0))+$G$22))),"")</f>
        <v/>
      </c>
    </row>
    <row r="199" ht="15" customHeight="1">
      <c r="A199" s="25">
        <f>IFERROR(IF($K$5+ROW()-26&gt;$K$6,"",IF(INDEX('Raw Flow Data'!$A:$A,$K$5+ROW()-26)="","",INDEX('Raw Flow Data'!$A:$A,$K$5+ROW()-26))),"")</f>
        <v/>
      </c>
      <c r="B199" s="26">
        <f>IFERROR(IF($B$3="","",IF($K$5+ROW()-26&gt;$K$6,"",IF(INDEX('Raw Flow Data'!$A:$ZZ,$K$5+ROW()-26+$D$3,MATCH($B$3,'Raw Flow Data'!$1:$1,0))=-999,"",INDEX('Raw Flow Data'!$A:$ZZ,$K$5+ROW()-26+$D$3,MATCH($B$3,'Raw Flow Data'!$1:$1,0))*$C$3))),"")</f>
        <v/>
      </c>
      <c r="C199" s="26">
        <f>IFERROR(IF($B$4="","",IF($K$5+ROW()-26&gt;$K$6,"",IF(INDEX('Raw Flow Data'!$A:$ZZ,$K$5+ROW()-26+$D$4,MATCH($B$4,'Raw Flow Data'!$1:$1,0))=-999,"",INDEX('Raw Flow Data'!$A:$ZZ,$K$5+ROW()-26+$D$4,MATCH($B$4,'Raw Flow Data'!$1:$1,0))*$C$4))),"")</f>
        <v/>
      </c>
      <c r="D199" s="26">
        <f>IFERROR(IF($B$5="","",IF($K$5+ROW()-26&gt;$K$6,"",IF(INDEX('Raw Flow Data'!$A:$ZZ,$K$5+ROW()-26+$D$5,MATCH($B$5,'Raw Flow Data'!$1:$1,0))=-999,"",INDEX('Raw Flow Data'!$A:$ZZ,$K$5+ROW()-26+$D$5,MATCH($B$5,'Raw Flow Data'!$1:$1,0))*$C$5))),"")</f>
        <v/>
      </c>
      <c r="E199" s="26">
        <f>IFERROR(IF($B$6="","",IF($K$5+ROW()-26&gt;$K$6,"",IF(INDEX('Raw Flow Data'!$A:$ZZ,$K$5+ROW()-26+$D$6,MATCH($B$6,'Raw Flow Data'!$1:$1,0))=-999,"",INDEX('Raw Flow Data'!$A:$ZZ,$K$5+ROW()-26+$D$6,MATCH($B$6,'Raw Flow Data'!$1:$1,0))*$C$6))),"")</f>
        <v/>
      </c>
      <c r="F199" s="26">
        <f>IFERROR(IF($B$7="","",IF($K$5+ROW()-26&gt;$K$6,"",IF(INDEX('Raw Flow Data'!$A:$ZZ,$K$5+ROW()-26+$D$7,MATCH($B$7,'Raw Flow Data'!$1:$1,0))=-999,"",INDEX('Raw Flow Data'!$A:$ZZ,$K$5+ROW()-26+$D$7,MATCH($B$7,'Raw Flow Data'!$1:$1,0))*$C$7))),"")</f>
        <v/>
      </c>
      <c r="G199" s="26">
        <f>IFERROR(IF($B$8="","",IF($K$5+ROW()-26&gt;$K$6,"",IF(INDEX('Raw Flow Data'!$A:$ZZ,$K$5+ROW()-26+$D$8,MATCH($B$8,'Raw Flow Data'!$1:$1,0))=-999,"",INDEX('Raw Flow Data'!$A:$ZZ,$K$5+ROW()-26+$D$8,MATCH($B$8,'Raw Flow Data'!$1:$1,0))*$C$8))),"")</f>
        <v/>
      </c>
      <c r="H199" s="26">
        <f>IFERROR(IF($B$9="","",IF($K$5+ROW()-26&gt;$K$6,"",IF(INDEX('Raw Flow Data'!$A:$ZZ,$K$5+ROW()-26+$D$9,MATCH($B$9,'Raw Flow Data'!$1:$1,0))=-999,"",INDEX('Raw Flow Data'!$A:$ZZ,$K$5+ROW()-26+$D$9,MATCH($B$9,'Raw Flow Data'!$1:$1,0))*$C$9))),"")</f>
        <v/>
      </c>
      <c r="I199" s="26">
        <f>IFERROR(IF($B$10="","",IF($K$5+ROW()-26&gt;$K$6,"",IF(INDEX('Raw Flow Data'!$A:$ZZ,$K$5+ROW()-26+$D$10,MATCH($B$10,'Raw Flow Data'!$1:$1,0))=-999,"",INDEX('Raw Flow Data'!$A:$ZZ,$K$5+ROW()-26+$D$10,MATCH($B$10,'Raw Flow Data'!$1:$1,0))*$C$10))),"")</f>
        <v/>
      </c>
      <c r="J199" s="26">
        <f>IFERROR(IF($B$11="","",IF($K$5+ROW()-26&gt;$K$6,"",IF(INDEX('Raw Flow Data'!$A:$ZZ,$K$5+ROW()-26+$D$11,MATCH($B$11,'Raw Flow Data'!$1:$1,0))=-999,"",INDEX('Raw Flow Data'!$A:$ZZ,$K$5+ROW()-26+$D$11,MATCH($B$11,'Raw Flow Data'!$1:$1,0))*$C$11))),"")</f>
        <v/>
      </c>
      <c r="K199" s="26">
        <f>IFERROR(IF($B$12="","",IF($K$5+ROW()-26&gt;$K$6,"",IF(INDEX('Raw Flow Data'!$A:$ZZ,$K$5+ROW()-26+$D$12,MATCH($B$12,'Raw Flow Data'!$1:$1,0))=-999,"",INDEX('Raw Flow Data'!$A:$ZZ,$K$5+ROW()-26+$D$12,MATCH($B$12,'Raw Flow Data'!$1:$1,0))*$C$12))),"")</f>
        <v/>
      </c>
      <c r="L199" s="26">
        <f>IFERROR(IF($F$3="","",IF($K$5+ROW()-26&gt;$K$6,"",IF(INDEX('Raw Pressure Data'!$A:$ZZ,$K$5+ROW()-26+$H$3,MATCH($F$3,'Raw Pressure Data'!$1:$1,0))=-999,"",INDEX('Raw Pressure Data'!$A:$ZZ,$K$5+ROW()-26+$H$3,MATCH($F$3,'Raw Pressure Data'!$1:$1,0))+$G$3))),"")</f>
        <v/>
      </c>
      <c r="M199" s="26">
        <f>IFERROR(IF($F$4="","",IF($K$5+ROW()-26&gt;$K$6,"",IF(INDEX('Raw Pressure Data'!$A:$ZZ,$K$5+ROW()-26+$H$4,MATCH($F$4,'Raw Pressure Data'!$1:$1,0))=-999,"",INDEX('Raw Pressure Data'!$A:$ZZ,$K$5+ROW()-26+$H$4,MATCH($F$4,'Raw Pressure Data'!$1:$1,0))+$G$4))),"")</f>
        <v/>
      </c>
      <c r="N199" s="26">
        <f>IFERROR(IF($F$5="","",IF($K$5+ROW()-26&gt;$K$6,"",IF(INDEX('Raw Pressure Data'!$A:$ZZ,$K$5+ROW()-26+$H$5,MATCH($F$5,'Raw Pressure Data'!$1:$1,0))=-999,"",INDEX('Raw Pressure Data'!$A:$ZZ,$K$5+ROW()-26+$H$5,MATCH($F$5,'Raw Pressure Data'!$1:$1,0))+$G$5))),"")</f>
        <v/>
      </c>
      <c r="O199" s="26">
        <f>IFERROR(IF($F$6="","",IF($K$5+ROW()-26&gt;$K$6,"",IF(INDEX('Raw Pressure Data'!$A:$ZZ,$K$5+ROW()-26+$H$6,MATCH($F$6,'Raw Pressure Data'!$1:$1,0))=-999,"",INDEX('Raw Pressure Data'!$A:$ZZ,$K$5+ROW()-26+$H$6,MATCH($F$6,'Raw Pressure Data'!$1:$1,0))+$G$6))),"")</f>
        <v/>
      </c>
      <c r="P199" s="26">
        <f>IFERROR(IF($F$7="","",IF($K$5+ROW()-26&gt;$K$6,"",IF(INDEX('Raw Pressure Data'!$A:$ZZ,$K$5+ROW()-26+$H$7,MATCH($F$7,'Raw Pressure Data'!$1:$1,0))=-999,"",INDEX('Raw Pressure Data'!$A:$ZZ,$K$5+ROW()-26+$H$7,MATCH($F$7,'Raw Pressure Data'!$1:$1,0))+$G$7))),"")</f>
        <v/>
      </c>
      <c r="Q199" s="26">
        <f>IFERROR(IF($F$8="","",IF($K$5+ROW()-26&gt;$K$6,"",IF(INDEX('Raw Pressure Data'!$A:$ZZ,$K$5+ROW()-26+$H$8,MATCH($F$8,'Raw Pressure Data'!$1:$1,0))=-999,"",INDEX('Raw Pressure Data'!$A:$ZZ,$K$5+ROW()-26+$H$8,MATCH($F$8,'Raw Pressure Data'!$1:$1,0))+$G$8))),"")</f>
        <v/>
      </c>
      <c r="R199" s="26">
        <f>IFERROR(IF($F$9="","",IF($K$5+ROW()-26&gt;$K$6,"",IF(INDEX('Raw Pressure Data'!$A:$ZZ,$K$5+ROW()-26+$H$9,MATCH($F$9,'Raw Pressure Data'!$1:$1,0))=-999,"",INDEX('Raw Pressure Data'!$A:$ZZ,$K$5+ROW()-26+$H$9,MATCH($F$9,'Raw Pressure Data'!$1:$1,0))+$G$9))),"")</f>
        <v/>
      </c>
      <c r="S199" s="26">
        <f>IFERROR(IF($F$10="","",IF($K$5+ROW()-26&gt;$K$6,"",IF(INDEX('Raw Pressure Data'!$A:$ZZ,$K$5+ROW()-26+$H$10,MATCH($F$10,'Raw Pressure Data'!$1:$1,0))=-999,"",INDEX('Raw Pressure Data'!$A:$ZZ,$K$5+ROW()-26+$H$10,MATCH($F$10,'Raw Pressure Data'!$1:$1,0))+$G$10))),"")</f>
        <v/>
      </c>
      <c r="T199" s="26">
        <f>IFERROR(IF($F$11="","",IF($K$5+ROW()-26&gt;$K$6,"",IF(INDEX('Raw Pressure Data'!$A:$ZZ,$K$5+ROW()-26+$H$11,MATCH($F$11,'Raw Pressure Data'!$1:$1,0))=-999,"",INDEX('Raw Pressure Data'!$A:$ZZ,$K$5+ROW()-26+$H$11,MATCH($F$11,'Raw Pressure Data'!$1:$1,0))+$G$11))),"")</f>
        <v/>
      </c>
      <c r="U199" s="26">
        <f>IFERROR(IF($F$12="","",IF($K$5+ROW()-26&gt;$K$6,"",IF(INDEX('Raw Pressure Data'!$A:$ZZ,$K$5+ROW()-26+$H$12,MATCH($F$12,'Raw Pressure Data'!$1:$1,0))=-999,"",INDEX('Raw Pressure Data'!$A:$ZZ,$K$5+ROW()-26+$H$12,MATCH($F$12,'Raw Pressure Data'!$1:$1,0))+$G$12))),"")</f>
        <v/>
      </c>
      <c r="V199" s="26">
        <f>IFERROR(IF($F$13="","",IF($K$5+ROW()-26&gt;$K$6,"",IF(INDEX('Raw Pressure Data'!$A:$ZZ,$K$5+ROW()-26+$H$13,MATCH($F$13,'Raw Pressure Data'!$1:$1,0))=-999,"",INDEX('Raw Pressure Data'!$A:$ZZ,$K$5+ROW()-26+$H$13,MATCH($F$13,'Raw Pressure Data'!$1:$1,0))+$G$13))),"")</f>
        <v/>
      </c>
      <c r="W199" s="26">
        <f>IFERROR(IF($F$14="","",IF($K$5+ROW()-26&gt;$K$6,"",IF(INDEX('Raw Pressure Data'!$A:$ZZ,$K$5+ROW()-26+$H$14,MATCH($F$14,'Raw Pressure Data'!$1:$1,0))=-999,"",INDEX('Raw Pressure Data'!$A:$ZZ,$K$5+ROW()-26+$H$14,MATCH($F$14,'Raw Pressure Data'!$1:$1,0))+$G$14))),"")</f>
        <v/>
      </c>
      <c r="X199" s="26">
        <f>IFERROR(IF($F$15="","",IF($K$5+ROW()-26&gt;$K$6,"",IF(INDEX('Raw Pressure Data'!$A:$ZZ,$K$5+ROW()-26+$H$15,MATCH($F$15,'Raw Pressure Data'!$1:$1,0))=-999,"",INDEX('Raw Pressure Data'!$A:$ZZ,$K$5+ROW()-26+$H$15,MATCH($F$15,'Raw Pressure Data'!$1:$1,0))+$G$15))),"")</f>
        <v/>
      </c>
      <c r="Y199" s="26">
        <f>IFERROR(IF($F$16="","",IF($K$5+ROW()-26&gt;$K$6,"",IF(INDEX('Raw Pressure Data'!$A:$ZZ,$K$5+ROW()-26+$H$16,MATCH($F$16,'Raw Pressure Data'!$1:$1,0))=-999,"",INDEX('Raw Pressure Data'!$A:$ZZ,$K$5+ROW()-26+$H$16,MATCH($F$16,'Raw Pressure Data'!$1:$1,0))+$G$16))),"")</f>
        <v/>
      </c>
      <c r="Z199" s="26">
        <f>IFERROR(IF($F$17="","",IF($K$5+ROW()-26&gt;$K$6,"",IF(INDEX('Raw Pressure Data'!$A:$ZZ,$K$5+ROW()-26+$H$17,MATCH($F$17,'Raw Pressure Data'!$1:$1,0))=-999,"",INDEX('Raw Pressure Data'!$A:$ZZ,$K$5+ROW()-26+$H$17,MATCH($F$17,'Raw Pressure Data'!$1:$1,0))+$G$17))),"")</f>
        <v/>
      </c>
      <c r="AA199" s="26">
        <f>IFERROR(IF($F$18="","",IF($K$5+ROW()-26&gt;$K$6,"",IF(INDEX('Raw Pressure Data'!$A:$ZZ,$K$5+ROW()-26+$H$18,MATCH($F$18,'Raw Pressure Data'!$1:$1,0))=-999,"",INDEX('Raw Pressure Data'!$A:$ZZ,$K$5+ROW()-26+$H$18,MATCH($F$18,'Raw Pressure Data'!$1:$1,0))+$G$18))),"")</f>
        <v/>
      </c>
      <c r="AB199" s="26">
        <f>IFERROR(IF($F$19="","",IF($K$5+ROW()-26&gt;$K$6,"",IF(INDEX('Raw Pressure Data'!$A:$ZZ,$K$5+ROW()-26+$H$19,MATCH($F$19,'Raw Pressure Data'!$1:$1,0))=-999,"",INDEX('Raw Pressure Data'!$A:$ZZ,$K$5+ROW()-26+$H$19,MATCH($F$19,'Raw Pressure Data'!$1:$1,0))+$G$19))),"")</f>
        <v/>
      </c>
      <c r="AC199" s="26">
        <f>IFERROR(IF($F$20="","",IF($K$5+ROW()-26&gt;$K$6,"",IF(INDEX('Raw Pressure Data'!$A:$ZZ,$K$5+ROW()-26+$H$20,MATCH($F$20,'Raw Pressure Data'!$1:$1,0))=-999,"",INDEX('Raw Pressure Data'!$A:$ZZ,$K$5+ROW()-26+$H$20,MATCH($F$20,'Raw Pressure Data'!$1:$1,0))+$G$20))),"")</f>
        <v/>
      </c>
      <c r="AD199" s="26">
        <f>IFERROR(IF($F$21="","",IF($K$5+ROW()-26&gt;$K$6,"",IF(INDEX('Raw Pressure Data'!$A:$ZZ,$K$5+ROW()-26+$H$21,MATCH($F$21,'Raw Pressure Data'!$1:$1,0))=-999,"",INDEX('Raw Pressure Data'!$A:$ZZ,$K$5+ROW()-26+$H$21,MATCH($F$21,'Raw Pressure Data'!$1:$1,0))+$G$21))),"")</f>
        <v/>
      </c>
      <c r="AE199" s="26">
        <f>IFERROR(IF($F$22="","",IF($K$5+ROW()-26&gt;$K$6,"",IF(INDEX('Raw Pressure Data'!$A:$ZZ,$K$5+ROW()-26+$H$22,MATCH($F$22,'Raw Pressure Data'!$1:$1,0))=-999,"",INDEX('Raw Pressure Data'!$A:$ZZ,$K$5+ROW()-26+$H$22,MATCH($F$22,'Raw Pressure Data'!$1:$1,0))+$G$22))),"")</f>
        <v/>
      </c>
    </row>
    <row r="200" ht="15" customHeight="1">
      <c r="A200" s="23">
        <f>IFERROR(IF($K$5+ROW()-26&gt;$K$6,"",IF(INDEX('Raw Flow Data'!$A:$A,$K$5+ROW()-26)="","",INDEX('Raw Flow Data'!$A:$A,$K$5+ROW()-26))),"")</f>
        <v/>
      </c>
      <c r="B200" s="24">
        <f>IFERROR(IF($B$3="","",IF($K$5+ROW()-26&gt;$K$6,"",IF(INDEX('Raw Flow Data'!$A:$ZZ,$K$5+ROW()-26+$D$3,MATCH($B$3,'Raw Flow Data'!$1:$1,0))=-999,"",INDEX('Raw Flow Data'!$A:$ZZ,$K$5+ROW()-26+$D$3,MATCH($B$3,'Raw Flow Data'!$1:$1,0))*$C$3))),"")</f>
        <v/>
      </c>
      <c r="C200" s="24">
        <f>IFERROR(IF($B$4="","",IF($K$5+ROW()-26&gt;$K$6,"",IF(INDEX('Raw Flow Data'!$A:$ZZ,$K$5+ROW()-26+$D$4,MATCH($B$4,'Raw Flow Data'!$1:$1,0))=-999,"",INDEX('Raw Flow Data'!$A:$ZZ,$K$5+ROW()-26+$D$4,MATCH($B$4,'Raw Flow Data'!$1:$1,0))*$C$4))),"")</f>
        <v/>
      </c>
      <c r="D200" s="24">
        <f>IFERROR(IF($B$5="","",IF($K$5+ROW()-26&gt;$K$6,"",IF(INDEX('Raw Flow Data'!$A:$ZZ,$K$5+ROW()-26+$D$5,MATCH($B$5,'Raw Flow Data'!$1:$1,0))=-999,"",INDEX('Raw Flow Data'!$A:$ZZ,$K$5+ROW()-26+$D$5,MATCH($B$5,'Raw Flow Data'!$1:$1,0))*$C$5))),"")</f>
        <v/>
      </c>
      <c r="E200" s="24">
        <f>IFERROR(IF($B$6="","",IF($K$5+ROW()-26&gt;$K$6,"",IF(INDEX('Raw Flow Data'!$A:$ZZ,$K$5+ROW()-26+$D$6,MATCH($B$6,'Raw Flow Data'!$1:$1,0))=-999,"",INDEX('Raw Flow Data'!$A:$ZZ,$K$5+ROW()-26+$D$6,MATCH($B$6,'Raw Flow Data'!$1:$1,0))*$C$6))),"")</f>
        <v/>
      </c>
      <c r="F200" s="24">
        <f>IFERROR(IF($B$7="","",IF($K$5+ROW()-26&gt;$K$6,"",IF(INDEX('Raw Flow Data'!$A:$ZZ,$K$5+ROW()-26+$D$7,MATCH($B$7,'Raw Flow Data'!$1:$1,0))=-999,"",INDEX('Raw Flow Data'!$A:$ZZ,$K$5+ROW()-26+$D$7,MATCH($B$7,'Raw Flow Data'!$1:$1,0))*$C$7))),"")</f>
        <v/>
      </c>
      <c r="G200" s="24">
        <f>IFERROR(IF($B$8="","",IF($K$5+ROW()-26&gt;$K$6,"",IF(INDEX('Raw Flow Data'!$A:$ZZ,$K$5+ROW()-26+$D$8,MATCH($B$8,'Raw Flow Data'!$1:$1,0))=-999,"",INDEX('Raw Flow Data'!$A:$ZZ,$K$5+ROW()-26+$D$8,MATCH($B$8,'Raw Flow Data'!$1:$1,0))*$C$8))),"")</f>
        <v/>
      </c>
      <c r="H200" s="24">
        <f>IFERROR(IF($B$9="","",IF($K$5+ROW()-26&gt;$K$6,"",IF(INDEX('Raw Flow Data'!$A:$ZZ,$K$5+ROW()-26+$D$9,MATCH($B$9,'Raw Flow Data'!$1:$1,0))=-999,"",INDEX('Raw Flow Data'!$A:$ZZ,$K$5+ROW()-26+$D$9,MATCH($B$9,'Raw Flow Data'!$1:$1,0))*$C$9))),"")</f>
        <v/>
      </c>
      <c r="I200" s="24">
        <f>IFERROR(IF($B$10="","",IF($K$5+ROW()-26&gt;$K$6,"",IF(INDEX('Raw Flow Data'!$A:$ZZ,$K$5+ROW()-26+$D$10,MATCH($B$10,'Raw Flow Data'!$1:$1,0))=-999,"",INDEX('Raw Flow Data'!$A:$ZZ,$K$5+ROW()-26+$D$10,MATCH($B$10,'Raw Flow Data'!$1:$1,0))*$C$10))),"")</f>
        <v/>
      </c>
      <c r="J200" s="24">
        <f>IFERROR(IF($B$11="","",IF($K$5+ROW()-26&gt;$K$6,"",IF(INDEX('Raw Flow Data'!$A:$ZZ,$K$5+ROW()-26+$D$11,MATCH($B$11,'Raw Flow Data'!$1:$1,0))=-999,"",INDEX('Raw Flow Data'!$A:$ZZ,$K$5+ROW()-26+$D$11,MATCH($B$11,'Raw Flow Data'!$1:$1,0))*$C$11))),"")</f>
        <v/>
      </c>
      <c r="K200" s="24">
        <f>IFERROR(IF($B$12="","",IF($K$5+ROW()-26&gt;$K$6,"",IF(INDEX('Raw Flow Data'!$A:$ZZ,$K$5+ROW()-26+$D$12,MATCH($B$12,'Raw Flow Data'!$1:$1,0))=-999,"",INDEX('Raw Flow Data'!$A:$ZZ,$K$5+ROW()-26+$D$12,MATCH($B$12,'Raw Flow Data'!$1:$1,0))*$C$12))),"")</f>
        <v/>
      </c>
      <c r="L200" s="24">
        <f>IFERROR(IF($F$3="","",IF($K$5+ROW()-26&gt;$K$6,"",IF(INDEX('Raw Pressure Data'!$A:$ZZ,$K$5+ROW()-26+$H$3,MATCH($F$3,'Raw Pressure Data'!$1:$1,0))=-999,"",INDEX('Raw Pressure Data'!$A:$ZZ,$K$5+ROW()-26+$H$3,MATCH($F$3,'Raw Pressure Data'!$1:$1,0))+$G$3))),"")</f>
        <v/>
      </c>
      <c r="M200" s="24">
        <f>IFERROR(IF($F$4="","",IF($K$5+ROW()-26&gt;$K$6,"",IF(INDEX('Raw Pressure Data'!$A:$ZZ,$K$5+ROW()-26+$H$4,MATCH($F$4,'Raw Pressure Data'!$1:$1,0))=-999,"",INDEX('Raw Pressure Data'!$A:$ZZ,$K$5+ROW()-26+$H$4,MATCH($F$4,'Raw Pressure Data'!$1:$1,0))+$G$4))),"")</f>
        <v/>
      </c>
      <c r="N200" s="24">
        <f>IFERROR(IF($F$5="","",IF($K$5+ROW()-26&gt;$K$6,"",IF(INDEX('Raw Pressure Data'!$A:$ZZ,$K$5+ROW()-26+$H$5,MATCH($F$5,'Raw Pressure Data'!$1:$1,0))=-999,"",INDEX('Raw Pressure Data'!$A:$ZZ,$K$5+ROW()-26+$H$5,MATCH($F$5,'Raw Pressure Data'!$1:$1,0))+$G$5))),"")</f>
        <v/>
      </c>
      <c r="O200" s="24">
        <f>IFERROR(IF($F$6="","",IF($K$5+ROW()-26&gt;$K$6,"",IF(INDEX('Raw Pressure Data'!$A:$ZZ,$K$5+ROW()-26+$H$6,MATCH($F$6,'Raw Pressure Data'!$1:$1,0))=-999,"",INDEX('Raw Pressure Data'!$A:$ZZ,$K$5+ROW()-26+$H$6,MATCH($F$6,'Raw Pressure Data'!$1:$1,0))+$G$6))),"")</f>
        <v/>
      </c>
      <c r="P200" s="24">
        <f>IFERROR(IF($F$7="","",IF($K$5+ROW()-26&gt;$K$6,"",IF(INDEX('Raw Pressure Data'!$A:$ZZ,$K$5+ROW()-26+$H$7,MATCH($F$7,'Raw Pressure Data'!$1:$1,0))=-999,"",INDEX('Raw Pressure Data'!$A:$ZZ,$K$5+ROW()-26+$H$7,MATCH($F$7,'Raw Pressure Data'!$1:$1,0))+$G$7))),"")</f>
        <v/>
      </c>
      <c r="Q200" s="24">
        <f>IFERROR(IF($F$8="","",IF($K$5+ROW()-26&gt;$K$6,"",IF(INDEX('Raw Pressure Data'!$A:$ZZ,$K$5+ROW()-26+$H$8,MATCH($F$8,'Raw Pressure Data'!$1:$1,0))=-999,"",INDEX('Raw Pressure Data'!$A:$ZZ,$K$5+ROW()-26+$H$8,MATCH($F$8,'Raw Pressure Data'!$1:$1,0))+$G$8))),"")</f>
        <v/>
      </c>
      <c r="R200" s="24">
        <f>IFERROR(IF($F$9="","",IF($K$5+ROW()-26&gt;$K$6,"",IF(INDEX('Raw Pressure Data'!$A:$ZZ,$K$5+ROW()-26+$H$9,MATCH($F$9,'Raw Pressure Data'!$1:$1,0))=-999,"",INDEX('Raw Pressure Data'!$A:$ZZ,$K$5+ROW()-26+$H$9,MATCH($F$9,'Raw Pressure Data'!$1:$1,0))+$G$9))),"")</f>
        <v/>
      </c>
      <c r="S200" s="24">
        <f>IFERROR(IF($F$10="","",IF($K$5+ROW()-26&gt;$K$6,"",IF(INDEX('Raw Pressure Data'!$A:$ZZ,$K$5+ROW()-26+$H$10,MATCH($F$10,'Raw Pressure Data'!$1:$1,0))=-999,"",INDEX('Raw Pressure Data'!$A:$ZZ,$K$5+ROW()-26+$H$10,MATCH($F$10,'Raw Pressure Data'!$1:$1,0))+$G$10))),"")</f>
        <v/>
      </c>
      <c r="T200" s="24">
        <f>IFERROR(IF($F$11="","",IF($K$5+ROW()-26&gt;$K$6,"",IF(INDEX('Raw Pressure Data'!$A:$ZZ,$K$5+ROW()-26+$H$11,MATCH($F$11,'Raw Pressure Data'!$1:$1,0))=-999,"",INDEX('Raw Pressure Data'!$A:$ZZ,$K$5+ROW()-26+$H$11,MATCH($F$11,'Raw Pressure Data'!$1:$1,0))+$G$11))),"")</f>
        <v/>
      </c>
      <c r="U200" s="24">
        <f>IFERROR(IF($F$12="","",IF($K$5+ROW()-26&gt;$K$6,"",IF(INDEX('Raw Pressure Data'!$A:$ZZ,$K$5+ROW()-26+$H$12,MATCH($F$12,'Raw Pressure Data'!$1:$1,0))=-999,"",INDEX('Raw Pressure Data'!$A:$ZZ,$K$5+ROW()-26+$H$12,MATCH($F$12,'Raw Pressure Data'!$1:$1,0))+$G$12))),"")</f>
        <v/>
      </c>
      <c r="V200" s="24">
        <f>IFERROR(IF($F$13="","",IF($K$5+ROW()-26&gt;$K$6,"",IF(INDEX('Raw Pressure Data'!$A:$ZZ,$K$5+ROW()-26+$H$13,MATCH($F$13,'Raw Pressure Data'!$1:$1,0))=-999,"",INDEX('Raw Pressure Data'!$A:$ZZ,$K$5+ROW()-26+$H$13,MATCH($F$13,'Raw Pressure Data'!$1:$1,0))+$G$13))),"")</f>
        <v/>
      </c>
      <c r="W200" s="24">
        <f>IFERROR(IF($F$14="","",IF($K$5+ROW()-26&gt;$K$6,"",IF(INDEX('Raw Pressure Data'!$A:$ZZ,$K$5+ROW()-26+$H$14,MATCH($F$14,'Raw Pressure Data'!$1:$1,0))=-999,"",INDEX('Raw Pressure Data'!$A:$ZZ,$K$5+ROW()-26+$H$14,MATCH($F$14,'Raw Pressure Data'!$1:$1,0))+$G$14))),"")</f>
        <v/>
      </c>
      <c r="X200" s="24">
        <f>IFERROR(IF($F$15="","",IF($K$5+ROW()-26&gt;$K$6,"",IF(INDEX('Raw Pressure Data'!$A:$ZZ,$K$5+ROW()-26+$H$15,MATCH($F$15,'Raw Pressure Data'!$1:$1,0))=-999,"",INDEX('Raw Pressure Data'!$A:$ZZ,$K$5+ROW()-26+$H$15,MATCH($F$15,'Raw Pressure Data'!$1:$1,0))+$G$15))),"")</f>
        <v/>
      </c>
      <c r="Y200" s="24">
        <f>IFERROR(IF($F$16="","",IF($K$5+ROW()-26&gt;$K$6,"",IF(INDEX('Raw Pressure Data'!$A:$ZZ,$K$5+ROW()-26+$H$16,MATCH($F$16,'Raw Pressure Data'!$1:$1,0))=-999,"",INDEX('Raw Pressure Data'!$A:$ZZ,$K$5+ROW()-26+$H$16,MATCH($F$16,'Raw Pressure Data'!$1:$1,0))+$G$16))),"")</f>
        <v/>
      </c>
      <c r="Z200" s="24">
        <f>IFERROR(IF($F$17="","",IF($K$5+ROW()-26&gt;$K$6,"",IF(INDEX('Raw Pressure Data'!$A:$ZZ,$K$5+ROW()-26+$H$17,MATCH($F$17,'Raw Pressure Data'!$1:$1,0))=-999,"",INDEX('Raw Pressure Data'!$A:$ZZ,$K$5+ROW()-26+$H$17,MATCH($F$17,'Raw Pressure Data'!$1:$1,0))+$G$17))),"")</f>
        <v/>
      </c>
      <c r="AA200" s="24">
        <f>IFERROR(IF($F$18="","",IF($K$5+ROW()-26&gt;$K$6,"",IF(INDEX('Raw Pressure Data'!$A:$ZZ,$K$5+ROW()-26+$H$18,MATCH($F$18,'Raw Pressure Data'!$1:$1,0))=-999,"",INDEX('Raw Pressure Data'!$A:$ZZ,$K$5+ROW()-26+$H$18,MATCH($F$18,'Raw Pressure Data'!$1:$1,0))+$G$18))),"")</f>
        <v/>
      </c>
      <c r="AB200" s="24">
        <f>IFERROR(IF($F$19="","",IF($K$5+ROW()-26&gt;$K$6,"",IF(INDEX('Raw Pressure Data'!$A:$ZZ,$K$5+ROW()-26+$H$19,MATCH($F$19,'Raw Pressure Data'!$1:$1,0))=-999,"",INDEX('Raw Pressure Data'!$A:$ZZ,$K$5+ROW()-26+$H$19,MATCH($F$19,'Raw Pressure Data'!$1:$1,0))+$G$19))),"")</f>
        <v/>
      </c>
      <c r="AC200" s="24">
        <f>IFERROR(IF($F$20="","",IF($K$5+ROW()-26&gt;$K$6,"",IF(INDEX('Raw Pressure Data'!$A:$ZZ,$K$5+ROW()-26+$H$20,MATCH($F$20,'Raw Pressure Data'!$1:$1,0))=-999,"",INDEX('Raw Pressure Data'!$A:$ZZ,$K$5+ROW()-26+$H$20,MATCH($F$20,'Raw Pressure Data'!$1:$1,0))+$G$20))),"")</f>
        <v/>
      </c>
      <c r="AD200" s="24">
        <f>IFERROR(IF($F$21="","",IF($K$5+ROW()-26&gt;$K$6,"",IF(INDEX('Raw Pressure Data'!$A:$ZZ,$K$5+ROW()-26+$H$21,MATCH($F$21,'Raw Pressure Data'!$1:$1,0))=-999,"",INDEX('Raw Pressure Data'!$A:$ZZ,$K$5+ROW()-26+$H$21,MATCH($F$21,'Raw Pressure Data'!$1:$1,0))+$G$21))),"")</f>
        <v/>
      </c>
      <c r="AE200" s="24">
        <f>IFERROR(IF($F$22="","",IF($K$5+ROW()-26&gt;$K$6,"",IF(INDEX('Raw Pressure Data'!$A:$ZZ,$K$5+ROW()-26+$H$22,MATCH($F$22,'Raw Pressure Data'!$1:$1,0))=-999,"",INDEX('Raw Pressure Data'!$A:$ZZ,$K$5+ROW()-26+$H$22,MATCH($F$22,'Raw Pressure Data'!$1:$1,0))+$G$22))),"")</f>
        <v/>
      </c>
    </row>
    <row r="201" ht="15" customHeight="1">
      <c r="A201" s="25">
        <f>IFERROR(IF($K$5+ROW()-26&gt;$K$6,"",IF(INDEX('Raw Flow Data'!$A:$A,$K$5+ROW()-26)="","",INDEX('Raw Flow Data'!$A:$A,$K$5+ROW()-26))),"")</f>
        <v/>
      </c>
      <c r="B201" s="26">
        <f>IFERROR(IF($B$3="","",IF($K$5+ROW()-26&gt;$K$6,"",IF(INDEX('Raw Flow Data'!$A:$ZZ,$K$5+ROW()-26+$D$3,MATCH($B$3,'Raw Flow Data'!$1:$1,0))=-999,"",INDEX('Raw Flow Data'!$A:$ZZ,$K$5+ROW()-26+$D$3,MATCH($B$3,'Raw Flow Data'!$1:$1,0))*$C$3))),"")</f>
        <v/>
      </c>
      <c r="C201" s="26">
        <f>IFERROR(IF($B$4="","",IF($K$5+ROW()-26&gt;$K$6,"",IF(INDEX('Raw Flow Data'!$A:$ZZ,$K$5+ROW()-26+$D$4,MATCH($B$4,'Raw Flow Data'!$1:$1,0))=-999,"",INDEX('Raw Flow Data'!$A:$ZZ,$K$5+ROW()-26+$D$4,MATCH($B$4,'Raw Flow Data'!$1:$1,0))*$C$4))),"")</f>
        <v/>
      </c>
      <c r="D201" s="26">
        <f>IFERROR(IF($B$5="","",IF($K$5+ROW()-26&gt;$K$6,"",IF(INDEX('Raw Flow Data'!$A:$ZZ,$K$5+ROW()-26+$D$5,MATCH($B$5,'Raw Flow Data'!$1:$1,0))=-999,"",INDEX('Raw Flow Data'!$A:$ZZ,$K$5+ROW()-26+$D$5,MATCH($B$5,'Raw Flow Data'!$1:$1,0))*$C$5))),"")</f>
        <v/>
      </c>
      <c r="E201" s="26">
        <f>IFERROR(IF($B$6="","",IF($K$5+ROW()-26&gt;$K$6,"",IF(INDEX('Raw Flow Data'!$A:$ZZ,$K$5+ROW()-26+$D$6,MATCH($B$6,'Raw Flow Data'!$1:$1,0))=-999,"",INDEX('Raw Flow Data'!$A:$ZZ,$K$5+ROW()-26+$D$6,MATCH($B$6,'Raw Flow Data'!$1:$1,0))*$C$6))),"")</f>
        <v/>
      </c>
      <c r="F201" s="26">
        <f>IFERROR(IF($B$7="","",IF($K$5+ROW()-26&gt;$K$6,"",IF(INDEX('Raw Flow Data'!$A:$ZZ,$K$5+ROW()-26+$D$7,MATCH($B$7,'Raw Flow Data'!$1:$1,0))=-999,"",INDEX('Raw Flow Data'!$A:$ZZ,$K$5+ROW()-26+$D$7,MATCH($B$7,'Raw Flow Data'!$1:$1,0))*$C$7))),"")</f>
        <v/>
      </c>
      <c r="G201" s="26">
        <f>IFERROR(IF($B$8="","",IF($K$5+ROW()-26&gt;$K$6,"",IF(INDEX('Raw Flow Data'!$A:$ZZ,$K$5+ROW()-26+$D$8,MATCH($B$8,'Raw Flow Data'!$1:$1,0))=-999,"",INDEX('Raw Flow Data'!$A:$ZZ,$K$5+ROW()-26+$D$8,MATCH($B$8,'Raw Flow Data'!$1:$1,0))*$C$8))),"")</f>
        <v/>
      </c>
      <c r="H201" s="26">
        <f>IFERROR(IF($B$9="","",IF($K$5+ROW()-26&gt;$K$6,"",IF(INDEX('Raw Flow Data'!$A:$ZZ,$K$5+ROW()-26+$D$9,MATCH($B$9,'Raw Flow Data'!$1:$1,0))=-999,"",INDEX('Raw Flow Data'!$A:$ZZ,$K$5+ROW()-26+$D$9,MATCH($B$9,'Raw Flow Data'!$1:$1,0))*$C$9))),"")</f>
        <v/>
      </c>
      <c r="I201" s="26">
        <f>IFERROR(IF($B$10="","",IF($K$5+ROW()-26&gt;$K$6,"",IF(INDEX('Raw Flow Data'!$A:$ZZ,$K$5+ROW()-26+$D$10,MATCH($B$10,'Raw Flow Data'!$1:$1,0))=-999,"",INDEX('Raw Flow Data'!$A:$ZZ,$K$5+ROW()-26+$D$10,MATCH($B$10,'Raw Flow Data'!$1:$1,0))*$C$10))),"")</f>
        <v/>
      </c>
      <c r="J201" s="26">
        <f>IFERROR(IF($B$11="","",IF($K$5+ROW()-26&gt;$K$6,"",IF(INDEX('Raw Flow Data'!$A:$ZZ,$K$5+ROW()-26+$D$11,MATCH($B$11,'Raw Flow Data'!$1:$1,0))=-999,"",INDEX('Raw Flow Data'!$A:$ZZ,$K$5+ROW()-26+$D$11,MATCH($B$11,'Raw Flow Data'!$1:$1,0))*$C$11))),"")</f>
        <v/>
      </c>
      <c r="K201" s="26">
        <f>IFERROR(IF($B$12="","",IF($K$5+ROW()-26&gt;$K$6,"",IF(INDEX('Raw Flow Data'!$A:$ZZ,$K$5+ROW()-26+$D$12,MATCH($B$12,'Raw Flow Data'!$1:$1,0))=-999,"",INDEX('Raw Flow Data'!$A:$ZZ,$K$5+ROW()-26+$D$12,MATCH($B$12,'Raw Flow Data'!$1:$1,0))*$C$12))),"")</f>
        <v/>
      </c>
      <c r="L201" s="26">
        <f>IFERROR(IF($F$3="","",IF($K$5+ROW()-26&gt;$K$6,"",IF(INDEX('Raw Pressure Data'!$A:$ZZ,$K$5+ROW()-26+$H$3,MATCH($F$3,'Raw Pressure Data'!$1:$1,0))=-999,"",INDEX('Raw Pressure Data'!$A:$ZZ,$K$5+ROW()-26+$H$3,MATCH($F$3,'Raw Pressure Data'!$1:$1,0))+$G$3))),"")</f>
        <v/>
      </c>
      <c r="M201" s="26">
        <f>IFERROR(IF($F$4="","",IF($K$5+ROW()-26&gt;$K$6,"",IF(INDEX('Raw Pressure Data'!$A:$ZZ,$K$5+ROW()-26+$H$4,MATCH($F$4,'Raw Pressure Data'!$1:$1,0))=-999,"",INDEX('Raw Pressure Data'!$A:$ZZ,$K$5+ROW()-26+$H$4,MATCH($F$4,'Raw Pressure Data'!$1:$1,0))+$G$4))),"")</f>
        <v/>
      </c>
      <c r="N201" s="26">
        <f>IFERROR(IF($F$5="","",IF($K$5+ROW()-26&gt;$K$6,"",IF(INDEX('Raw Pressure Data'!$A:$ZZ,$K$5+ROW()-26+$H$5,MATCH($F$5,'Raw Pressure Data'!$1:$1,0))=-999,"",INDEX('Raw Pressure Data'!$A:$ZZ,$K$5+ROW()-26+$H$5,MATCH($F$5,'Raw Pressure Data'!$1:$1,0))+$G$5))),"")</f>
        <v/>
      </c>
      <c r="O201" s="26">
        <f>IFERROR(IF($F$6="","",IF($K$5+ROW()-26&gt;$K$6,"",IF(INDEX('Raw Pressure Data'!$A:$ZZ,$K$5+ROW()-26+$H$6,MATCH($F$6,'Raw Pressure Data'!$1:$1,0))=-999,"",INDEX('Raw Pressure Data'!$A:$ZZ,$K$5+ROW()-26+$H$6,MATCH($F$6,'Raw Pressure Data'!$1:$1,0))+$G$6))),"")</f>
        <v/>
      </c>
      <c r="P201" s="26">
        <f>IFERROR(IF($F$7="","",IF($K$5+ROW()-26&gt;$K$6,"",IF(INDEX('Raw Pressure Data'!$A:$ZZ,$K$5+ROW()-26+$H$7,MATCH($F$7,'Raw Pressure Data'!$1:$1,0))=-999,"",INDEX('Raw Pressure Data'!$A:$ZZ,$K$5+ROW()-26+$H$7,MATCH($F$7,'Raw Pressure Data'!$1:$1,0))+$G$7))),"")</f>
        <v/>
      </c>
      <c r="Q201" s="26">
        <f>IFERROR(IF($F$8="","",IF($K$5+ROW()-26&gt;$K$6,"",IF(INDEX('Raw Pressure Data'!$A:$ZZ,$K$5+ROW()-26+$H$8,MATCH($F$8,'Raw Pressure Data'!$1:$1,0))=-999,"",INDEX('Raw Pressure Data'!$A:$ZZ,$K$5+ROW()-26+$H$8,MATCH($F$8,'Raw Pressure Data'!$1:$1,0))+$G$8))),"")</f>
        <v/>
      </c>
      <c r="R201" s="26">
        <f>IFERROR(IF($F$9="","",IF($K$5+ROW()-26&gt;$K$6,"",IF(INDEX('Raw Pressure Data'!$A:$ZZ,$K$5+ROW()-26+$H$9,MATCH($F$9,'Raw Pressure Data'!$1:$1,0))=-999,"",INDEX('Raw Pressure Data'!$A:$ZZ,$K$5+ROW()-26+$H$9,MATCH($F$9,'Raw Pressure Data'!$1:$1,0))+$G$9))),"")</f>
        <v/>
      </c>
      <c r="S201" s="26">
        <f>IFERROR(IF($F$10="","",IF($K$5+ROW()-26&gt;$K$6,"",IF(INDEX('Raw Pressure Data'!$A:$ZZ,$K$5+ROW()-26+$H$10,MATCH($F$10,'Raw Pressure Data'!$1:$1,0))=-999,"",INDEX('Raw Pressure Data'!$A:$ZZ,$K$5+ROW()-26+$H$10,MATCH($F$10,'Raw Pressure Data'!$1:$1,0))+$G$10))),"")</f>
        <v/>
      </c>
      <c r="T201" s="26">
        <f>IFERROR(IF($F$11="","",IF($K$5+ROW()-26&gt;$K$6,"",IF(INDEX('Raw Pressure Data'!$A:$ZZ,$K$5+ROW()-26+$H$11,MATCH($F$11,'Raw Pressure Data'!$1:$1,0))=-999,"",INDEX('Raw Pressure Data'!$A:$ZZ,$K$5+ROW()-26+$H$11,MATCH($F$11,'Raw Pressure Data'!$1:$1,0))+$G$11))),"")</f>
        <v/>
      </c>
      <c r="U201" s="26">
        <f>IFERROR(IF($F$12="","",IF($K$5+ROW()-26&gt;$K$6,"",IF(INDEX('Raw Pressure Data'!$A:$ZZ,$K$5+ROW()-26+$H$12,MATCH($F$12,'Raw Pressure Data'!$1:$1,0))=-999,"",INDEX('Raw Pressure Data'!$A:$ZZ,$K$5+ROW()-26+$H$12,MATCH($F$12,'Raw Pressure Data'!$1:$1,0))+$G$12))),"")</f>
        <v/>
      </c>
      <c r="V201" s="26">
        <f>IFERROR(IF($F$13="","",IF($K$5+ROW()-26&gt;$K$6,"",IF(INDEX('Raw Pressure Data'!$A:$ZZ,$K$5+ROW()-26+$H$13,MATCH($F$13,'Raw Pressure Data'!$1:$1,0))=-999,"",INDEX('Raw Pressure Data'!$A:$ZZ,$K$5+ROW()-26+$H$13,MATCH($F$13,'Raw Pressure Data'!$1:$1,0))+$G$13))),"")</f>
        <v/>
      </c>
      <c r="W201" s="26">
        <f>IFERROR(IF($F$14="","",IF($K$5+ROW()-26&gt;$K$6,"",IF(INDEX('Raw Pressure Data'!$A:$ZZ,$K$5+ROW()-26+$H$14,MATCH($F$14,'Raw Pressure Data'!$1:$1,0))=-999,"",INDEX('Raw Pressure Data'!$A:$ZZ,$K$5+ROW()-26+$H$14,MATCH($F$14,'Raw Pressure Data'!$1:$1,0))+$G$14))),"")</f>
        <v/>
      </c>
      <c r="X201" s="26">
        <f>IFERROR(IF($F$15="","",IF($K$5+ROW()-26&gt;$K$6,"",IF(INDEX('Raw Pressure Data'!$A:$ZZ,$K$5+ROW()-26+$H$15,MATCH($F$15,'Raw Pressure Data'!$1:$1,0))=-999,"",INDEX('Raw Pressure Data'!$A:$ZZ,$K$5+ROW()-26+$H$15,MATCH($F$15,'Raw Pressure Data'!$1:$1,0))+$G$15))),"")</f>
        <v/>
      </c>
      <c r="Y201" s="26">
        <f>IFERROR(IF($F$16="","",IF($K$5+ROW()-26&gt;$K$6,"",IF(INDEX('Raw Pressure Data'!$A:$ZZ,$K$5+ROW()-26+$H$16,MATCH($F$16,'Raw Pressure Data'!$1:$1,0))=-999,"",INDEX('Raw Pressure Data'!$A:$ZZ,$K$5+ROW()-26+$H$16,MATCH($F$16,'Raw Pressure Data'!$1:$1,0))+$G$16))),"")</f>
        <v/>
      </c>
      <c r="Z201" s="26">
        <f>IFERROR(IF($F$17="","",IF($K$5+ROW()-26&gt;$K$6,"",IF(INDEX('Raw Pressure Data'!$A:$ZZ,$K$5+ROW()-26+$H$17,MATCH($F$17,'Raw Pressure Data'!$1:$1,0))=-999,"",INDEX('Raw Pressure Data'!$A:$ZZ,$K$5+ROW()-26+$H$17,MATCH($F$17,'Raw Pressure Data'!$1:$1,0))+$G$17))),"")</f>
        <v/>
      </c>
      <c r="AA201" s="26">
        <f>IFERROR(IF($F$18="","",IF($K$5+ROW()-26&gt;$K$6,"",IF(INDEX('Raw Pressure Data'!$A:$ZZ,$K$5+ROW()-26+$H$18,MATCH($F$18,'Raw Pressure Data'!$1:$1,0))=-999,"",INDEX('Raw Pressure Data'!$A:$ZZ,$K$5+ROW()-26+$H$18,MATCH($F$18,'Raw Pressure Data'!$1:$1,0))+$G$18))),"")</f>
        <v/>
      </c>
      <c r="AB201" s="26">
        <f>IFERROR(IF($F$19="","",IF($K$5+ROW()-26&gt;$K$6,"",IF(INDEX('Raw Pressure Data'!$A:$ZZ,$K$5+ROW()-26+$H$19,MATCH($F$19,'Raw Pressure Data'!$1:$1,0))=-999,"",INDEX('Raw Pressure Data'!$A:$ZZ,$K$5+ROW()-26+$H$19,MATCH($F$19,'Raw Pressure Data'!$1:$1,0))+$G$19))),"")</f>
        <v/>
      </c>
      <c r="AC201" s="26">
        <f>IFERROR(IF($F$20="","",IF($K$5+ROW()-26&gt;$K$6,"",IF(INDEX('Raw Pressure Data'!$A:$ZZ,$K$5+ROW()-26+$H$20,MATCH($F$20,'Raw Pressure Data'!$1:$1,0))=-999,"",INDEX('Raw Pressure Data'!$A:$ZZ,$K$5+ROW()-26+$H$20,MATCH($F$20,'Raw Pressure Data'!$1:$1,0))+$G$20))),"")</f>
        <v/>
      </c>
      <c r="AD201" s="26">
        <f>IFERROR(IF($F$21="","",IF($K$5+ROW()-26&gt;$K$6,"",IF(INDEX('Raw Pressure Data'!$A:$ZZ,$K$5+ROW()-26+$H$21,MATCH($F$21,'Raw Pressure Data'!$1:$1,0))=-999,"",INDEX('Raw Pressure Data'!$A:$ZZ,$K$5+ROW()-26+$H$21,MATCH($F$21,'Raw Pressure Data'!$1:$1,0))+$G$21))),"")</f>
        <v/>
      </c>
      <c r="AE201" s="26">
        <f>IFERROR(IF($F$22="","",IF($K$5+ROW()-26&gt;$K$6,"",IF(INDEX('Raw Pressure Data'!$A:$ZZ,$K$5+ROW()-26+$H$22,MATCH($F$22,'Raw Pressure Data'!$1:$1,0))=-999,"",INDEX('Raw Pressure Data'!$A:$ZZ,$K$5+ROW()-26+$H$22,MATCH($F$22,'Raw Pressure Data'!$1:$1,0))+$G$22))),"")</f>
        <v/>
      </c>
    </row>
    <row r="202" ht="15" customHeight="1">
      <c r="A202" s="23">
        <f>IFERROR(IF($K$5+ROW()-26&gt;$K$6,"",IF(INDEX('Raw Flow Data'!$A:$A,$K$5+ROW()-26)="","",INDEX('Raw Flow Data'!$A:$A,$K$5+ROW()-26))),"")</f>
        <v/>
      </c>
      <c r="B202" s="24">
        <f>IFERROR(IF($B$3="","",IF($K$5+ROW()-26&gt;$K$6,"",IF(INDEX('Raw Flow Data'!$A:$ZZ,$K$5+ROW()-26+$D$3,MATCH($B$3,'Raw Flow Data'!$1:$1,0))=-999,"",INDEX('Raw Flow Data'!$A:$ZZ,$K$5+ROW()-26+$D$3,MATCH($B$3,'Raw Flow Data'!$1:$1,0))*$C$3))),"")</f>
        <v/>
      </c>
      <c r="C202" s="24">
        <f>IFERROR(IF($B$4="","",IF($K$5+ROW()-26&gt;$K$6,"",IF(INDEX('Raw Flow Data'!$A:$ZZ,$K$5+ROW()-26+$D$4,MATCH($B$4,'Raw Flow Data'!$1:$1,0))=-999,"",INDEX('Raw Flow Data'!$A:$ZZ,$K$5+ROW()-26+$D$4,MATCH($B$4,'Raw Flow Data'!$1:$1,0))*$C$4))),"")</f>
        <v/>
      </c>
      <c r="D202" s="24">
        <f>IFERROR(IF($B$5="","",IF($K$5+ROW()-26&gt;$K$6,"",IF(INDEX('Raw Flow Data'!$A:$ZZ,$K$5+ROW()-26+$D$5,MATCH($B$5,'Raw Flow Data'!$1:$1,0))=-999,"",INDEX('Raw Flow Data'!$A:$ZZ,$K$5+ROW()-26+$D$5,MATCH($B$5,'Raw Flow Data'!$1:$1,0))*$C$5))),"")</f>
        <v/>
      </c>
      <c r="E202" s="24">
        <f>IFERROR(IF($B$6="","",IF($K$5+ROW()-26&gt;$K$6,"",IF(INDEX('Raw Flow Data'!$A:$ZZ,$K$5+ROW()-26+$D$6,MATCH($B$6,'Raw Flow Data'!$1:$1,0))=-999,"",INDEX('Raw Flow Data'!$A:$ZZ,$K$5+ROW()-26+$D$6,MATCH($B$6,'Raw Flow Data'!$1:$1,0))*$C$6))),"")</f>
        <v/>
      </c>
      <c r="F202" s="24">
        <f>IFERROR(IF($B$7="","",IF($K$5+ROW()-26&gt;$K$6,"",IF(INDEX('Raw Flow Data'!$A:$ZZ,$K$5+ROW()-26+$D$7,MATCH($B$7,'Raw Flow Data'!$1:$1,0))=-999,"",INDEX('Raw Flow Data'!$A:$ZZ,$K$5+ROW()-26+$D$7,MATCH($B$7,'Raw Flow Data'!$1:$1,0))*$C$7))),"")</f>
        <v/>
      </c>
      <c r="G202" s="24">
        <f>IFERROR(IF($B$8="","",IF($K$5+ROW()-26&gt;$K$6,"",IF(INDEX('Raw Flow Data'!$A:$ZZ,$K$5+ROW()-26+$D$8,MATCH($B$8,'Raw Flow Data'!$1:$1,0))=-999,"",INDEX('Raw Flow Data'!$A:$ZZ,$K$5+ROW()-26+$D$8,MATCH($B$8,'Raw Flow Data'!$1:$1,0))*$C$8))),"")</f>
        <v/>
      </c>
      <c r="H202" s="24">
        <f>IFERROR(IF($B$9="","",IF($K$5+ROW()-26&gt;$K$6,"",IF(INDEX('Raw Flow Data'!$A:$ZZ,$K$5+ROW()-26+$D$9,MATCH($B$9,'Raw Flow Data'!$1:$1,0))=-999,"",INDEX('Raw Flow Data'!$A:$ZZ,$K$5+ROW()-26+$D$9,MATCH($B$9,'Raw Flow Data'!$1:$1,0))*$C$9))),"")</f>
        <v/>
      </c>
      <c r="I202" s="24">
        <f>IFERROR(IF($B$10="","",IF($K$5+ROW()-26&gt;$K$6,"",IF(INDEX('Raw Flow Data'!$A:$ZZ,$K$5+ROW()-26+$D$10,MATCH($B$10,'Raw Flow Data'!$1:$1,0))=-999,"",INDEX('Raw Flow Data'!$A:$ZZ,$K$5+ROW()-26+$D$10,MATCH($B$10,'Raw Flow Data'!$1:$1,0))*$C$10))),"")</f>
        <v/>
      </c>
      <c r="J202" s="24">
        <f>IFERROR(IF($B$11="","",IF($K$5+ROW()-26&gt;$K$6,"",IF(INDEX('Raw Flow Data'!$A:$ZZ,$K$5+ROW()-26+$D$11,MATCH($B$11,'Raw Flow Data'!$1:$1,0))=-999,"",INDEX('Raw Flow Data'!$A:$ZZ,$K$5+ROW()-26+$D$11,MATCH($B$11,'Raw Flow Data'!$1:$1,0))*$C$11))),"")</f>
        <v/>
      </c>
      <c r="K202" s="24">
        <f>IFERROR(IF($B$12="","",IF($K$5+ROW()-26&gt;$K$6,"",IF(INDEX('Raw Flow Data'!$A:$ZZ,$K$5+ROW()-26+$D$12,MATCH($B$12,'Raw Flow Data'!$1:$1,0))=-999,"",INDEX('Raw Flow Data'!$A:$ZZ,$K$5+ROW()-26+$D$12,MATCH($B$12,'Raw Flow Data'!$1:$1,0))*$C$12))),"")</f>
        <v/>
      </c>
      <c r="L202" s="24">
        <f>IFERROR(IF($F$3="","",IF($K$5+ROW()-26&gt;$K$6,"",IF(INDEX('Raw Pressure Data'!$A:$ZZ,$K$5+ROW()-26+$H$3,MATCH($F$3,'Raw Pressure Data'!$1:$1,0))=-999,"",INDEX('Raw Pressure Data'!$A:$ZZ,$K$5+ROW()-26+$H$3,MATCH($F$3,'Raw Pressure Data'!$1:$1,0))+$G$3))),"")</f>
        <v/>
      </c>
      <c r="M202" s="24">
        <f>IFERROR(IF($F$4="","",IF($K$5+ROW()-26&gt;$K$6,"",IF(INDEX('Raw Pressure Data'!$A:$ZZ,$K$5+ROW()-26+$H$4,MATCH($F$4,'Raw Pressure Data'!$1:$1,0))=-999,"",INDEX('Raw Pressure Data'!$A:$ZZ,$K$5+ROW()-26+$H$4,MATCH($F$4,'Raw Pressure Data'!$1:$1,0))+$G$4))),"")</f>
        <v/>
      </c>
      <c r="N202" s="24">
        <f>IFERROR(IF($F$5="","",IF($K$5+ROW()-26&gt;$K$6,"",IF(INDEX('Raw Pressure Data'!$A:$ZZ,$K$5+ROW()-26+$H$5,MATCH($F$5,'Raw Pressure Data'!$1:$1,0))=-999,"",INDEX('Raw Pressure Data'!$A:$ZZ,$K$5+ROW()-26+$H$5,MATCH($F$5,'Raw Pressure Data'!$1:$1,0))+$G$5))),"")</f>
        <v/>
      </c>
      <c r="O202" s="24">
        <f>IFERROR(IF($F$6="","",IF($K$5+ROW()-26&gt;$K$6,"",IF(INDEX('Raw Pressure Data'!$A:$ZZ,$K$5+ROW()-26+$H$6,MATCH($F$6,'Raw Pressure Data'!$1:$1,0))=-999,"",INDEX('Raw Pressure Data'!$A:$ZZ,$K$5+ROW()-26+$H$6,MATCH($F$6,'Raw Pressure Data'!$1:$1,0))+$G$6))),"")</f>
        <v/>
      </c>
      <c r="P202" s="24">
        <f>IFERROR(IF($F$7="","",IF($K$5+ROW()-26&gt;$K$6,"",IF(INDEX('Raw Pressure Data'!$A:$ZZ,$K$5+ROW()-26+$H$7,MATCH($F$7,'Raw Pressure Data'!$1:$1,0))=-999,"",INDEX('Raw Pressure Data'!$A:$ZZ,$K$5+ROW()-26+$H$7,MATCH($F$7,'Raw Pressure Data'!$1:$1,0))+$G$7))),"")</f>
        <v/>
      </c>
      <c r="Q202" s="24">
        <f>IFERROR(IF($F$8="","",IF($K$5+ROW()-26&gt;$K$6,"",IF(INDEX('Raw Pressure Data'!$A:$ZZ,$K$5+ROW()-26+$H$8,MATCH($F$8,'Raw Pressure Data'!$1:$1,0))=-999,"",INDEX('Raw Pressure Data'!$A:$ZZ,$K$5+ROW()-26+$H$8,MATCH($F$8,'Raw Pressure Data'!$1:$1,0))+$G$8))),"")</f>
        <v/>
      </c>
      <c r="R202" s="24">
        <f>IFERROR(IF($F$9="","",IF($K$5+ROW()-26&gt;$K$6,"",IF(INDEX('Raw Pressure Data'!$A:$ZZ,$K$5+ROW()-26+$H$9,MATCH($F$9,'Raw Pressure Data'!$1:$1,0))=-999,"",INDEX('Raw Pressure Data'!$A:$ZZ,$K$5+ROW()-26+$H$9,MATCH($F$9,'Raw Pressure Data'!$1:$1,0))+$G$9))),"")</f>
        <v/>
      </c>
      <c r="S202" s="24">
        <f>IFERROR(IF($F$10="","",IF($K$5+ROW()-26&gt;$K$6,"",IF(INDEX('Raw Pressure Data'!$A:$ZZ,$K$5+ROW()-26+$H$10,MATCH($F$10,'Raw Pressure Data'!$1:$1,0))=-999,"",INDEX('Raw Pressure Data'!$A:$ZZ,$K$5+ROW()-26+$H$10,MATCH($F$10,'Raw Pressure Data'!$1:$1,0))+$G$10))),"")</f>
        <v/>
      </c>
      <c r="T202" s="24">
        <f>IFERROR(IF($F$11="","",IF($K$5+ROW()-26&gt;$K$6,"",IF(INDEX('Raw Pressure Data'!$A:$ZZ,$K$5+ROW()-26+$H$11,MATCH($F$11,'Raw Pressure Data'!$1:$1,0))=-999,"",INDEX('Raw Pressure Data'!$A:$ZZ,$K$5+ROW()-26+$H$11,MATCH($F$11,'Raw Pressure Data'!$1:$1,0))+$G$11))),"")</f>
        <v/>
      </c>
      <c r="U202" s="24">
        <f>IFERROR(IF($F$12="","",IF($K$5+ROW()-26&gt;$K$6,"",IF(INDEX('Raw Pressure Data'!$A:$ZZ,$K$5+ROW()-26+$H$12,MATCH($F$12,'Raw Pressure Data'!$1:$1,0))=-999,"",INDEX('Raw Pressure Data'!$A:$ZZ,$K$5+ROW()-26+$H$12,MATCH($F$12,'Raw Pressure Data'!$1:$1,0))+$G$12))),"")</f>
        <v/>
      </c>
      <c r="V202" s="24">
        <f>IFERROR(IF($F$13="","",IF($K$5+ROW()-26&gt;$K$6,"",IF(INDEX('Raw Pressure Data'!$A:$ZZ,$K$5+ROW()-26+$H$13,MATCH($F$13,'Raw Pressure Data'!$1:$1,0))=-999,"",INDEX('Raw Pressure Data'!$A:$ZZ,$K$5+ROW()-26+$H$13,MATCH($F$13,'Raw Pressure Data'!$1:$1,0))+$G$13))),"")</f>
        <v/>
      </c>
      <c r="W202" s="24">
        <f>IFERROR(IF($F$14="","",IF($K$5+ROW()-26&gt;$K$6,"",IF(INDEX('Raw Pressure Data'!$A:$ZZ,$K$5+ROW()-26+$H$14,MATCH($F$14,'Raw Pressure Data'!$1:$1,0))=-999,"",INDEX('Raw Pressure Data'!$A:$ZZ,$K$5+ROW()-26+$H$14,MATCH($F$14,'Raw Pressure Data'!$1:$1,0))+$G$14))),"")</f>
        <v/>
      </c>
      <c r="X202" s="24">
        <f>IFERROR(IF($F$15="","",IF($K$5+ROW()-26&gt;$K$6,"",IF(INDEX('Raw Pressure Data'!$A:$ZZ,$K$5+ROW()-26+$H$15,MATCH($F$15,'Raw Pressure Data'!$1:$1,0))=-999,"",INDEX('Raw Pressure Data'!$A:$ZZ,$K$5+ROW()-26+$H$15,MATCH($F$15,'Raw Pressure Data'!$1:$1,0))+$G$15))),"")</f>
        <v/>
      </c>
      <c r="Y202" s="24">
        <f>IFERROR(IF($F$16="","",IF($K$5+ROW()-26&gt;$K$6,"",IF(INDEX('Raw Pressure Data'!$A:$ZZ,$K$5+ROW()-26+$H$16,MATCH($F$16,'Raw Pressure Data'!$1:$1,0))=-999,"",INDEX('Raw Pressure Data'!$A:$ZZ,$K$5+ROW()-26+$H$16,MATCH($F$16,'Raw Pressure Data'!$1:$1,0))+$G$16))),"")</f>
        <v/>
      </c>
      <c r="Z202" s="24">
        <f>IFERROR(IF($F$17="","",IF($K$5+ROW()-26&gt;$K$6,"",IF(INDEX('Raw Pressure Data'!$A:$ZZ,$K$5+ROW()-26+$H$17,MATCH($F$17,'Raw Pressure Data'!$1:$1,0))=-999,"",INDEX('Raw Pressure Data'!$A:$ZZ,$K$5+ROW()-26+$H$17,MATCH($F$17,'Raw Pressure Data'!$1:$1,0))+$G$17))),"")</f>
        <v/>
      </c>
      <c r="AA202" s="24">
        <f>IFERROR(IF($F$18="","",IF($K$5+ROW()-26&gt;$K$6,"",IF(INDEX('Raw Pressure Data'!$A:$ZZ,$K$5+ROW()-26+$H$18,MATCH($F$18,'Raw Pressure Data'!$1:$1,0))=-999,"",INDEX('Raw Pressure Data'!$A:$ZZ,$K$5+ROW()-26+$H$18,MATCH($F$18,'Raw Pressure Data'!$1:$1,0))+$G$18))),"")</f>
        <v/>
      </c>
      <c r="AB202" s="24">
        <f>IFERROR(IF($F$19="","",IF($K$5+ROW()-26&gt;$K$6,"",IF(INDEX('Raw Pressure Data'!$A:$ZZ,$K$5+ROW()-26+$H$19,MATCH($F$19,'Raw Pressure Data'!$1:$1,0))=-999,"",INDEX('Raw Pressure Data'!$A:$ZZ,$K$5+ROW()-26+$H$19,MATCH($F$19,'Raw Pressure Data'!$1:$1,0))+$G$19))),"")</f>
        <v/>
      </c>
      <c r="AC202" s="24">
        <f>IFERROR(IF($F$20="","",IF($K$5+ROW()-26&gt;$K$6,"",IF(INDEX('Raw Pressure Data'!$A:$ZZ,$K$5+ROW()-26+$H$20,MATCH($F$20,'Raw Pressure Data'!$1:$1,0))=-999,"",INDEX('Raw Pressure Data'!$A:$ZZ,$K$5+ROW()-26+$H$20,MATCH($F$20,'Raw Pressure Data'!$1:$1,0))+$G$20))),"")</f>
        <v/>
      </c>
      <c r="AD202" s="24">
        <f>IFERROR(IF($F$21="","",IF($K$5+ROW()-26&gt;$K$6,"",IF(INDEX('Raw Pressure Data'!$A:$ZZ,$K$5+ROW()-26+$H$21,MATCH($F$21,'Raw Pressure Data'!$1:$1,0))=-999,"",INDEX('Raw Pressure Data'!$A:$ZZ,$K$5+ROW()-26+$H$21,MATCH($F$21,'Raw Pressure Data'!$1:$1,0))+$G$21))),"")</f>
        <v/>
      </c>
      <c r="AE202" s="24">
        <f>IFERROR(IF($F$22="","",IF($K$5+ROW()-26&gt;$K$6,"",IF(INDEX('Raw Pressure Data'!$A:$ZZ,$K$5+ROW()-26+$H$22,MATCH($F$22,'Raw Pressure Data'!$1:$1,0))=-999,"",INDEX('Raw Pressure Data'!$A:$ZZ,$K$5+ROW()-26+$H$22,MATCH($F$22,'Raw Pressure Data'!$1:$1,0))+$G$22))),"")</f>
        <v/>
      </c>
    </row>
    <row r="203" ht="15" customHeight="1">
      <c r="A203" s="25">
        <f>IFERROR(IF($K$5+ROW()-26&gt;$K$6,"",IF(INDEX('Raw Flow Data'!$A:$A,$K$5+ROW()-26)="","",INDEX('Raw Flow Data'!$A:$A,$K$5+ROW()-26))),"")</f>
        <v/>
      </c>
      <c r="B203" s="26">
        <f>IFERROR(IF($B$3="","",IF($K$5+ROW()-26&gt;$K$6,"",IF(INDEX('Raw Flow Data'!$A:$ZZ,$K$5+ROW()-26+$D$3,MATCH($B$3,'Raw Flow Data'!$1:$1,0))=-999,"",INDEX('Raw Flow Data'!$A:$ZZ,$K$5+ROW()-26+$D$3,MATCH($B$3,'Raw Flow Data'!$1:$1,0))*$C$3))),"")</f>
        <v/>
      </c>
      <c r="C203" s="26">
        <f>IFERROR(IF($B$4="","",IF($K$5+ROW()-26&gt;$K$6,"",IF(INDEX('Raw Flow Data'!$A:$ZZ,$K$5+ROW()-26+$D$4,MATCH($B$4,'Raw Flow Data'!$1:$1,0))=-999,"",INDEX('Raw Flow Data'!$A:$ZZ,$K$5+ROW()-26+$D$4,MATCH($B$4,'Raw Flow Data'!$1:$1,0))*$C$4))),"")</f>
        <v/>
      </c>
      <c r="D203" s="26">
        <f>IFERROR(IF($B$5="","",IF($K$5+ROW()-26&gt;$K$6,"",IF(INDEX('Raw Flow Data'!$A:$ZZ,$K$5+ROW()-26+$D$5,MATCH($B$5,'Raw Flow Data'!$1:$1,0))=-999,"",INDEX('Raw Flow Data'!$A:$ZZ,$K$5+ROW()-26+$D$5,MATCH($B$5,'Raw Flow Data'!$1:$1,0))*$C$5))),"")</f>
        <v/>
      </c>
      <c r="E203" s="26">
        <f>IFERROR(IF($B$6="","",IF($K$5+ROW()-26&gt;$K$6,"",IF(INDEX('Raw Flow Data'!$A:$ZZ,$K$5+ROW()-26+$D$6,MATCH($B$6,'Raw Flow Data'!$1:$1,0))=-999,"",INDEX('Raw Flow Data'!$A:$ZZ,$K$5+ROW()-26+$D$6,MATCH($B$6,'Raw Flow Data'!$1:$1,0))*$C$6))),"")</f>
        <v/>
      </c>
      <c r="F203" s="26">
        <f>IFERROR(IF($B$7="","",IF($K$5+ROW()-26&gt;$K$6,"",IF(INDEX('Raw Flow Data'!$A:$ZZ,$K$5+ROW()-26+$D$7,MATCH($B$7,'Raw Flow Data'!$1:$1,0))=-999,"",INDEX('Raw Flow Data'!$A:$ZZ,$K$5+ROW()-26+$D$7,MATCH($B$7,'Raw Flow Data'!$1:$1,0))*$C$7))),"")</f>
        <v/>
      </c>
      <c r="G203" s="26">
        <f>IFERROR(IF($B$8="","",IF($K$5+ROW()-26&gt;$K$6,"",IF(INDEX('Raw Flow Data'!$A:$ZZ,$K$5+ROW()-26+$D$8,MATCH($B$8,'Raw Flow Data'!$1:$1,0))=-999,"",INDEX('Raw Flow Data'!$A:$ZZ,$K$5+ROW()-26+$D$8,MATCH($B$8,'Raw Flow Data'!$1:$1,0))*$C$8))),"")</f>
        <v/>
      </c>
      <c r="H203" s="26">
        <f>IFERROR(IF($B$9="","",IF($K$5+ROW()-26&gt;$K$6,"",IF(INDEX('Raw Flow Data'!$A:$ZZ,$K$5+ROW()-26+$D$9,MATCH($B$9,'Raw Flow Data'!$1:$1,0))=-999,"",INDEX('Raw Flow Data'!$A:$ZZ,$K$5+ROW()-26+$D$9,MATCH($B$9,'Raw Flow Data'!$1:$1,0))*$C$9))),"")</f>
        <v/>
      </c>
      <c r="I203" s="26">
        <f>IFERROR(IF($B$10="","",IF($K$5+ROW()-26&gt;$K$6,"",IF(INDEX('Raw Flow Data'!$A:$ZZ,$K$5+ROW()-26+$D$10,MATCH($B$10,'Raw Flow Data'!$1:$1,0))=-999,"",INDEX('Raw Flow Data'!$A:$ZZ,$K$5+ROW()-26+$D$10,MATCH($B$10,'Raw Flow Data'!$1:$1,0))*$C$10))),"")</f>
        <v/>
      </c>
      <c r="J203" s="26">
        <f>IFERROR(IF($B$11="","",IF($K$5+ROW()-26&gt;$K$6,"",IF(INDEX('Raw Flow Data'!$A:$ZZ,$K$5+ROW()-26+$D$11,MATCH($B$11,'Raw Flow Data'!$1:$1,0))=-999,"",INDEX('Raw Flow Data'!$A:$ZZ,$K$5+ROW()-26+$D$11,MATCH($B$11,'Raw Flow Data'!$1:$1,0))*$C$11))),"")</f>
        <v/>
      </c>
      <c r="K203" s="26">
        <f>IFERROR(IF($B$12="","",IF($K$5+ROW()-26&gt;$K$6,"",IF(INDEX('Raw Flow Data'!$A:$ZZ,$K$5+ROW()-26+$D$12,MATCH($B$12,'Raw Flow Data'!$1:$1,0))=-999,"",INDEX('Raw Flow Data'!$A:$ZZ,$K$5+ROW()-26+$D$12,MATCH($B$12,'Raw Flow Data'!$1:$1,0))*$C$12))),"")</f>
        <v/>
      </c>
      <c r="L203" s="26">
        <f>IFERROR(IF($F$3="","",IF($K$5+ROW()-26&gt;$K$6,"",IF(INDEX('Raw Pressure Data'!$A:$ZZ,$K$5+ROW()-26+$H$3,MATCH($F$3,'Raw Pressure Data'!$1:$1,0))=-999,"",INDEX('Raw Pressure Data'!$A:$ZZ,$K$5+ROW()-26+$H$3,MATCH($F$3,'Raw Pressure Data'!$1:$1,0))+$G$3))),"")</f>
        <v/>
      </c>
      <c r="M203" s="26">
        <f>IFERROR(IF($F$4="","",IF($K$5+ROW()-26&gt;$K$6,"",IF(INDEX('Raw Pressure Data'!$A:$ZZ,$K$5+ROW()-26+$H$4,MATCH($F$4,'Raw Pressure Data'!$1:$1,0))=-999,"",INDEX('Raw Pressure Data'!$A:$ZZ,$K$5+ROW()-26+$H$4,MATCH($F$4,'Raw Pressure Data'!$1:$1,0))+$G$4))),"")</f>
        <v/>
      </c>
      <c r="N203" s="26">
        <f>IFERROR(IF($F$5="","",IF($K$5+ROW()-26&gt;$K$6,"",IF(INDEX('Raw Pressure Data'!$A:$ZZ,$K$5+ROW()-26+$H$5,MATCH($F$5,'Raw Pressure Data'!$1:$1,0))=-999,"",INDEX('Raw Pressure Data'!$A:$ZZ,$K$5+ROW()-26+$H$5,MATCH($F$5,'Raw Pressure Data'!$1:$1,0))+$G$5))),"")</f>
        <v/>
      </c>
      <c r="O203" s="26">
        <f>IFERROR(IF($F$6="","",IF($K$5+ROW()-26&gt;$K$6,"",IF(INDEX('Raw Pressure Data'!$A:$ZZ,$K$5+ROW()-26+$H$6,MATCH($F$6,'Raw Pressure Data'!$1:$1,0))=-999,"",INDEX('Raw Pressure Data'!$A:$ZZ,$K$5+ROW()-26+$H$6,MATCH($F$6,'Raw Pressure Data'!$1:$1,0))+$G$6))),"")</f>
        <v/>
      </c>
      <c r="P203" s="26">
        <f>IFERROR(IF($F$7="","",IF($K$5+ROW()-26&gt;$K$6,"",IF(INDEX('Raw Pressure Data'!$A:$ZZ,$K$5+ROW()-26+$H$7,MATCH($F$7,'Raw Pressure Data'!$1:$1,0))=-999,"",INDEX('Raw Pressure Data'!$A:$ZZ,$K$5+ROW()-26+$H$7,MATCH($F$7,'Raw Pressure Data'!$1:$1,0))+$G$7))),"")</f>
        <v/>
      </c>
      <c r="Q203" s="26">
        <f>IFERROR(IF($F$8="","",IF($K$5+ROW()-26&gt;$K$6,"",IF(INDEX('Raw Pressure Data'!$A:$ZZ,$K$5+ROW()-26+$H$8,MATCH($F$8,'Raw Pressure Data'!$1:$1,0))=-999,"",INDEX('Raw Pressure Data'!$A:$ZZ,$K$5+ROW()-26+$H$8,MATCH($F$8,'Raw Pressure Data'!$1:$1,0))+$G$8))),"")</f>
        <v/>
      </c>
      <c r="R203" s="26">
        <f>IFERROR(IF($F$9="","",IF($K$5+ROW()-26&gt;$K$6,"",IF(INDEX('Raw Pressure Data'!$A:$ZZ,$K$5+ROW()-26+$H$9,MATCH($F$9,'Raw Pressure Data'!$1:$1,0))=-999,"",INDEX('Raw Pressure Data'!$A:$ZZ,$K$5+ROW()-26+$H$9,MATCH($F$9,'Raw Pressure Data'!$1:$1,0))+$G$9))),"")</f>
        <v/>
      </c>
      <c r="S203" s="26">
        <f>IFERROR(IF($F$10="","",IF($K$5+ROW()-26&gt;$K$6,"",IF(INDEX('Raw Pressure Data'!$A:$ZZ,$K$5+ROW()-26+$H$10,MATCH($F$10,'Raw Pressure Data'!$1:$1,0))=-999,"",INDEX('Raw Pressure Data'!$A:$ZZ,$K$5+ROW()-26+$H$10,MATCH($F$10,'Raw Pressure Data'!$1:$1,0))+$G$10))),"")</f>
        <v/>
      </c>
      <c r="T203" s="26">
        <f>IFERROR(IF($F$11="","",IF($K$5+ROW()-26&gt;$K$6,"",IF(INDEX('Raw Pressure Data'!$A:$ZZ,$K$5+ROW()-26+$H$11,MATCH($F$11,'Raw Pressure Data'!$1:$1,0))=-999,"",INDEX('Raw Pressure Data'!$A:$ZZ,$K$5+ROW()-26+$H$11,MATCH($F$11,'Raw Pressure Data'!$1:$1,0))+$G$11))),"")</f>
        <v/>
      </c>
      <c r="U203" s="26">
        <f>IFERROR(IF($F$12="","",IF($K$5+ROW()-26&gt;$K$6,"",IF(INDEX('Raw Pressure Data'!$A:$ZZ,$K$5+ROW()-26+$H$12,MATCH($F$12,'Raw Pressure Data'!$1:$1,0))=-999,"",INDEX('Raw Pressure Data'!$A:$ZZ,$K$5+ROW()-26+$H$12,MATCH($F$12,'Raw Pressure Data'!$1:$1,0))+$G$12))),"")</f>
        <v/>
      </c>
      <c r="V203" s="26">
        <f>IFERROR(IF($F$13="","",IF($K$5+ROW()-26&gt;$K$6,"",IF(INDEX('Raw Pressure Data'!$A:$ZZ,$K$5+ROW()-26+$H$13,MATCH($F$13,'Raw Pressure Data'!$1:$1,0))=-999,"",INDEX('Raw Pressure Data'!$A:$ZZ,$K$5+ROW()-26+$H$13,MATCH($F$13,'Raw Pressure Data'!$1:$1,0))+$G$13))),"")</f>
        <v/>
      </c>
      <c r="W203" s="26">
        <f>IFERROR(IF($F$14="","",IF($K$5+ROW()-26&gt;$K$6,"",IF(INDEX('Raw Pressure Data'!$A:$ZZ,$K$5+ROW()-26+$H$14,MATCH($F$14,'Raw Pressure Data'!$1:$1,0))=-999,"",INDEX('Raw Pressure Data'!$A:$ZZ,$K$5+ROW()-26+$H$14,MATCH($F$14,'Raw Pressure Data'!$1:$1,0))+$G$14))),"")</f>
        <v/>
      </c>
      <c r="X203" s="26">
        <f>IFERROR(IF($F$15="","",IF($K$5+ROW()-26&gt;$K$6,"",IF(INDEX('Raw Pressure Data'!$A:$ZZ,$K$5+ROW()-26+$H$15,MATCH($F$15,'Raw Pressure Data'!$1:$1,0))=-999,"",INDEX('Raw Pressure Data'!$A:$ZZ,$K$5+ROW()-26+$H$15,MATCH($F$15,'Raw Pressure Data'!$1:$1,0))+$G$15))),"")</f>
        <v/>
      </c>
      <c r="Y203" s="26">
        <f>IFERROR(IF($F$16="","",IF($K$5+ROW()-26&gt;$K$6,"",IF(INDEX('Raw Pressure Data'!$A:$ZZ,$K$5+ROW()-26+$H$16,MATCH($F$16,'Raw Pressure Data'!$1:$1,0))=-999,"",INDEX('Raw Pressure Data'!$A:$ZZ,$K$5+ROW()-26+$H$16,MATCH($F$16,'Raw Pressure Data'!$1:$1,0))+$G$16))),"")</f>
        <v/>
      </c>
      <c r="Z203" s="26">
        <f>IFERROR(IF($F$17="","",IF($K$5+ROW()-26&gt;$K$6,"",IF(INDEX('Raw Pressure Data'!$A:$ZZ,$K$5+ROW()-26+$H$17,MATCH($F$17,'Raw Pressure Data'!$1:$1,0))=-999,"",INDEX('Raw Pressure Data'!$A:$ZZ,$K$5+ROW()-26+$H$17,MATCH($F$17,'Raw Pressure Data'!$1:$1,0))+$G$17))),"")</f>
        <v/>
      </c>
      <c r="AA203" s="26">
        <f>IFERROR(IF($F$18="","",IF($K$5+ROW()-26&gt;$K$6,"",IF(INDEX('Raw Pressure Data'!$A:$ZZ,$K$5+ROW()-26+$H$18,MATCH($F$18,'Raw Pressure Data'!$1:$1,0))=-999,"",INDEX('Raw Pressure Data'!$A:$ZZ,$K$5+ROW()-26+$H$18,MATCH($F$18,'Raw Pressure Data'!$1:$1,0))+$G$18))),"")</f>
        <v/>
      </c>
      <c r="AB203" s="26">
        <f>IFERROR(IF($F$19="","",IF($K$5+ROW()-26&gt;$K$6,"",IF(INDEX('Raw Pressure Data'!$A:$ZZ,$K$5+ROW()-26+$H$19,MATCH($F$19,'Raw Pressure Data'!$1:$1,0))=-999,"",INDEX('Raw Pressure Data'!$A:$ZZ,$K$5+ROW()-26+$H$19,MATCH($F$19,'Raw Pressure Data'!$1:$1,0))+$G$19))),"")</f>
        <v/>
      </c>
      <c r="AC203" s="26">
        <f>IFERROR(IF($F$20="","",IF($K$5+ROW()-26&gt;$K$6,"",IF(INDEX('Raw Pressure Data'!$A:$ZZ,$K$5+ROW()-26+$H$20,MATCH($F$20,'Raw Pressure Data'!$1:$1,0))=-999,"",INDEX('Raw Pressure Data'!$A:$ZZ,$K$5+ROW()-26+$H$20,MATCH($F$20,'Raw Pressure Data'!$1:$1,0))+$G$20))),"")</f>
        <v/>
      </c>
      <c r="AD203" s="26">
        <f>IFERROR(IF($F$21="","",IF($K$5+ROW()-26&gt;$K$6,"",IF(INDEX('Raw Pressure Data'!$A:$ZZ,$K$5+ROW()-26+$H$21,MATCH($F$21,'Raw Pressure Data'!$1:$1,0))=-999,"",INDEX('Raw Pressure Data'!$A:$ZZ,$K$5+ROW()-26+$H$21,MATCH($F$21,'Raw Pressure Data'!$1:$1,0))+$G$21))),"")</f>
        <v/>
      </c>
      <c r="AE203" s="26">
        <f>IFERROR(IF($F$22="","",IF($K$5+ROW()-26&gt;$K$6,"",IF(INDEX('Raw Pressure Data'!$A:$ZZ,$K$5+ROW()-26+$H$22,MATCH($F$22,'Raw Pressure Data'!$1:$1,0))=-999,"",INDEX('Raw Pressure Data'!$A:$ZZ,$K$5+ROW()-26+$H$22,MATCH($F$22,'Raw Pressure Data'!$1:$1,0))+$G$22))),"")</f>
        <v/>
      </c>
    </row>
    <row r="204" ht="15" customHeight="1">
      <c r="A204" s="23">
        <f>IFERROR(IF($K$5+ROW()-26&gt;$K$6,"",IF(INDEX('Raw Flow Data'!$A:$A,$K$5+ROW()-26)="","",INDEX('Raw Flow Data'!$A:$A,$K$5+ROW()-26))),"")</f>
        <v/>
      </c>
      <c r="B204" s="24">
        <f>IFERROR(IF($B$3="","",IF($K$5+ROW()-26&gt;$K$6,"",IF(INDEX('Raw Flow Data'!$A:$ZZ,$K$5+ROW()-26+$D$3,MATCH($B$3,'Raw Flow Data'!$1:$1,0))=-999,"",INDEX('Raw Flow Data'!$A:$ZZ,$K$5+ROW()-26+$D$3,MATCH($B$3,'Raw Flow Data'!$1:$1,0))*$C$3))),"")</f>
        <v/>
      </c>
      <c r="C204" s="24">
        <f>IFERROR(IF($B$4="","",IF($K$5+ROW()-26&gt;$K$6,"",IF(INDEX('Raw Flow Data'!$A:$ZZ,$K$5+ROW()-26+$D$4,MATCH($B$4,'Raw Flow Data'!$1:$1,0))=-999,"",INDEX('Raw Flow Data'!$A:$ZZ,$K$5+ROW()-26+$D$4,MATCH($B$4,'Raw Flow Data'!$1:$1,0))*$C$4))),"")</f>
        <v/>
      </c>
      <c r="D204" s="24">
        <f>IFERROR(IF($B$5="","",IF($K$5+ROW()-26&gt;$K$6,"",IF(INDEX('Raw Flow Data'!$A:$ZZ,$K$5+ROW()-26+$D$5,MATCH($B$5,'Raw Flow Data'!$1:$1,0))=-999,"",INDEX('Raw Flow Data'!$A:$ZZ,$K$5+ROW()-26+$D$5,MATCH($B$5,'Raw Flow Data'!$1:$1,0))*$C$5))),"")</f>
        <v/>
      </c>
      <c r="E204" s="24">
        <f>IFERROR(IF($B$6="","",IF($K$5+ROW()-26&gt;$K$6,"",IF(INDEX('Raw Flow Data'!$A:$ZZ,$K$5+ROW()-26+$D$6,MATCH($B$6,'Raw Flow Data'!$1:$1,0))=-999,"",INDEX('Raw Flow Data'!$A:$ZZ,$K$5+ROW()-26+$D$6,MATCH($B$6,'Raw Flow Data'!$1:$1,0))*$C$6))),"")</f>
        <v/>
      </c>
      <c r="F204" s="24">
        <f>IFERROR(IF($B$7="","",IF($K$5+ROW()-26&gt;$K$6,"",IF(INDEX('Raw Flow Data'!$A:$ZZ,$K$5+ROW()-26+$D$7,MATCH($B$7,'Raw Flow Data'!$1:$1,0))=-999,"",INDEX('Raw Flow Data'!$A:$ZZ,$K$5+ROW()-26+$D$7,MATCH($B$7,'Raw Flow Data'!$1:$1,0))*$C$7))),"")</f>
        <v/>
      </c>
      <c r="G204" s="24">
        <f>IFERROR(IF($B$8="","",IF($K$5+ROW()-26&gt;$K$6,"",IF(INDEX('Raw Flow Data'!$A:$ZZ,$K$5+ROW()-26+$D$8,MATCH($B$8,'Raw Flow Data'!$1:$1,0))=-999,"",INDEX('Raw Flow Data'!$A:$ZZ,$K$5+ROW()-26+$D$8,MATCH($B$8,'Raw Flow Data'!$1:$1,0))*$C$8))),"")</f>
        <v/>
      </c>
      <c r="H204" s="24">
        <f>IFERROR(IF($B$9="","",IF($K$5+ROW()-26&gt;$K$6,"",IF(INDEX('Raw Flow Data'!$A:$ZZ,$K$5+ROW()-26+$D$9,MATCH($B$9,'Raw Flow Data'!$1:$1,0))=-999,"",INDEX('Raw Flow Data'!$A:$ZZ,$K$5+ROW()-26+$D$9,MATCH($B$9,'Raw Flow Data'!$1:$1,0))*$C$9))),"")</f>
        <v/>
      </c>
      <c r="I204" s="24">
        <f>IFERROR(IF($B$10="","",IF($K$5+ROW()-26&gt;$K$6,"",IF(INDEX('Raw Flow Data'!$A:$ZZ,$K$5+ROW()-26+$D$10,MATCH($B$10,'Raw Flow Data'!$1:$1,0))=-999,"",INDEX('Raw Flow Data'!$A:$ZZ,$K$5+ROW()-26+$D$10,MATCH($B$10,'Raw Flow Data'!$1:$1,0))*$C$10))),"")</f>
        <v/>
      </c>
      <c r="J204" s="24">
        <f>IFERROR(IF($B$11="","",IF($K$5+ROW()-26&gt;$K$6,"",IF(INDEX('Raw Flow Data'!$A:$ZZ,$K$5+ROW()-26+$D$11,MATCH($B$11,'Raw Flow Data'!$1:$1,0))=-999,"",INDEX('Raw Flow Data'!$A:$ZZ,$K$5+ROW()-26+$D$11,MATCH($B$11,'Raw Flow Data'!$1:$1,0))*$C$11))),"")</f>
        <v/>
      </c>
      <c r="K204" s="24">
        <f>IFERROR(IF($B$12="","",IF($K$5+ROW()-26&gt;$K$6,"",IF(INDEX('Raw Flow Data'!$A:$ZZ,$K$5+ROW()-26+$D$12,MATCH($B$12,'Raw Flow Data'!$1:$1,0))=-999,"",INDEX('Raw Flow Data'!$A:$ZZ,$K$5+ROW()-26+$D$12,MATCH($B$12,'Raw Flow Data'!$1:$1,0))*$C$12))),"")</f>
        <v/>
      </c>
      <c r="L204" s="24">
        <f>IFERROR(IF($F$3="","",IF($K$5+ROW()-26&gt;$K$6,"",IF(INDEX('Raw Pressure Data'!$A:$ZZ,$K$5+ROW()-26+$H$3,MATCH($F$3,'Raw Pressure Data'!$1:$1,0))=-999,"",INDEX('Raw Pressure Data'!$A:$ZZ,$K$5+ROW()-26+$H$3,MATCH($F$3,'Raw Pressure Data'!$1:$1,0))+$G$3))),"")</f>
        <v/>
      </c>
      <c r="M204" s="24">
        <f>IFERROR(IF($F$4="","",IF($K$5+ROW()-26&gt;$K$6,"",IF(INDEX('Raw Pressure Data'!$A:$ZZ,$K$5+ROW()-26+$H$4,MATCH($F$4,'Raw Pressure Data'!$1:$1,0))=-999,"",INDEX('Raw Pressure Data'!$A:$ZZ,$K$5+ROW()-26+$H$4,MATCH($F$4,'Raw Pressure Data'!$1:$1,0))+$G$4))),"")</f>
        <v/>
      </c>
      <c r="N204" s="24">
        <f>IFERROR(IF($F$5="","",IF($K$5+ROW()-26&gt;$K$6,"",IF(INDEX('Raw Pressure Data'!$A:$ZZ,$K$5+ROW()-26+$H$5,MATCH($F$5,'Raw Pressure Data'!$1:$1,0))=-999,"",INDEX('Raw Pressure Data'!$A:$ZZ,$K$5+ROW()-26+$H$5,MATCH($F$5,'Raw Pressure Data'!$1:$1,0))+$G$5))),"")</f>
        <v/>
      </c>
      <c r="O204" s="24">
        <f>IFERROR(IF($F$6="","",IF($K$5+ROW()-26&gt;$K$6,"",IF(INDEX('Raw Pressure Data'!$A:$ZZ,$K$5+ROW()-26+$H$6,MATCH($F$6,'Raw Pressure Data'!$1:$1,0))=-999,"",INDEX('Raw Pressure Data'!$A:$ZZ,$K$5+ROW()-26+$H$6,MATCH($F$6,'Raw Pressure Data'!$1:$1,0))+$G$6))),"")</f>
        <v/>
      </c>
      <c r="P204" s="24">
        <f>IFERROR(IF($F$7="","",IF($K$5+ROW()-26&gt;$K$6,"",IF(INDEX('Raw Pressure Data'!$A:$ZZ,$K$5+ROW()-26+$H$7,MATCH($F$7,'Raw Pressure Data'!$1:$1,0))=-999,"",INDEX('Raw Pressure Data'!$A:$ZZ,$K$5+ROW()-26+$H$7,MATCH($F$7,'Raw Pressure Data'!$1:$1,0))+$G$7))),"")</f>
        <v/>
      </c>
      <c r="Q204" s="24">
        <f>IFERROR(IF($F$8="","",IF($K$5+ROW()-26&gt;$K$6,"",IF(INDEX('Raw Pressure Data'!$A:$ZZ,$K$5+ROW()-26+$H$8,MATCH($F$8,'Raw Pressure Data'!$1:$1,0))=-999,"",INDEX('Raw Pressure Data'!$A:$ZZ,$K$5+ROW()-26+$H$8,MATCH($F$8,'Raw Pressure Data'!$1:$1,0))+$G$8))),"")</f>
        <v/>
      </c>
      <c r="R204" s="24">
        <f>IFERROR(IF($F$9="","",IF($K$5+ROW()-26&gt;$K$6,"",IF(INDEX('Raw Pressure Data'!$A:$ZZ,$K$5+ROW()-26+$H$9,MATCH($F$9,'Raw Pressure Data'!$1:$1,0))=-999,"",INDEX('Raw Pressure Data'!$A:$ZZ,$K$5+ROW()-26+$H$9,MATCH($F$9,'Raw Pressure Data'!$1:$1,0))+$G$9))),"")</f>
        <v/>
      </c>
      <c r="S204" s="24">
        <f>IFERROR(IF($F$10="","",IF($K$5+ROW()-26&gt;$K$6,"",IF(INDEX('Raw Pressure Data'!$A:$ZZ,$K$5+ROW()-26+$H$10,MATCH($F$10,'Raw Pressure Data'!$1:$1,0))=-999,"",INDEX('Raw Pressure Data'!$A:$ZZ,$K$5+ROW()-26+$H$10,MATCH($F$10,'Raw Pressure Data'!$1:$1,0))+$G$10))),"")</f>
        <v/>
      </c>
      <c r="T204" s="24">
        <f>IFERROR(IF($F$11="","",IF($K$5+ROW()-26&gt;$K$6,"",IF(INDEX('Raw Pressure Data'!$A:$ZZ,$K$5+ROW()-26+$H$11,MATCH($F$11,'Raw Pressure Data'!$1:$1,0))=-999,"",INDEX('Raw Pressure Data'!$A:$ZZ,$K$5+ROW()-26+$H$11,MATCH($F$11,'Raw Pressure Data'!$1:$1,0))+$G$11))),"")</f>
        <v/>
      </c>
      <c r="U204" s="24">
        <f>IFERROR(IF($F$12="","",IF($K$5+ROW()-26&gt;$K$6,"",IF(INDEX('Raw Pressure Data'!$A:$ZZ,$K$5+ROW()-26+$H$12,MATCH($F$12,'Raw Pressure Data'!$1:$1,0))=-999,"",INDEX('Raw Pressure Data'!$A:$ZZ,$K$5+ROW()-26+$H$12,MATCH($F$12,'Raw Pressure Data'!$1:$1,0))+$G$12))),"")</f>
        <v/>
      </c>
      <c r="V204" s="24">
        <f>IFERROR(IF($F$13="","",IF($K$5+ROW()-26&gt;$K$6,"",IF(INDEX('Raw Pressure Data'!$A:$ZZ,$K$5+ROW()-26+$H$13,MATCH($F$13,'Raw Pressure Data'!$1:$1,0))=-999,"",INDEX('Raw Pressure Data'!$A:$ZZ,$K$5+ROW()-26+$H$13,MATCH($F$13,'Raw Pressure Data'!$1:$1,0))+$G$13))),"")</f>
        <v/>
      </c>
      <c r="W204" s="24">
        <f>IFERROR(IF($F$14="","",IF($K$5+ROW()-26&gt;$K$6,"",IF(INDEX('Raw Pressure Data'!$A:$ZZ,$K$5+ROW()-26+$H$14,MATCH($F$14,'Raw Pressure Data'!$1:$1,0))=-999,"",INDEX('Raw Pressure Data'!$A:$ZZ,$K$5+ROW()-26+$H$14,MATCH($F$14,'Raw Pressure Data'!$1:$1,0))+$G$14))),"")</f>
        <v/>
      </c>
      <c r="X204" s="24">
        <f>IFERROR(IF($F$15="","",IF($K$5+ROW()-26&gt;$K$6,"",IF(INDEX('Raw Pressure Data'!$A:$ZZ,$K$5+ROW()-26+$H$15,MATCH($F$15,'Raw Pressure Data'!$1:$1,0))=-999,"",INDEX('Raw Pressure Data'!$A:$ZZ,$K$5+ROW()-26+$H$15,MATCH($F$15,'Raw Pressure Data'!$1:$1,0))+$G$15))),"")</f>
        <v/>
      </c>
      <c r="Y204" s="24">
        <f>IFERROR(IF($F$16="","",IF($K$5+ROW()-26&gt;$K$6,"",IF(INDEX('Raw Pressure Data'!$A:$ZZ,$K$5+ROW()-26+$H$16,MATCH($F$16,'Raw Pressure Data'!$1:$1,0))=-999,"",INDEX('Raw Pressure Data'!$A:$ZZ,$K$5+ROW()-26+$H$16,MATCH($F$16,'Raw Pressure Data'!$1:$1,0))+$G$16))),"")</f>
        <v/>
      </c>
      <c r="Z204" s="24">
        <f>IFERROR(IF($F$17="","",IF($K$5+ROW()-26&gt;$K$6,"",IF(INDEX('Raw Pressure Data'!$A:$ZZ,$K$5+ROW()-26+$H$17,MATCH($F$17,'Raw Pressure Data'!$1:$1,0))=-999,"",INDEX('Raw Pressure Data'!$A:$ZZ,$K$5+ROW()-26+$H$17,MATCH($F$17,'Raw Pressure Data'!$1:$1,0))+$G$17))),"")</f>
        <v/>
      </c>
      <c r="AA204" s="24">
        <f>IFERROR(IF($F$18="","",IF($K$5+ROW()-26&gt;$K$6,"",IF(INDEX('Raw Pressure Data'!$A:$ZZ,$K$5+ROW()-26+$H$18,MATCH($F$18,'Raw Pressure Data'!$1:$1,0))=-999,"",INDEX('Raw Pressure Data'!$A:$ZZ,$K$5+ROW()-26+$H$18,MATCH($F$18,'Raw Pressure Data'!$1:$1,0))+$G$18))),"")</f>
        <v/>
      </c>
      <c r="AB204" s="24">
        <f>IFERROR(IF($F$19="","",IF($K$5+ROW()-26&gt;$K$6,"",IF(INDEX('Raw Pressure Data'!$A:$ZZ,$K$5+ROW()-26+$H$19,MATCH($F$19,'Raw Pressure Data'!$1:$1,0))=-999,"",INDEX('Raw Pressure Data'!$A:$ZZ,$K$5+ROW()-26+$H$19,MATCH($F$19,'Raw Pressure Data'!$1:$1,0))+$G$19))),"")</f>
        <v/>
      </c>
      <c r="AC204" s="24">
        <f>IFERROR(IF($F$20="","",IF($K$5+ROW()-26&gt;$K$6,"",IF(INDEX('Raw Pressure Data'!$A:$ZZ,$K$5+ROW()-26+$H$20,MATCH($F$20,'Raw Pressure Data'!$1:$1,0))=-999,"",INDEX('Raw Pressure Data'!$A:$ZZ,$K$5+ROW()-26+$H$20,MATCH($F$20,'Raw Pressure Data'!$1:$1,0))+$G$20))),"")</f>
        <v/>
      </c>
      <c r="AD204" s="24">
        <f>IFERROR(IF($F$21="","",IF($K$5+ROW()-26&gt;$K$6,"",IF(INDEX('Raw Pressure Data'!$A:$ZZ,$K$5+ROW()-26+$H$21,MATCH($F$21,'Raw Pressure Data'!$1:$1,0))=-999,"",INDEX('Raw Pressure Data'!$A:$ZZ,$K$5+ROW()-26+$H$21,MATCH($F$21,'Raw Pressure Data'!$1:$1,0))+$G$21))),"")</f>
        <v/>
      </c>
      <c r="AE204" s="24">
        <f>IFERROR(IF($F$22="","",IF($K$5+ROW()-26&gt;$K$6,"",IF(INDEX('Raw Pressure Data'!$A:$ZZ,$K$5+ROW()-26+$H$22,MATCH($F$22,'Raw Pressure Data'!$1:$1,0))=-999,"",INDEX('Raw Pressure Data'!$A:$ZZ,$K$5+ROW()-26+$H$22,MATCH($F$22,'Raw Pressure Data'!$1:$1,0))+$G$22))),"")</f>
        <v/>
      </c>
    </row>
    <row r="205" ht="15" customHeight="1">
      <c r="A205" s="25">
        <f>IFERROR(IF($K$5+ROW()-26&gt;$K$6,"",IF(INDEX('Raw Flow Data'!$A:$A,$K$5+ROW()-26)="","",INDEX('Raw Flow Data'!$A:$A,$K$5+ROW()-26))),"")</f>
        <v/>
      </c>
      <c r="B205" s="26">
        <f>IFERROR(IF($B$3="","",IF($K$5+ROW()-26&gt;$K$6,"",IF(INDEX('Raw Flow Data'!$A:$ZZ,$K$5+ROW()-26+$D$3,MATCH($B$3,'Raw Flow Data'!$1:$1,0))=-999,"",INDEX('Raw Flow Data'!$A:$ZZ,$K$5+ROW()-26+$D$3,MATCH($B$3,'Raw Flow Data'!$1:$1,0))*$C$3))),"")</f>
        <v/>
      </c>
      <c r="C205" s="26">
        <f>IFERROR(IF($B$4="","",IF($K$5+ROW()-26&gt;$K$6,"",IF(INDEX('Raw Flow Data'!$A:$ZZ,$K$5+ROW()-26+$D$4,MATCH($B$4,'Raw Flow Data'!$1:$1,0))=-999,"",INDEX('Raw Flow Data'!$A:$ZZ,$K$5+ROW()-26+$D$4,MATCH($B$4,'Raw Flow Data'!$1:$1,0))*$C$4))),"")</f>
        <v/>
      </c>
      <c r="D205" s="26">
        <f>IFERROR(IF($B$5="","",IF($K$5+ROW()-26&gt;$K$6,"",IF(INDEX('Raw Flow Data'!$A:$ZZ,$K$5+ROW()-26+$D$5,MATCH($B$5,'Raw Flow Data'!$1:$1,0))=-999,"",INDEX('Raw Flow Data'!$A:$ZZ,$K$5+ROW()-26+$D$5,MATCH($B$5,'Raw Flow Data'!$1:$1,0))*$C$5))),"")</f>
        <v/>
      </c>
      <c r="E205" s="26">
        <f>IFERROR(IF($B$6="","",IF($K$5+ROW()-26&gt;$K$6,"",IF(INDEX('Raw Flow Data'!$A:$ZZ,$K$5+ROW()-26+$D$6,MATCH($B$6,'Raw Flow Data'!$1:$1,0))=-999,"",INDEX('Raw Flow Data'!$A:$ZZ,$K$5+ROW()-26+$D$6,MATCH($B$6,'Raw Flow Data'!$1:$1,0))*$C$6))),"")</f>
        <v/>
      </c>
      <c r="F205" s="26">
        <f>IFERROR(IF($B$7="","",IF($K$5+ROW()-26&gt;$K$6,"",IF(INDEX('Raw Flow Data'!$A:$ZZ,$K$5+ROW()-26+$D$7,MATCH($B$7,'Raw Flow Data'!$1:$1,0))=-999,"",INDEX('Raw Flow Data'!$A:$ZZ,$K$5+ROW()-26+$D$7,MATCH($B$7,'Raw Flow Data'!$1:$1,0))*$C$7))),"")</f>
        <v/>
      </c>
      <c r="G205" s="26">
        <f>IFERROR(IF($B$8="","",IF($K$5+ROW()-26&gt;$K$6,"",IF(INDEX('Raw Flow Data'!$A:$ZZ,$K$5+ROW()-26+$D$8,MATCH($B$8,'Raw Flow Data'!$1:$1,0))=-999,"",INDEX('Raw Flow Data'!$A:$ZZ,$K$5+ROW()-26+$D$8,MATCH($B$8,'Raw Flow Data'!$1:$1,0))*$C$8))),"")</f>
        <v/>
      </c>
      <c r="H205" s="26">
        <f>IFERROR(IF($B$9="","",IF($K$5+ROW()-26&gt;$K$6,"",IF(INDEX('Raw Flow Data'!$A:$ZZ,$K$5+ROW()-26+$D$9,MATCH($B$9,'Raw Flow Data'!$1:$1,0))=-999,"",INDEX('Raw Flow Data'!$A:$ZZ,$K$5+ROW()-26+$D$9,MATCH($B$9,'Raw Flow Data'!$1:$1,0))*$C$9))),"")</f>
        <v/>
      </c>
      <c r="I205" s="26">
        <f>IFERROR(IF($B$10="","",IF($K$5+ROW()-26&gt;$K$6,"",IF(INDEX('Raw Flow Data'!$A:$ZZ,$K$5+ROW()-26+$D$10,MATCH($B$10,'Raw Flow Data'!$1:$1,0))=-999,"",INDEX('Raw Flow Data'!$A:$ZZ,$K$5+ROW()-26+$D$10,MATCH($B$10,'Raw Flow Data'!$1:$1,0))*$C$10))),"")</f>
        <v/>
      </c>
      <c r="J205" s="26">
        <f>IFERROR(IF($B$11="","",IF($K$5+ROW()-26&gt;$K$6,"",IF(INDEX('Raw Flow Data'!$A:$ZZ,$K$5+ROW()-26+$D$11,MATCH($B$11,'Raw Flow Data'!$1:$1,0))=-999,"",INDEX('Raw Flow Data'!$A:$ZZ,$K$5+ROW()-26+$D$11,MATCH($B$11,'Raw Flow Data'!$1:$1,0))*$C$11))),"")</f>
        <v/>
      </c>
      <c r="K205" s="26">
        <f>IFERROR(IF($B$12="","",IF($K$5+ROW()-26&gt;$K$6,"",IF(INDEX('Raw Flow Data'!$A:$ZZ,$K$5+ROW()-26+$D$12,MATCH($B$12,'Raw Flow Data'!$1:$1,0))=-999,"",INDEX('Raw Flow Data'!$A:$ZZ,$K$5+ROW()-26+$D$12,MATCH($B$12,'Raw Flow Data'!$1:$1,0))*$C$12))),"")</f>
        <v/>
      </c>
      <c r="L205" s="26">
        <f>IFERROR(IF($F$3="","",IF($K$5+ROW()-26&gt;$K$6,"",IF(INDEX('Raw Pressure Data'!$A:$ZZ,$K$5+ROW()-26+$H$3,MATCH($F$3,'Raw Pressure Data'!$1:$1,0))=-999,"",INDEX('Raw Pressure Data'!$A:$ZZ,$K$5+ROW()-26+$H$3,MATCH($F$3,'Raw Pressure Data'!$1:$1,0))+$G$3))),"")</f>
        <v/>
      </c>
      <c r="M205" s="26">
        <f>IFERROR(IF($F$4="","",IF($K$5+ROW()-26&gt;$K$6,"",IF(INDEX('Raw Pressure Data'!$A:$ZZ,$K$5+ROW()-26+$H$4,MATCH($F$4,'Raw Pressure Data'!$1:$1,0))=-999,"",INDEX('Raw Pressure Data'!$A:$ZZ,$K$5+ROW()-26+$H$4,MATCH($F$4,'Raw Pressure Data'!$1:$1,0))+$G$4))),"")</f>
        <v/>
      </c>
      <c r="N205" s="26">
        <f>IFERROR(IF($F$5="","",IF($K$5+ROW()-26&gt;$K$6,"",IF(INDEX('Raw Pressure Data'!$A:$ZZ,$K$5+ROW()-26+$H$5,MATCH($F$5,'Raw Pressure Data'!$1:$1,0))=-999,"",INDEX('Raw Pressure Data'!$A:$ZZ,$K$5+ROW()-26+$H$5,MATCH($F$5,'Raw Pressure Data'!$1:$1,0))+$G$5))),"")</f>
        <v/>
      </c>
      <c r="O205" s="26">
        <f>IFERROR(IF($F$6="","",IF($K$5+ROW()-26&gt;$K$6,"",IF(INDEX('Raw Pressure Data'!$A:$ZZ,$K$5+ROW()-26+$H$6,MATCH($F$6,'Raw Pressure Data'!$1:$1,0))=-999,"",INDEX('Raw Pressure Data'!$A:$ZZ,$K$5+ROW()-26+$H$6,MATCH($F$6,'Raw Pressure Data'!$1:$1,0))+$G$6))),"")</f>
        <v/>
      </c>
      <c r="P205" s="26">
        <f>IFERROR(IF($F$7="","",IF($K$5+ROW()-26&gt;$K$6,"",IF(INDEX('Raw Pressure Data'!$A:$ZZ,$K$5+ROW()-26+$H$7,MATCH($F$7,'Raw Pressure Data'!$1:$1,0))=-999,"",INDEX('Raw Pressure Data'!$A:$ZZ,$K$5+ROW()-26+$H$7,MATCH($F$7,'Raw Pressure Data'!$1:$1,0))+$G$7))),"")</f>
        <v/>
      </c>
      <c r="Q205" s="26">
        <f>IFERROR(IF($F$8="","",IF($K$5+ROW()-26&gt;$K$6,"",IF(INDEX('Raw Pressure Data'!$A:$ZZ,$K$5+ROW()-26+$H$8,MATCH($F$8,'Raw Pressure Data'!$1:$1,0))=-999,"",INDEX('Raw Pressure Data'!$A:$ZZ,$K$5+ROW()-26+$H$8,MATCH($F$8,'Raw Pressure Data'!$1:$1,0))+$G$8))),"")</f>
        <v/>
      </c>
      <c r="R205" s="26">
        <f>IFERROR(IF($F$9="","",IF($K$5+ROW()-26&gt;$K$6,"",IF(INDEX('Raw Pressure Data'!$A:$ZZ,$K$5+ROW()-26+$H$9,MATCH($F$9,'Raw Pressure Data'!$1:$1,0))=-999,"",INDEX('Raw Pressure Data'!$A:$ZZ,$K$5+ROW()-26+$H$9,MATCH($F$9,'Raw Pressure Data'!$1:$1,0))+$G$9))),"")</f>
        <v/>
      </c>
      <c r="S205" s="26">
        <f>IFERROR(IF($F$10="","",IF($K$5+ROW()-26&gt;$K$6,"",IF(INDEX('Raw Pressure Data'!$A:$ZZ,$K$5+ROW()-26+$H$10,MATCH($F$10,'Raw Pressure Data'!$1:$1,0))=-999,"",INDEX('Raw Pressure Data'!$A:$ZZ,$K$5+ROW()-26+$H$10,MATCH($F$10,'Raw Pressure Data'!$1:$1,0))+$G$10))),"")</f>
        <v/>
      </c>
      <c r="T205" s="26">
        <f>IFERROR(IF($F$11="","",IF($K$5+ROW()-26&gt;$K$6,"",IF(INDEX('Raw Pressure Data'!$A:$ZZ,$K$5+ROW()-26+$H$11,MATCH($F$11,'Raw Pressure Data'!$1:$1,0))=-999,"",INDEX('Raw Pressure Data'!$A:$ZZ,$K$5+ROW()-26+$H$11,MATCH($F$11,'Raw Pressure Data'!$1:$1,0))+$G$11))),"")</f>
        <v/>
      </c>
      <c r="U205" s="26">
        <f>IFERROR(IF($F$12="","",IF($K$5+ROW()-26&gt;$K$6,"",IF(INDEX('Raw Pressure Data'!$A:$ZZ,$K$5+ROW()-26+$H$12,MATCH($F$12,'Raw Pressure Data'!$1:$1,0))=-999,"",INDEX('Raw Pressure Data'!$A:$ZZ,$K$5+ROW()-26+$H$12,MATCH($F$12,'Raw Pressure Data'!$1:$1,0))+$G$12))),"")</f>
        <v/>
      </c>
      <c r="V205" s="26">
        <f>IFERROR(IF($F$13="","",IF($K$5+ROW()-26&gt;$K$6,"",IF(INDEX('Raw Pressure Data'!$A:$ZZ,$K$5+ROW()-26+$H$13,MATCH($F$13,'Raw Pressure Data'!$1:$1,0))=-999,"",INDEX('Raw Pressure Data'!$A:$ZZ,$K$5+ROW()-26+$H$13,MATCH($F$13,'Raw Pressure Data'!$1:$1,0))+$G$13))),"")</f>
        <v/>
      </c>
      <c r="W205" s="26">
        <f>IFERROR(IF($F$14="","",IF($K$5+ROW()-26&gt;$K$6,"",IF(INDEX('Raw Pressure Data'!$A:$ZZ,$K$5+ROW()-26+$H$14,MATCH($F$14,'Raw Pressure Data'!$1:$1,0))=-999,"",INDEX('Raw Pressure Data'!$A:$ZZ,$K$5+ROW()-26+$H$14,MATCH($F$14,'Raw Pressure Data'!$1:$1,0))+$G$14))),"")</f>
        <v/>
      </c>
      <c r="X205" s="26">
        <f>IFERROR(IF($F$15="","",IF($K$5+ROW()-26&gt;$K$6,"",IF(INDEX('Raw Pressure Data'!$A:$ZZ,$K$5+ROW()-26+$H$15,MATCH($F$15,'Raw Pressure Data'!$1:$1,0))=-999,"",INDEX('Raw Pressure Data'!$A:$ZZ,$K$5+ROW()-26+$H$15,MATCH($F$15,'Raw Pressure Data'!$1:$1,0))+$G$15))),"")</f>
        <v/>
      </c>
      <c r="Y205" s="26">
        <f>IFERROR(IF($F$16="","",IF($K$5+ROW()-26&gt;$K$6,"",IF(INDEX('Raw Pressure Data'!$A:$ZZ,$K$5+ROW()-26+$H$16,MATCH($F$16,'Raw Pressure Data'!$1:$1,0))=-999,"",INDEX('Raw Pressure Data'!$A:$ZZ,$K$5+ROW()-26+$H$16,MATCH($F$16,'Raw Pressure Data'!$1:$1,0))+$G$16))),"")</f>
        <v/>
      </c>
      <c r="Z205" s="26">
        <f>IFERROR(IF($F$17="","",IF($K$5+ROW()-26&gt;$K$6,"",IF(INDEX('Raw Pressure Data'!$A:$ZZ,$K$5+ROW()-26+$H$17,MATCH($F$17,'Raw Pressure Data'!$1:$1,0))=-999,"",INDEX('Raw Pressure Data'!$A:$ZZ,$K$5+ROW()-26+$H$17,MATCH($F$17,'Raw Pressure Data'!$1:$1,0))+$G$17))),"")</f>
        <v/>
      </c>
      <c r="AA205" s="26">
        <f>IFERROR(IF($F$18="","",IF($K$5+ROW()-26&gt;$K$6,"",IF(INDEX('Raw Pressure Data'!$A:$ZZ,$K$5+ROW()-26+$H$18,MATCH($F$18,'Raw Pressure Data'!$1:$1,0))=-999,"",INDEX('Raw Pressure Data'!$A:$ZZ,$K$5+ROW()-26+$H$18,MATCH($F$18,'Raw Pressure Data'!$1:$1,0))+$G$18))),"")</f>
        <v/>
      </c>
      <c r="AB205" s="26">
        <f>IFERROR(IF($F$19="","",IF($K$5+ROW()-26&gt;$K$6,"",IF(INDEX('Raw Pressure Data'!$A:$ZZ,$K$5+ROW()-26+$H$19,MATCH($F$19,'Raw Pressure Data'!$1:$1,0))=-999,"",INDEX('Raw Pressure Data'!$A:$ZZ,$K$5+ROW()-26+$H$19,MATCH($F$19,'Raw Pressure Data'!$1:$1,0))+$G$19))),"")</f>
        <v/>
      </c>
      <c r="AC205" s="26">
        <f>IFERROR(IF($F$20="","",IF($K$5+ROW()-26&gt;$K$6,"",IF(INDEX('Raw Pressure Data'!$A:$ZZ,$K$5+ROW()-26+$H$20,MATCH($F$20,'Raw Pressure Data'!$1:$1,0))=-999,"",INDEX('Raw Pressure Data'!$A:$ZZ,$K$5+ROW()-26+$H$20,MATCH($F$20,'Raw Pressure Data'!$1:$1,0))+$G$20))),"")</f>
        <v/>
      </c>
      <c r="AD205" s="26">
        <f>IFERROR(IF($F$21="","",IF($K$5+ROW()-26&gt;$K$6,"",IF(INDEX('Raw Pressure Data'!$A:$ZZ,$K$5+ROW()-26+$H$21,MATCH($F$21,'Raw Pressure Data'!$1:$1,0))=-999,"",INDEX('Raw Pressure Data'!$A:$ZZ,$K$5+ROW()-26+$H$21,MATCH($F$21,'Raw Pressure Data'!$1:$1,0))+$G$21))),"")</f>
        <v/>
      </c>
      <c r="AE205" s="26">
        <f>IFERROR(IF($F$22="","",IF($K$5+ROW()-26&gt;$K$6,"",IF(INDEX('Raw Pressure Data'!$A:$ZZ,$K$5+ROW()-26+$H$22,MATCH($F$22,'Raw Pressure Data'!$1:$1,0))=-999,"",INDEX('Raw Pressure Data'!$A:$ZZ,$K$5+ROW()-26+$H$22,MATCH($F$22,'Raw Pressure Data'!$1:$1,0))+$G$22))),"")</f>
        <v/>
      </c>
    </row>
    <row r="206" ht="15" customHeight="1">
      <c r="A206" s="23">
        <f>IFERROR(IF($K$5+ROW()-26&gt;$K$6,"",IF(INDEX('Raw Flow Data'!$A:$A,$K$5+ROW()-26)="","",INDEX('Raw Flow Data'!$A:$A,$K$5+ROW()-26))),"")</f>
        <v/>
      </c>
      <c r="B206" s="24">
        <f>IFERROR(IF($B$3="","",IF($K$5+ROW()-26&gt;$K$6,"",IF(INDEX('Raw Flow Data'!$A:$ZZ,$K$5+ROW()-26+$D$3,MATCH($B$3,'Raw Flow Data'!$1:$1,0))=-999,"",INDEX('Raw Flow Data'!$A:$ZZ,$K$5+ROW()-26+$D$3,MATCH($B$3,'Raw Flow Data'!$1:$1,0))*$C$3))),"")</f>
        <v/>
      </c>
      <c r="C206" s="24">
        <f>IFERROR(IF($B$4="","",IF($K$5+ROW()-26&gt;$K$6,"",IF(INDEX('Raw Flow Data'!$A:$ZZ,$K$5+ROW()-26+$D$4,MATCH($B$4,'Raw Flow Data'!$1:$1,0))=-999,"",INDEX('Raw Flow Data'!$A:$ZZ,$K$5+ROW()-26+$D$4,MATCH($B$4,'Raw Flow Data'!$1:$1,0))*$C$4))),"")</f>
        <v/>
      </c>
      <c r="D206" s="24">
        <f>IFERROR(IF($B$5="","",IF($K$5+ROW()-26&gt;$K$6,"",IF(INDEX('Raw Flow Data'!$A:$ZZ,$K$5+ROW()-26+$D$5,MATCH($B$5,'Raw Flow Data'!$1:$1,0))=-999,"",INDEX('Raw Flow Data'!$A:$ZZ,$K$5+ROW()-26+$D$5,MATCH($B$5,'Raw Flow Data'!$1:$1,0))*$C$5))),"")</f>
        <v/>
      </c>
      <c r="E206" s="24">
        <f>IFERROR(IF($B$6="","",IF($K$5+ROW()-26&gt;$K$6,"",IF(INDEX('Raw Flow Data'!$A:$ZZ,$K$5+ROW()-26+$D$6,MATCH($B$6,'Raw Flow Data'!$1:$1,0))=-999,"",INDEX('Raw Flow Data'!$A:$ZZ,$K$5+ROW()-26+$D$6,MATCH($B$6,'Raw Flow Data'!$1:$1,0))*$C$6))),"")</f>
        <v/>
      </c>
      <c r="F206" s="24">
        <f>IFERROR(IF($B$7="","",IF($K$5+ROW()-26&gt;$K$6,"",IF(INDEX('Raw Flow Data'!$A:$ZZ,$K$5+ROW()-26+$D$7,MATCH($B$7,'Raw Flow Data'!$1:$1,0))=-999,"",INDEX('Raw Flow Data'!$A:$ZZ,$K$5+ROW()-26+$D$7,MATCH($B$7,'Raw Flow Data'!$1:$1,0))*$C$7))),"")</f>
        <v/>
      </c>
      <c r="G206" s="24">
        <f>IFERROR(IF($B$8="","",IF($K$5+ROW()-26&gt;$K$6,"",IF(INDEX('Raw Flow Data'!$A:$ZZ,$K$5+ROW()-26+$D$8,MATCH($B$8,'Raw Flow Data'!$1:$1,0))=-999,"",INDEX('Raw Flow Data'!$A:$ZZ,$K$5+ROW()-26+$D$8,MATCH($B$8,'Raw Flow Data'!$1:$1,0))*$C$8))),"")</f>
        <v/>
      </c>
      <c r="H206" s="24">
        <f>IFERROR(IF($B$9="","",IF($K$5+ROW()-26&gt;$K$6,"",IF(INDEX('Raw Flow Data'!$A:$ZZ,$K$5+ROW()-26+$D$9,MATCH($B$9,'Raw Flow Data'!$1:$1,0))=-999,"",INDEX('Raw Flow Data'!$A:$ZZ,$K$5+ROW()-26+$D$9,MATCH($B$9,'Raw Flow Data'!$1:$1,0))*$C$9))),"")</f>
        <v/>
      </c>
      <c r="I206" s="24">
        <f>IFERROR(IF($B$10="","",IF($K$5+ROW()-26&gt;$K$6,"",IF(INDEX('Raw Flow Data'!$A:$ZZ,$K$5+ROW()-26+$D$10,MATCH($B$10,'Raw Flow Data'!$1:$1,0))=-999,"",INDEX('Raw Flow Data'!$A:$ZZ,$K$5+ROW()-26+$D$10,MATCH($B$10,'Raw Flow Data'!$1:$1,0))*$C$10))),"")</f>
        <v/>
      </c>
      <c r="J206" s="24">
        <f>IFERROR(IF($B$11="","",IF($K$5+ROW()-26&gt;$K$6,"",IF(INDEX('Raw Flow Data'!$A:$ZZ,$K$5+ROW()-26+$D$11,MATCH($B$11,'Raw Flow Data'!$1:$1,0))=-999,"",INDEX('Raw Flow Data'!$A:$ZZ,$K$5+ROW()-26+$D$11,MATCH($B$11,'Raw Flow Data'!$1:$1,0))*$C$11))),"")</f>
        <v/>
      </c>
      <c r="K206" s="24">
        <f>IFERROR(IF($B$12="","",IF($K$5+ROW()-26&gt;$K$6,"",IF(INDEX('Raw Flow Data'!$A:$ZZ,$K$5+ROW()-26+$D$12,MATCH($B$12,'Raw Flow Data'!$1:$1,0))=-999,"",INDEX('Raw Flow Data'!$A:$ZZ,$K$5+ROW()-26+$D$12,MATCH($B$12,'Raw Flow Data'!$1:$1,0))*$C$12))),"")</f>
        <v/>
      </c>
      <c r="L206" s="24">
        <f>IFERROR(IF($F$3="","",IF($K$5+ROW()-26&gt;$K$6,"",IF(INDEX('Raw Pressure Data'!$A:$ZZ,$K$5+ROW()-26+$H$3,MATCH($F$3,'Raw Pressure Data'!$1:$1,0))=-999,"",INDEX('Raw Pressure Data'!$A:$ZZ,$K$5+ROW()-26+$H$3,MATCH($F$3,'Raw Pressure Data'!$1:$1,0))+$G$3))),"")</f>
        <v/>
      </c>
      <c r="M206" s="24">
        <f>IFERROR(IF($F$4="","",IF($K$5+ROW()-26&gt;$K$6,"",IF(INDEX('Raw Pressure Data'!$A:$ZZ,$K$5+ROW()-26+$H$4,MATCH($F$4,'Raw Pressure Data'!$1:$1,0))=-999,"",INDEX('Raw Pressure Data'!$A:$ZZ,$K$5+ROW()-26+$H$4,MATCH($F$4,'Raw Pressure Data'!$1:$1,0))+$G$4))),"")</f>
        <v/>
      </c>
      <c r="N206" s="24">
        <f>IFERROR(IF($F$5="","",IF($K$5+ROW()-26&gt;$K$6,"",IF(INDEX('Raw Pressure Data'!$A:$ZZ,$K$5+ROW()-26+$H$5,MATCH($F$5,'Raw Pressure Data'!$1:$1,0))=-999,"",INDEX('Raw Pressure Data'!$A:$ZZ,$K$5+ROW()-26+$H$5,MATCH($F$5,'Raw Pressure Data'!$1:$1,0))+$G$5))),"")</f>
        <v/>
      </c>
      <c r="O206" s="24">
        <f>IFERROR(IF($F$6="","",IF($K$5+ROW()-26&gt;$K$6,"",IF(INDEX('Raw Pressure Data'!$A:$ZZ,$K$5+ROW()-26+$H$6,MATCH($F$6,'Raw Pressure Data'!$1:$1,0))=-999,"",INDEX('Raw Pressure Data'!$A:$ZZ,$K$5+ROW()-26+$H$6,MATCH($F$6,'Raw Pressure Data'!$1:$1,0))+$G$6))),"")</f>
        <v/>
      </c>
      <c r="P206" s="24">
        <f>IFERROR(IF($F$7="","",IF($K$5+ROW()-26&gt;$K$6,"",IF(INDEX('Raw Pressure Data'!$A:$ZZ,$K$5+ROW()-26+$H$7,MATCH($F$7,'Raw Pressure Data'!$1:$1,0))=-999,"",INDEX('Raw Pressure Data'!$A:$ZZ,$K$5+ROW()-26+$H$7,MATCH($F$7,'Raw Pressure Data'!$1:$1,0))+$G$7))),"")</f>
        <v/>
      </c>
      <c r="Q206" s="24">
        <f>IFERROR(IF($F$8="","",IF($K$5+ROW()-26&gt;$K$6,"",IF(INDEX('Raw Pressure Data'!$A:$ZZ,$K$5+ROW()-26+$H$8,MATCH($F$8,'Raw Pressure Data'!$1:$1,0))=-999,"",INDEX('Raw Pressure Data'!$A:$ZZ,$K$5+ROW()-26+$H$8,MATCH($F$8,'Raw Pressure Data'!$1:$1,0))+$G$8))),"")</f>
        <v/>
      </c>
      <c r="R206" s="24">
        <f>IFERROR(IF($F$9="","",IF($K$5+ROW()-26&gt;$K$6,"",IF(INDEX('Raw Pressure Data'!$A:$ZZ,$K$5+ROW()-26+$H$9,MATCH($F$9,'Raw Pressure Data'!$1:$1,0))=-999,"",INDEX('Raw Pressure Data'!$A:$ZZ,$K$5+ROW()-26+$H$9,MATCH($F$9,'Raw Pressure Data'!$1:$1,0))+$G$9))),"")</f>
        <v/>
      </c>
      <c r="S206" s="24">
        <f>IFERROR(IF($F$10="","",IF($K$5+ROW()-26&gt;$K$6,"",IF(INDEX('Raw Pressure Data'!$A:$ZZ,$K$5+ROW()-26+$H$10,MATCH($F$10,'Raw Pressure Data'!$1:$1,0))=-999,"",INDEX('Raw Pressure Data'!$A:$ZZ,$K$5+ROW()-26+$H$10,MATCH($F$10,'Raw Pressure Data'!$1:$1,0))+$G$10))),"")</f>
        <v/>
      </c>
      <c r="T206" s="24">
        <f>IFERROR(IF($F$11="","",IF($K$5+ROW()-26&gt;$K$6,"",IF(INDEX('Raw Pressure Data'!$A:$ZZ,$K$5+ROW()-26+$H$11,MATCH($F$11,'Raw Pressure Data'!$1:$1,0))=-999,"",INDEX('Raw Pressure Data'!$A:$ZZ,$K$5+ROW()-26+$H$11,MATCH($F$11,'Raw Pressure Data'!$1:$1,0))+$G$11))),"")</f>
        <v/>
      </c>
      <c r="U206" s="24">
        <f>IFERROR(IF($F$12="","",IF($K$5+ROW()-26&gt;$K$6,"",IF(INDEX('Raw Pressure Data'!$A:$ZZ,$K$5+ROW()-26+$H$12,MATCH($F$12,'Raw Pressure Data'!$1:$1,0))=-999,"",INDEX('Raw Pressure Data'!$A:$ZZ,$K$5+ROW()-26+$H$12,MATCH($F$12,'Raw Pressure Data'!$1:$1,0))+$G$12))),"")</f>
        <v/>
      </c>
      <c r="V206" s="24">
        <f>IFERROR(IF($F$13="","",IF($K$5+ROW()-26&gt;$K$6,"",IF(INDEX('Raw Pressure Data'!$A:$ZZ,$K$5+ROW()-26+$H$13,MATCH($F$13,'Raw Pressure Data'!$1:$1,0))=-999,"",INDEX('Raw Pressure Data'!$A:$ZZ,$K$5+ROW()-26+$H$13,MATCH($F$13,'Raw Pressure Data'!$1:$1,0))+$G$13))),"")</f>
        <v/>
      </c>
      <c r="W206" s="24">
        <f>IFERROR(IF($F$14="","",IF($K$5+ROW()-26&gt;$K$6,"",IF(INDEX('Raw Pressure Data'!$A:$ZZ,$K$5+ROW()-26+$H$14,MATCH($F$14,'Raw Pressure Data'!$1:$1,0))=-999,"",INDEX('Raw Pressure Data'!$A:$ZZ,$K$5+ROW()-26+$H$14,MATCH($F$14,'Raw Pressure Data'!$1:$1,0))+$G$14))),"")</f>
        <v/>
      </c>
      <c r="X206" s="24">
        <f>IFERROR(IF($F$15="","",IF($K$5+ROW()-26&gt;$K$6,"",IF(INDEX('Raw Pressure Data'!$A:$ZZ,$K$5+ROW()-26+$H$15,MATCH($F$15,'Raw Pressure Data'!$1:$1,0))=-999,"",INDEX('Raw Pressure Data'!$A:$ZZ,$K$5+ROW()-26+$H$15,MATCH($F$15,'Raw Pressure Data'!$1:$1,0))+$G$15))),"")</f>
        <v/>
      </c>
      <c r="Y206" s="24">
        <f>IFERROR(IF($F$16="","",IF($K$5+ROW()-26&gt;$K$6,"",IF(INDEX('Raw Pressure Data'!$A:$ZZ,$K$5+ROW()-26+$H$16,MATCH($F$16,'Raw Pressure Data'!$1:$1,0))=-999,"",INDEX('Raw Pressure Data'!$A:$ZZ,$K$5+ROW()-26+$H$16,MATCH($F$16,'Raw Pressure Data'!$1:$1,0))+$G$16))),"")</f>
        <v/>
      </c>
      <c r="Z206" s="24">
        <f>IFERROR(IF($F$17="","",IF($K$5+ROW()-26&gt;$K$6,"",IF(INDEX('Raw Pressure Data'!$A:$ZZ,$K$5+ROW()-26+$H$17,MATCH($F$17,'Raw Pressure Data'!$1:$1,0))=-999,"",INDEX('Raw Pressure Data'!$A:$ZZ,$K$5+ROW()-26+$H$17,MATCH($F$17,'Raw Pressure Data'!$1:$1,0))+$G$17))),"")</f>
        <v/>
      </c>
      <c r="AA206" s="24">
        <f>IFERROR(IF($F$18="","",IF($K$5+ROW()-26&gt;$K$6,"",IF(INDEX('Raw Pressure Data'!$A:$ZZ,$K$5+ROW()-26+$H$18,MATCH($F$18,'Raw Pressure Data'!$1:$1,0))=-999,"",INDEX('Raw Pressure Data'!$A:$ZZ,$K$5+ROW()-26+$H$18,MATCH($F$18,'Raw Pressure Data'!$1:$1,0))+$G$18))),"")</f>
        <v/>
      </c>
      <c r="AB206" s="24">
        <f>IFERROR(IF($F$19="","",IF($K$5+ROW()-26&gt;$K$6,"",IF(INDEX('Raw Pressure Data'!$A:$ZZ,$K$5+ROW()-26+$H$19,MATCH($F$19,'Raw Pressure Data'!$1:$1,0))=-999,"",INDEX('Raw Pressure Data'!$A:$ZZ,$K$5+ROW()-26+$H$19,MATCH($F$19,'Raw Pressure Data'!$1:$1,0))+$G$19))),"")</f>
        <v/>
      </c>
      <c r="AC206" s="24">
        <f>IFERROR(IF($F$20="","",IF($K$5+ROW()-26&gt;$K$6,"",IF(INDEX('Raw Pressure Data'!$A:$ZZ,$K$5+ROW()-26+$H$20,MATCH($F$20,'Raw Pressure Data'!$1:$1,0))=-999,"",INDEX('Raw Pressure Data'!$A:$ZZ,$K$5+ROW()-26+$H$20,MATCH($F$20,'Raw Pressure Data'!$1:$1,0))+$G$20))),"")</f>
        <v/>
      </c>
      <c r="AD206" s="24">
        <f>IFERROR(IF($F$21="","",IF($K$5+ROW()-26&gt;$K$6,"",IF(INDEX('Raw Pressure Data'!$A:$ZZ,$K$5+ROW()-26+$H$21,MATCH($F$21,'Raw Pressure Data'!$1:$1,0))=-999,"",INDEX('Raw Pressure Data'!$A:$ZZ,$K$5+ROW()-26+$H$21,MATCH($F$21,'Raw Pressure Data'!$1:$1,0))+$G$21))),"")</f>
        <v/>
      </c>
      <c r="AE206" s="24">
        <f>IFERROR(IF($F$22="","",IF($K$5+ROW()-26&gt;$K$6,"",IF(INDEX('Raw Pressure Data'!$A:$ZZ,$K$5+ROW()-26+$H$22,MATCH($F$22,'Raw Pressure Data'!$1:$1,0))=-999,"",INDEX('Raw Pressure Data'!$A:$ZZ,$K$5+ROW()-26+$H$22,MATCH($F$22,'Raw Pressure Data'!$1:$1,0))+$G$22))),"")</f>
        <v/>
      </c>
    </row>
    <row r="207" ht="15" customHeight="1">
      <c r="A207" s="25">
        <f>IFERROR(IF($K$5+ROW()-26&gt;$K$6,"",IF(INDEX('Raw Flow Data'!$A:$A,$K$5+ROW()-26)="","",INDEX('Raw Flow Data'!$A:$A,$K$5+ROW()-26))),"")</f>
        <v/>
      </c>
      <c r="B207" s="26">
        <f>IFERROR(IF($B$3="","",IF($K$5+ROW()-26&gt;$K$6,"",IF(INDEX('Raw Flow Data'!$A:$ZZ,$K$5+ROW()-26+$D$3,MATCH($B$3,'Raw Flow Data'!$1:$1,0))=-999,"",INDEX('Raw Flow Data'!$A:$ZZ,$K$5+ROW()-26+$D$3,MATCH($B$3,'Raw Flow Data'!$1:$1,0))*$C$3))),"")</f>
        <v/>
      </c>
      <c r="C207" s="26">
        <f>IFERROR(IF($B$4="","",IF($K$5+ROW()-26&gt;$K$6,"",IF(INDEX('Raw Flow Data'!$A:$ZZ,$K$5+ROW()-26+$D$4,MATCH($B$4,'Raw Flow Data'!$1:$1,0))=-999,"",INDEX('Raw Flow Data'!$A:$ZZ,$K$5+ROW()-26+$D$4,MATCH($B$4,'Raw Flow Data'!$1:$1,0))*$C$4))),"")</f>
        <v/>
      </c>
      <c r="D207" s="26">
        <f>IFERROR(IF($B$5="","",IF($K$5+ROW()-26&gt;$K$6,"",IF(INDEX('Raw Flow Data'!$A:$ZZ,$K$5+ROW()-26+$D$5,MATCH($B$5,'Raw Flow Data'!$1:$1,0))=-999,"",INDEX('Raw Flow Data'!$A:$ZZ,$K$5+ROW()-26+$D$5,MATCH($B$5,'Raw Flow Data'!$1:$1,0))*$C$5))),"")</f>
        <v/>
      </c>
      <c r="E207" s="26">
        <f>IFERROR(IF($B$6="","",IF($K$5+ROW()-26&gt;$K$6,"",IF(INDEX('Raw Flow Data'!$A:$ZZ,$K$5+ROW()-26+$D$6,MATCH($B$6,'Raw Flow Data'!$1:$1,0))=-999,"",INDEX('Raw Flow Data'!$A:$ZZ,$K$5+ROW()-26+$D$6,MATCH($B$6,'Raw Flow Data'!$1:$1,0))*$C$6))),"")</f>
        <v/>
      </c>
      <c r="F207" s="26">
        <f>IFERROR(IF($B$7="","",IF($K$5+ROW()-26&gt;$K$6,"",IF(INDEX('Raw Flow Data'!$A:$ZZ,$K$5+ROW()-26+$D$7,MATCH($B$7,'Raw Flow Data'!$1:$1,0))=-999,"",INDEX('Raw Flow Data'!$A:$ZZ,$K$5+ROW()-26+$D$7,MATCH($B$7,'Raw Flow Data'!$1:$1,0))*$C$7))),"")</f>
        <v/>
      </c>
      <c r="G207" s="26">
        <f>IFERROR(IF($B$8="","",IF($K$5+ROW()-26&gt;$K$6,"",IF(INDEX('Raw Flow Data'!$A:$ZZ,$K$5+ROW()-26+$D$8,MATCH($B$8,'Raw Flow Data'!$1:$1,0))=-999,"",INDEX('Raw Flow Data'!$A:$ZZ,$K$5+ROW()-26+$D$8,MATCH($B$8,'Raw Flow Data'!$1:$1,0))*$C$8))),"")</f>
        <v/>
      </c>
      <c r="H207" s="26">
        <f>IFERROR(IF($B$9="","",IF($K$5+ROW()-26&gt;$K$6,"",IF(INDEX('Raw Flow Data'!$A:$ZZ,$K$5+ROW()-26+$D$9,MATCH($B$9,'Raw Flow Data'!$1:$1,0))=-999,"",INDEX('Raw Flow Data'!$A:$ZZ,$K$5+ROW()-26+$D$9,MATCH($B$9,'Raw Flow Data'!$1:$1,0))*$C$9))),"")</f>
        <v/>
      </c>
      <c r="I207" s="26">
        <f>IFERROR(IF($B$10="","",IF($K$5+ROW()-26&gt;$K$6,"",IF(INDEX('Raw Flow Data'!$A:$ZZ,$K$5+ROW()-26+$D$10,MATCH($B$10,'Raw Flow Data'!$1:$1,0))=-999,"",INDEX('Raw Flow Data'!$A:$ZZ,$K$5+ROW()-26+$D$10,MATCH($B$10,'Raw Flow Data'!$1:$1,0))*$C$10))),"")</f>
        <v/>
      </c>
      <c r="J207" s="26">
        <f>IFERROR(IF($B$11="","",IF($K$5+ROW()-26&gt;$K$6,"",IF(INDEX('Raw Flow Data'!$A:$ZZ,$K$5+ROW()-26+$D$11,MATCH($B$11,'Raw Flow Data'!$1:$1,0))=-999,"",INDEX('Raw Flow Data'!$A:$ZZ,$K$5+ROW()-26+$D$11,MATCH($B$11,'Raw Flow Data'!$1:$1,0))*$C$11))),"")</f>
        <v/>
      </c>
      <c r="K207" s="26">
        <f>IFERROR(IF($B$12="","",IF($K$5+ROW()-26&gt;$K$6,"",IF(INDEX('Raw Flow Data'!$A:$ZZ,$K$5+ROW()-26+$D$12,MATCH($B$12,'Raw Flow Data'!$1:$1,0))=-999,"",INDEX('Raw Flow Data'!$A:$ZZ,$K$5+ROW()-26+$D$12,MATCH($B$12,'Raw Flow Data'!$1:$1,0))*$C$12))),"")</f>
        <v/>
      </c>
      <c r="L207" s="26">
        <f>IFERROR(IF($F$3="","",IF($K$5+ROW()-26&gt;$K$6,"",IF(INDEX('Raw Pressure Data'!$A:$ZZ,$K$5+ROW()-26+$H$3,MATCH($F$3,'Raw Pressure Data'!$1:$1,0))=-999,"",INDEX('Raw Pressure Data'!$A:$ZZ,$K$5+ROW()-26+$H$3,MATCH($F$3,'Raw Pressure Data'!$1:$1,0))+$G$3))),"")</f>
        <v/>
      </c>
      <c r="M207" s="26">
        <f>IFERROR(IF($F$4="","",IF($K$5+ROW()-26&gt;$K$6,"",IF(INDEX('Raw Pressure Data'!$A:$ZZ,$K$5+ROW()-26+$H$4,MATCH($F$4,'Raw Pressure Data'!$1:$1,0))=-999,"",INDEX('Raw Pressure Data'!$A:$ZZ,$K$5+ROW()-26+$H$4,MATCH($F$4,'Raw Pressure Data'!$1:$1,0))+$G$4))),"")</f>
        <v/>
      </c>
      <c r="N207" s="26">
        <f>IFERROR(IF($F$5="","",IF($K$5+ROW()-26&gt;$K$6,"",IF(INDEX('Raw Pressure Data'!$A:$ZZ,$K$5+ROW()-26+$H$5,MATCH($F$5,'Raw Pressure Data'!$1:$1,0))=-999,"",INDEX('Raw Pressure Data'!$A:$ZZ,$K$5+ROW()-26+$H$5,MATCH($F$5,'Raw Pressure Data'!$1:$1,0))+$G$5))),"")</f>
        <v/>
      </c>
      <c r="O207" s="26">
        <f>IFERROR(IF($F$6="","",IF($K$5+ROW()-26&gt;$K$6,"",IF(INDEX('Raw Pressure Data'!$A:$ZZ,$K$5+ROW()-26+$H$6,MATCH($F$6,'Raw Pressure Data'!$1:$1,0))=-999,"",INDEX('Raw Pressure Data'!$A:$ZZ,$K$5+ROW()-26+$H$6,MATCH($F$6,'Raw Pressure Data'!$1:$1,0))+$G$6))),"")</f>
        <v/>
      </c>
      <c r="P207" s="26">
        <f>IFERROR(IF($F$7="","",IF($K$5+ROW()-26&gt;$K$6,"",IF(INDEX('Raw Pressure Data'!$A:$ZZ,$K$5+ROW()-26+$H$7,MATCH($F$7,'Raw Pressure Data'!$1:$1,0))=-999,"",INDEX('Raw Pressure Data'!$A:$ZZ,$K$5+ROW()-26+$H$7,MATCH($F$7,'Raw Pressure Data'!$1:$1,0))+$G$7))),"")</f>
        <v/>
      </c>
      <c r="Q207" s="26">
        <f>IFERROR(IF($F$8="","",IF($K$5+ROW()-26&gt;$K$6,"",IF(INDEX('Raw Pressure Data'!$A:$ZZ,$K$5+ROW()-26+$H$8,MATCH($F$8,'Raw Pressure Data'!$1:$1,0))=-999,"",INDEX('Raw Pressure Data'!$A:$ZZ,$K$5+ROW()-26+$H$8,MATCH($F$8,'Raw Pressure Data'!$1:$1,0))+$G$8))),"")</f>
        <v/>
      </c>
      <c r="R207" s="26">
        <f>IFERROR(IF($F$9="","",IF($K$5+ROW()-26&gt;$K$6,"",IF(INDEX('Raw Pressure Data'!$A:$ZZ,$K$5+ROW()-26+$H$9,MATCH($F$9,'Raw Pressure Data'!$1:$1,0))=-999,"",INDEX('Raw Pressure Data'!$A:$ZZ,$K$5+ROW()-26+$H$9,MATCH($F$9,'Raw Pressure Data'!$1:$1,0))+$G$9))),"")</f>
        <v/>
      </c>
      <c r="S207" s="26">
        <f>IFERROR(IF($F$10="","",IF($K$5+ROW()-26&gt;$K$6,"",IF(INDEX('Raw Pressure Data'!$A:$ZZ,$K$5+ROW()-26+$H$10,MATCH($F$10,'Raw Pressure Data'!$1:$1,0))=-999,"",INDEX('Raw Pressure Data'!$A:$ZZ,$K$5+ROW()-26+$H$10,MATCH($F$10,'Raw Pressure Data'!$1:$1,0))+$G$10))),"")</f>
        <v/>
      </c>
      <c r="T207" s="26">
        <f>IFERROR(IF($F$11="","",IF($K$5+ROW()-26&gt;$K$6,"",IF(INDEX('Raw Pressure Data'!$A:$ZZ,$K$5+ROW()-26+$H$11,MATCH($F$11,'Raw Pressure Data'!$1:$1,0))=-999,"",INDEX('Raw Pressure Data'!$A:$ZZ,$K$5+ROW()-26+$H$11,MATCH($F$11,'Raw Pressure Data'!$1:$1,0))+$G$11))),"")</f>
        <v/>
      </c>
      <c r="U207" s="26">
        <f>IFERROR(IF($F$12="","",IF($K$5+ROW()-26&gt;$K$6,"",IF(INDEX('Raw Pressure Data'!$A:$ZZ,$K$5+ROW()-26+$H$12,MATCH($F$12,'Raw Pressure Data'!$1:$1,0))=-999,"",INDEX('Raw Pressure Data'!$A:$ZZ,$K$5+ROW()-26+$H$12,MATCH($F$12,'Raw Pressure Data'!$1:$1,0))+$G$12))),"")</f>
        <v/>
      </c>
      <c r="V207" s="26">
        <f>IFERROR(IF($F$13="","",IF($K$5+ROW()-26&gt;$K$6,"",IF(INDEX('Raw Pressure Data'!$A:$ZZ,$K$5+ROW()-26+$H$13,MATCH($F$13,'Raw Pressure Data'!$1:$1,0))=-999,"",INDEX('Raw Pressure Data'!$A:$ZZ,$K$5+ROW()-26+$H$13,MATCH($F$13,'Raw Pressure Data'!$1:$1,0))+$G$13))),"")</f>
        <v/>
      </c>
      <c r="W207" s="26">
        <f>IFERROR(IF($F$14="","",IF($K$5+ROW()-26&gt;$K$6,"",IF(INDEX('Raw Pressure Data'!$A:$ZZ,$K$5+ROW()-26+$H$14,MATCH($F$14,'Raw Pressure Data'!$1:$1,0))=-999,"",INDEX('Raw Pressure Data'!$A:$ZZ,$K$5+ROW()-26+$H$14,MATCH($F$14,'Raw Pressure Data'!$1:$1,0))+$G$14))),"")</f>
        <v/>
      </c>
      <c r="X207" s="26">
        <f>IFERROR(IF($F$15="","",IF($K$5+ROW()-26&gt;$K$6,"",IF(INDEX('Raw Pressure Data'!$A:$ZZ,$K$5+ROW()-26+$H$15,MATCH($F$15,'Raw Pressure Data'!$1:$1,0))=-999,"",INDEX('Raw Pressure Data'!$A:$ZZ,$K$5+ROW()-26+$H$15,MATCH($F$15,'Raw Pressure Data'!$1:$1,0))+$G$15))),"")</f>
        <v/>
      </c>
      <c r="Y207" s="26">
        <f>IFERROR(IF($F$16="","",IF($K$5+ROW()-26&gt;$K$6,"",IF(INDEX('Raw Pressure Data'!$A:$ZZ,$K$5+ROW()-26+$H$16,MATCH($F$16,'Raw Pressure Data'!$1:$1,0))=-999,"",INDEX('Raw Pressure Data'!$A:$ZZ,$K$5+ROW()-26+$H$16,MATCH($F$16,'Raw Pressure Data'!$1:$1,0))+$G$16))),"")</f>
        <v/>
      </c>
      <c r="Z207" s="26">
        <f>IFERROR(IF($F$17="","",IF($K$5+ROW()-26&gt;$K$6,"",IF(INDEX('Raw Pressure Data'!$A:$ZZ,$K$5+ROW()-26+$H$17,MATCH($F$17,'Raw Pressure Data'!$1:$1,0))=-999,"",INDEX('Raw Pressure Data'!$A:$ZZ,$K$5+ROW()-26+$H$17,MATCH($F$17,'Raw Pressure Data'!$1:$1,0))+$G$17))),"")</f>
        <v/>
      </c>
      <c r="AA207" s="26">
        <f>IFERROR(IF($F$18="","",IF($K$5+ROW()-26&gt;$K$6,"",IF(INDEX('Raw Pressure Data'!$A:$ZZ,$K$5+ROW()-26+$H$18,MATCH($F$18,'Raw Pressure Data'!$1:$1,0))=-999,"",INDEX('Raw Pressure Data'!$A:$ZZ,$K$5+ROW()-26+$H$18,MATCH($F$18,'Raw Pressure Data'!$1:$1,0))+$G$18))),"")</f>
        <v/>
      </c>
      <c r="AB207" s="26">
        <f>IFERROR(IF($F$19="","",IF($K$5+ROW()-26&gt;$K$6,"",IF(INDEX('Raw Pressure Data'!$A:$ZZ,$K$5+ROW()-26+$H$19,MATCH($F$19,'Raw Pressure Data'!$1:$1,0))=-999,"",INDEX('Raw Pressure Data'!$A:$ZZ,$K$5+ROW()-26+$H$19,MATCH($F$19,'Raw Pressure Data'!$1:$1,0))+$G$19))),"")</f>
        <v/>
      </c>
      <c r="AC207" s="26">
        <f>IFERROR(IF($F$20="","",IF($K$5+ROW()-26&gt;$K$6,"",IF(INDEX('Raw Pressure Data'!$A:$ZZ,$K$5+ROW()-26+$H$20,MATCH($F$20,'Raw Pressure Data'!$1:$1,0))=-999,"",INDEX('Raw Pressure Data'!$A:$ZZ,$K$5+ROW()-26+$H$20,MATCH($F$20,'Raw Pressure Data'!$1:$1,0))+$G$20))),"")</f>
        <v/>
      </c>
      <c r="AD207" s="26">
        <f>IFERROR(IF($F$21="","",IF($K$5+ROW()-26&gt;$K$6,"",IF(INDEX('Raw Pressure Data'!$A:$ZZ,$K$5+ROW()-26+$H$21,MATCH($F$21,'Raw Pressure Data'!$1:$1,0))=-999,"",INDEX('Raw Pressure Data'!$A:$ZZ,$K$5+ROW()-26+$H$21,MATCH($F$21,'Raw Pressure Data'!$1:$1,0))+$G$21))),"")</f>
        <v/>
      </c>
      <c r="AE207" s="26">
        <f>IFERROR(IF($F$22="","",IF($K$5+ROW()-26&gt;$K$6,"",IF(INDEX('Raw Pressure Data'!$A:$ZZ,$K$5+ROW()-26+$H$22,MATCH($F$22,'Raw Pressure Data'!$1:$1,0))=-999,"",INDEX('Raw Pressure Data'!$A:$ZZ,$K$5+ROW()-26+$H$22,MATCH($F$22,'Raw Pressure Data'!$1:$1,0))+$G$22))),"")</f>
        <v/>
      </c>
    </row>
    <row r="208" ht="15" customHeight="1">
      <c r="A208" s="23">
        <f>IFERROR(IF($K$5+ROW()-26&gt;$K$6,"",IF(INDEX('Raw Flow Data'!$A:$A,$K$5+ROW()-26)="","",INDEX('Raw Flow Data'!$A:$A,$K$5+ROW()-26))),"")</f>
        <v/>
      </c>
      <c r="B208" s="24">
        <f>IFERROR(IF($B$3="","",IF($K$5+ROW()-26&gt;$K$6,"",IF(INDEX('Raw Flow Data'!$A:$ZZ,$K$5+ROW()-26+$D$3,MATCH($B$3,'Raw Flow Data'!$1:$1,0))=-999,"",INDEX('Raw Flow Data'!$A:$ZZ,$K$5+ROW()-26+$D$3,MATCH($B$3,'Raw Flow Data'!$1:$1,0))*$C$3))),"")</f>
        <v/>
      </c>
      <c r="C208" s="24">
        <f>IFERROR(IF($B$4="","",IF($K$5+ROW()-26&gt;$K$6,"",IF(INDEX('Raw Flow Data'!$A:$ZZ,$K$5+ROW()-26+$D$4,MATCH($B$4,'Raw Flow Data'!$1:$1,0))=-999,"",INDEX('Raw Flow Data'!$A:$ZZ,$K$5+ROW()-26+$D$4,MATCH($B$4,'Raw Flow Data'!$1:$1,0))*$C$4))),"")</f>
        <v/>
      </c>
      <c r="D208" s="24">
        <f>IFERROR(IF($B$5="","",IF($K$5+ROW()-26&gt;$K$6,"",IF(INDEX('Raw Flow Data'!$A:$ZZ,$K$5+ROW()-26+$D$5,MATCH($B$5,'Raw Flow Data'!$1:$1,0))=-999,"",INDEX('Raw Flow Data'!$A:$ZZ,$K$5+ROW()-26+$D$5,MATCH($B$5,'Raw Flow Data'!$1:$1,0))*$C$5))),"")</f>
        <v/>
      </c>
      <c r="E208" s="24">
        <f>IFERROR(IF($B$6="","",IF($K$5+ROW()-26&gt;$K$6,"",IF(INDEX('Raw Flow Data'!$A:$ZZ,$K$5+ROW()-26+$D$6,MATCH($B$6,'Raw Flow Data'!$1:$1,0))=-999,"",INDEX('Raw Flow Data'!$A:$ZZ,$K$5+ROW()-26+$D$6,MATCH($B$6,'Raw Flow Data'!$1:$1,0))*$C$6))),"")</f>
        <v/>
      </c>
      <c r="F208" s="24">
        <f>IFERROR(IF($B$7="","",IF($K$5+ROW()-26&gt;$K$6,"",IF(INDEX('Raw Flow Data'!$A:$ZZ,$K$5+ROW()-26+$D$7,MATCH($B$7,'Raw Flow Data'!$1:$1,0))=-999,"",INDEX('Raw Flow Data'!$A:$ZZ,$K$5+ROW()-26+$D$7,MATCH($B$7,'Raw Flow Data'!$1:$1,0))*$C$7))),"")</f>
        <v/>
      </c>
      <c r="G208" s="24">
        <f>IFERROR(IF($B$8="","",IF($K$5+ROW()-26&gt;$K$6,"",IF(INDEX('Raw Flow Data'!$A:$ZZ,$K$5+ROW()-26+$D$8,MATCH($B$8,'Raw Flow Data'!$1:$1,0))=-999,"",INDEX('Raw Flow Data'!$A:$ZZ,$K$5+ROW()-26+$D$8,MATCH($B$8,'Raw Flow Data'!$1:$1,0))*$C$8))),"")</f>
        <v/>
      </c>
      <c r="H208" s="24">
        <f>IFERROR(IF($B$9="","",IF($K$5+ROW()-26&gt;$K$6,"",IF(INDEX('Raw Flow Data'!$A:$ZZ,$K$5+ROW()-26+$D$9,MATCH($B$9,'Raw Flow Data'!$1:$1,0))=-999,"",INDEX('Raw Flow Data'!$A:$ZZ,$K$5+ROW()-26+$D$9,MATCH($B$9,'Raw Flow Data'!$1:$1,0))*$C$9))),"")</f>
        <v/>
      </c>
      <c r="I208" s="24">
        <f>IFERROR(IF($B$10="","",IF($K$5+ROW()-26&gt;$K$6,"",IF(INDEX('Raw Flow Data'!$A:$ZZ,$K$5+ROW()-26+$D$10,MATCH($B$10,'Raw Flow Data'!$1:$1,0))=-999,"",INDEX('Raw Flow Data'!$A:$ZZ,$K$5+ROW()-26+$D$10,MATCH($B$10,'Raw Flow Data'!$1:$1,0))*$C$10))),"")</f>
        <v/>
      </c>
      <c r="J208" s="24">
        <f>IFERROR(IF($B$11="","",IF($K$5+ROW()-26&gt;$K$6,"",IF(INDEX('Raw Flow Data'!$A:$ZZ,$K$5+ROW()-26+$D$11,MATCH($B$11,'Raw Flow Data'!$1:$1,0))=-999,"",INDEX('Raw Flow Data'!$A:$ZZ,$K$5+ROW()-26+$D$11,MATCH($B$11,'Raw Flow Data'!$1:$1,0))*$C$11))),"")</f>
        <v/>
      </c>
      <c r="K208" s="24">
        <f>IFERROR(IF($B$12="","",IF($K$5+ROW()-26&gt;$K$6,"",IF(INDEX('Raw Flow Data'!$A:$ZZ,$K$5+ROW()-26+$D$12,MATCH($B$12,'Raw Flow Data'!$1:$1,0))=-999,"",INDEX('Raw Flow Data'!$A:$ZZ,$K$5+ROW()-26+$D$12,MATCH($B$12,'Raw Flow Data'!$1:$1,0))*$C$12))),"")</f>
        <v/>
      </c>
      <c r="L208" s="24">
        <f>IFERROR(IF($F$3="","",IF($K$5+ROW()-26&gt;$K$6,"",IF(INDEX('Raw Pressure Data'!$A:$ZZ,$K$5+ROW()-26+$H$3,MATCH($F$3,'Raw Pressure Data'!$1:$1,0))=-999,"",INDEX('Raw Pressure Data'!$A:$ZZ,$K$5+ROW()-26+$H$3,MATCH($F$3,'Raw Pressure Data'!$1:$1,0))+$G$3))),"")</f>
        <v/>
      </c>
      <c r="M208" s="24">
        <f>IFERROR(IF($F$4="","",IF($K$5+ROW()-26&gt;$K$6,"",IF(INDEX('Raw Pressure Data'!$A:$ZZ,$K$5+ROW()-26+$H$4,MATCH($F$4,'Raw Pressure Data'!$1:$1,0))=-999,"",INDEX('Raw Pressure Data'!$A:$ZZ,$K$5+ROW()-26+$H$4,MATCH($F$4,'Raw Pressure Data'!$1:$1,0))+$G$4))),"")</f>
        <v/>
      </c>
      <c r="N208" s="24">
        <f>IFERROR(IF($F$5="","",IF($K$5+ROW()-26&gt;$K$6,"",IF(INDEX('Raw Pressure Data'!$A:$ZZ,$K$5+ROW()-26+$H$5,MATCH($F$5,'Raw Pressure Data'!$1:$1,0))=-999,"",INDEX('Raw Pressure Data'!$A:$ZZ,$K$5+ROW()-26+$H$5,MATCH($F$5,'Raw Pressure Data'!$1:$1,0))+$G$5))),"")</f>
        <v/>
      </c>
      <c r="O208" s="24">
        <f>IFERROR(IF($F$6="","",IF($K$5+ROW()-26&gt;$K$6,"",IF(INDEX('Raw Pressure Data'!$A:$ZZ,$K$5+ROW()-26+$H$6,MATCH($F$6,'Raw Pressure Data'!$1:$1,0))=-999,"",INDEX('Raw Pressure Data'!$A:$ZZ,$K$5+ROW()-26+$H$6,MATCH($F$6,'Raw Pressure Data'!$1:$1,0))+$G$6))),"")</f>
        <v/>
      </c>
      <c r="P208" s="24">
        <f>IFERROR(IF($F$7="","",IF($K$5+ROW()-26&gt;$K$6,"",IF(INDEX('Raw Pressure Data'!$A:$ZZ,$K$5+ROW()-26+$H$7,MATCH($F$7,'Raw Pressure Data'!$1:$1,0))=-999,"",INDEX('Raw Pressure Data'!$A:$ZZ,$K$5+ROW()-26+$H$7,MATCH($F$7,'Raw Pressure Data'!$1:$1,0))+$G$7))),"")</f>
        <v/>
      </c>
      <c r="Q208" s="24">
        <f>IFERROR(IF($F$8="","",IF($K$5+ROW()-26&gt;$K$6,"",IF(INDEX('Raw Pressure Data'!$A:$ZZ,$K$5+ROW()-26+$H$8,MATCH($F$8,'Raw Pressure Data'!$1:$1,0))=-999,"",INDEX('Raw Pressure Data'!$A:$ZZ,$K$5+ROW()-26+$H$8,MATCH($F$8,'Raw Pressure Data'!$1:$1,0))+$G$8))),"")</f>
        <v/>
      </c>
      <c r="R208" s="24">
        <f>IFERROR(IF($F$9="","",IF($K$5+ROW()-26&gt;$K$6,"",IF(INDEX('Raw Pressure Data'!$A:$ZZ,$K$5+ROW()-26+$H$9,MATCH($F$9,'Raw Pressure Data'!$1:$1,0))=-999,"",INDEX('Raw Pressure Data'!$A:$ZZ,$K$5+ROW()-26+$H$9,MATCH($F$9,'Raw Pressure Data'!$1:$1,0))+$G$9))),"")</f>
        <v/>
      </c>
      <c r="S208" s="24">
        <f>IFERROR(IF($F$10="","",IF($K$5+ROW()-26&gt;$K$6,"",IF(INDEX('Raw Pressure Data'!$A:$ZZ,$K$5+ROW()-26+$H$10,MATCH($F$10,'Raw Pressure Data'!$1:$1,0))=-999,"",INDEX('Raw Pressure Data'!$A:$ZZ,$K$5+ROW()-26+$H$10,MATCH($F$10,'Raw Pressure Data'!$1:$1,0))+$G$10))),"")</f>
        <v/>
      </c>
      <c r="T208" s="24">
        <f>IFERROR(IF($F$11="","",IF($K$5+ROW()-26&gt;$K$6,"",IF(INDEX('Raw Pressure Data'!$A:$ZZ,$K$5+ROW()-26+$H$11,MATCH($F$11,'Raw Pressure Data'!$1:$1,0))=-999,"",INDEX('Raw Pressure Data'!$A:$ZZ,$K$5+ROW()-26+$H$11,MATCH($F$11,'Raw Pressure Data'!$1:$1,0))+$G$11))),"")</f>
        <v/>
      </c>
      <c r="U208" s="24">
        <f>IFERROR(IF($F$12="","",IF($K$5+ROW()-26&gt;$K$6,"",IF(INDEX('Raw Pressure Data'!$A:$ZZ,$K$5+ROW()-26+$H$12,MATCH($F$12,'Raw Pressure Data'!$1:$1,0))=-999,"",INDEX('Raw Pressure Data'!$A:$ZZ,$K$5+ROW()-26+$H$12,MATCH($F$12,'Raw Pressure Data'!$1:$1,0))+$G$12))),"")</f>
        <v/>
      </c>
      <c r="V208" s="24">
        <f>IFERROR(IF($F$13="","",IF($K$5+ROW()-26&gt;$K$6,"",IF(INDEX('Raw Pressure Data'!$A:$ZZ,$K$5+ROW()-26+$H$13,MATCH($F$13,'Raw Pressure Data'!$1:$1,0))=-999,"",INDEX('Raw Pressure Data'!$A:$ZZ,$K$5+ROW()-26+$H$13,MATCH($F$13,'Raw Pressure Data'!$1:$1,0))+$G$13))),"")</f>
        <v/>
      </c>
      <c r="W208" s="24">
        <f>IFERROR(IF($F$14="","",IF($K$5+ROW()-26&gt;$K$6,"",IF(INDEX('Raw Pressure Data'!$A:$ZZ,$K$5+ROW()-26+$H$14,MATCH($F$14,'Raw Pressure Data'!$1:$1,0))=-999,"",INDEX('Raw Pressure Data'!$A:$ZZ,$K$5+ROW()-26+$H$14,MATCH($F$14,'Raw Pressure Data'!$1:$1,0))+$G$14))),"")</f>
        <v/>
      </c>
      <c r="X208" s="24">
        <f>IFERROR(IF($F$15="","",IF($K$5+ROW()-26&gt;$K$6,"",IF(INDEX('Raw Pressure Data'!$A:$ZZ,$K$5+ROW()-26+$H$15,MATCH($F$15,'Raw Pressure Data'!$1:$1,0))=-999,"",INDEX('Raw Pressure Data'!$A:$ZZ,$K$5+ROW()-26+$H$15,MATCH($F$15,'Raw Pressure Data'!$1:$1,0))+$G$15))),"")</f>
        <v/>
      </c>
      <c r="Y208" s="24">
        <f>IFERROR(IF($F$16="","",IF($K$5+ROW()-26&gt;$K$6,"",IF(INDEX('Raw Pressure Data'!$A:$ZZ,$K$5+ROW()-26+$H$16,MATCH($F$16,'Raw Pressure Data'!$1:$1,0))=-999,"",INDEX('Raw Pressure Data'!$A:$ZZ,$K$5+ROW()-26+$H$16,MATCH($F$16,'Raw Pressure Data'!$1:$1,0))+$G$16))),"")</f>
        <v/>
      </c>
      <c r="Z208" s="24">
        <f>IFERROR(IF($F$17="","",IF($K$5+ROW()-26&gt;$K$6,"",IF(INDEX('Raw Pressure Data'!$A:$ZZ,$K$5+ROW()-26+$H$17,MATCH($F$17,'Raw Pressure Data'!$1:$1,0))=-999,"",INDEX('Raw Pressure Data'!$A:$ZZ,$K$5+ROW()-26+$H$17,MATCH($F$17,'Raw Pressure Data'!$1:$1,0))+$G$17))),"")</f>
        <v/>
      </c>
      <c r="AA208" s="24">
        <f>IFERROR(IF($F$18="","",IF($K$5+ROW()-26&gt;$K$6,"",IF(INDEX('Raw Pressure Data'!$A:$ZZ,$K$5+ROW()-26+$H$18,MATCH($F$18,'Raw Pressure Data'!$1:$1,0))=-999,"",INDEX('Raw Pressure Data'!$A:$ZZ,$K$5+ROW()-26+$H$18,MATCH($F$18,'Raw Pressure Data'!$1:$1,0))+$G$18))),"")</f>
        <v/>
      </c>
      <c r="AB208" s="24">
        <f>IFERROR(IF($F$19="","",IF($K$5+ROW()-26&gt;$K$6,"",IF(INDEX('Raw Pressure Data'!$A:$ZZ,$K$5+ROW()-26+$H$19,MATCH($F$19,'Raw Pressure Data'!$1:$1,0))=-999,"",INDEX('Raw Pressure Data'!$A:$ZZ,$K$5+ROW()-26+$H$19,MATCH($F$19,'Raw Pressure Data'!$1:$1,0))+$G$19))),"")</f>
        <v/>
      </c>
      <c r="AC208" s="24">
        <f>IFERROR(IF($F$20="","",IF($K$5+ROW()-26&gt;$K$6,"",IF(INDEX('Raw Pressure Data'!$A:$ZZ,$K$5+ROW()-26+$H$20,MATCH($F$20,'Raw Pressure Data'!$1:$1,0))=-999,"",INDEX('Raw Pressure Data'!$A:$ZZ,$K$5+ROW()-26+$H$20,MATCH($F$20,'Raw Pressure Data'!$1:$1,0))+$G$20))),"")</f>
        <v/>
      </c>
      <c r="AD208" s="24">
        <f>IFERROR(IF($F$21="","",IF($K$5+ROW()-26&gt;$K$6,"",IF(INDEX('Raw Pressure Data'!$A:$ZZ,$K$5+ROW()-26+$H$21,MATCH($F$21,'Raw Pressure Data'!$1:$1,0))=-999,"",INDEX('Raw Pressure Data'!$A:$ZZ,$K$5+ROW()-26+$H$21,MATCH($F$21,'Raw Pressure Data'!$1:$1,0))+$G$21))),"")</f>
        <v/>
      </c>
      <c r="AE208" s="24">
        <f>IFERROR(IF($F$22="","",IF($K$5+ROW()-26&gt;$K$6,"",IF(INDEX('Raw Pressure Data'!$A:$ZZ,$K$5+ROW()-26+$H$22,MATCH($F$22,'Raw Pressure Data'!$1:$1,0))=-999,"",INDEX('Raw Pressure Data'!$A:$ZZ,$K$5+ROW()-26+$H$22,MATCH($F$22,'Raw Pressure Data'!$1:$1,0))+$G$22))),"")</f>
        <v/>
      </c>
    </row>
    <row r="209" ht="15" customHeight="1">
      <c r="A209" s="25">
        <f>IFERROR(IF($K$5+ROW()-26&gt;$K$6,"",IF(INDEX('Raw Flow Data'!$A:$A,$K$5+ROW()-26)="","",INDEX('Raw Flow Data'!$A:$A,$K$5+ROW()-26))),"")</f>
        <v/>
      </c>
      <c r="B209" s="26">
        <f>IFERROR(IF($B$3="","",IF($K$5+ROW()-26&gt;$K$6,"",IF(INDEX('Raw Flow Data'!$A:$ZZ,$K$5+ROW()-26+$D$3,MATCH($B$3,'Raw Flow Data'!$1:$1,0))=-999,"",INDEX('Raw Flow Data'!$A:$ZZ,$K$5+ROW()-26+$D$3,MATCH($B$3,'Raw Flow Data'!$1:$1,0))*$C$3))),"")</f>
        <v/>
      </c>
      <c r="C209" s="26">
        <f>IFERROR(IF($B$4="","",IF($K$5+ROW()-26&gt;$K$6,"",IF(INDEX('Raw Flow Data'!$A:$ZZ,$K$5+ROW()-26+$D$4,MATCH($B$4,'Raw Flow Data'!$1:$1,0))=-999,"",INDEX('Raw Flow Data'!$A:$ZZ,$K$5+ROW()-26+$D$4,MATCH($B$4,'Raw Flow Data'!$1:$1,0))*$C$4))),"")</f>
        <v/>
      </c>
      <c r="D209" s="26">
        <f>IFERROR(IF($B$5="","",IF($K$5+ROW()-26&gt;$K$6,"",IF(INDEX('Raw Flow Data'!$A:$ZZ,$K$5+ROW()-26+$D$5,MATCH($B$5,'Raw Flow Data'!$1:$1,0))=-999,"",INDEX('Raw Flow Data'!$A:$ZZ,$K$5+ROW()-26+$D$5,MATCH($B$5,'Raw Flow Data'!$1:$1,0))*$C$5))),"")</f>
        <v/>
      </c>
      <c r="E209" s="26">
        <f>IFERROR(IF($B$6="","",IF($K$5+ROW()-26&gt;$K$6,"",IF(INDEX('Raw Flow Data'!$A:$ZZ,$K$5+ROW()-26+$D$6,MATCH($B$6,'Raw Flow Data'!$1:$1,0))=-999,"",INDEX('Raw Flow Data'!$A:$ZZ,$K$5+ROW()-26+$D$6,MATCH($B$6,'Raw Flow Data'!$1:$1,0))*$C$6))),"")</f>
        <v/>
      </c>
      <c r="F209" s="26">
        <f>IFERROR(IF($B$7="","",IF($K$5+ROW()-26&gt;$K$6,"",IF(INDEX('Raw Flow Data'!$A:$ZZ,$K$5+ROW()-26+$D$7,MATCH($B$7,'Raw Flow Data'!$1:$1,0))=-999,"",INDEX('Raw Flow Data'!$A:$ZZ,$K$5+ROW()-26+$D$7,MATCH($B$7,'Raw Flow Data'!$1:$1,0))*$C$7))),"")</f>
        <v/>
      </c>
      <c r="G209" s="26">
        <f>IFERROR(IF($B$8="","",IF($K$5+ROW()-26&gt;$K$6,"",IF(INDEX('Raw Flow Data'!$A:$ZZ,$K$5+ROW()-26+$D$8,MATCH($B$8,'Raw Flow Data'!$1:$1,0))=-999,"",INDEX('Raw Flow Data'!$A:$ZZ,$K$5+ROW()-26+$D$8,MATCH($B$8,'Raw Flow Data'!$1:$1,0))*$C$8))),"")</f>
        <v/>
      </c>
      <c r="H209" s="26">
        <f>IFERROR(IF($B$9="","",IF($K$5+ROW()-26&gt;$K$6,"",IF(INDEX('Raw Flow Data'!$A:$ZZ,$K$5+ROW()-26+$D$9,MATCH($B$9,'Raw Flow Data'!$1:$1,0))=-999,"",INDEX('Raw Flow Data'!$A:$ZZ,$K$5+ROW()-26+$D$9,MATCH($B$9,'Raw Flow Data'!$1:$1,0))*$C$9))),"")</f>
        <v/>
      </c>
      <c r="I209" s="26">
        <f>IFERROR(IF($B$10="","",IF($K$5+ROW()-26&gt;$K$6,"",IF(INDEX('Raw Flow Data'!$A:$ZZ,$K$5+ROW()-26+$D$10,MATCH($B$10,'Raw Flow Data'!$1:$1,0))=-999,"",INDEX('Raw Flow Data'!$A:$ZZ,$K$5+ROW()-26+$D$10,MATCH($B$10,'Raw Flow Data'!$1:$1,0))*$C$10))),"")</f>
        <v/>
      </c>
      <c r="J209" s="26">
        <f>IFERROR(IF($B$11="","",IF($K$5+ROW()-26&gt;$K$6,"",IF(INDEX('Raw Flow Data'!$A:$ZZ,$K$5+ROW()-26+$D$11,MATCH($B$11,'Raw Flow Data'!$1:$1,0))=-999,"",INDEX('Raw Flow Data'!$A:$ZZ,$K$5+ROW()-26+$D$11,MATCH($B$11,'Raw Flow Data'!$1:$1,0))*$C$11))),"")</f>
        <v/>
      </c>
      <c r="K209" s="26">
        <f>IFERROR(IF($B$12="","",IF($K$5+ROW()-26&gt;$K$6,"",IF(INDEX('Raw Flow Data'!$A:$ZZ,$K$5+ROW()-26+$D$12,MATCH($B$12,'Raw Flow Data'!$1:$1,0))=-999,"",INDEX('Raw Flow Data'!$A:$ZZ,$K$5+ROW()-26+$D$12,MATCH($B$12,'Raw Flow Data'!$1:$1,0))*$C$12))),"")</f>
        <v/>
      </c>
      <c r="L209" s="26">
        <f>IFERROR(IF($F$3="","",IF($K$5+ROW()-26&gt;$K$6,"",IF(INDEX('Raw Pressure Data'!$A:$ZZ,$K$5+ROW()-26+$H$3,MATCH($F$3,'Raw Pressure Data'!$1:$1,0))=-999,"",INDEX('Raw Pressure Data'!$A:$ZZ,$K$5+ROW()-26+$H$3,MATCH($F$3,'Raw Pressure Data'!$1:$1,0))+$G$3))),"")</f>
        <v/>
      </c>
      <c r="M209" s="26">
        <f>IFERROR(IF($F$4="","",IF($K$5+ROW()-26&gt;$K$6,"",IF(INDEX('Raw Pressure Data'!$A:$ZZ,$K$5+ROW()-26+$H$4,MATCH($F$4,'Raw Pressure Data'!$1:$1,0))=-999,"",INDEX('Raw Pressure Data'!$A:$ZZ,$K$5+ROW()-26+$H$4,MATCH($F$4,'Raw Pressure Data'!$1:$1,0))+$G$4))),"")</f>
        <v/>
      </c>
      <c r="N209" s="26">
        <f>IFERROR(IF($F$5="","",IF($K$5+ROW()-26&gt;$K$6,"",IF(INDEX('Raw Pressure Data'!$A:$ZZ,$K$5+ROW()-26+$H$5,MATCH($F$5,'Raw Pressure Data'!$1:$1,0))=-999,"",INDEX('Raw Pressure Data'!$A:$ZZ,$K$5+ROW()-26+$H$5,MATCH($F$5,'Raw Pressure Data'!$1:$1,0))+$G$5))),"")</f>
        <v/>
      </c>
      <c r="O209" s="26">
        <f>IFERROR(IF($F$6="","",IF($K$5+ROW()-26&gt;$K$6,"",IF(INDEX('Raw Pressure Data'!$A:$ZZ,$K$5+ROW()-26+$H$6,MATCH($F$6,'Raw Pressure Data'!$1:$1,0))=-999,"",INDEX('Raw Pressure Data'!$A:$ZZ,$K$5+ROW()-26+$H$6,MATCH($F$6,'Raw Pressure Data'!$1:$1,0))+$G$6))),"")</f>
        <v/>
      </c>
      <c r="P209" s="26">
        <f>IFERROR(IF($F$7="","",IF($K$5+ROW()-26&gt;$K$6,"",IF(INDEX('Raw Pressure Data'!$A:$ZZ,$K$5+ROW()-26+$H$7,MATCH($F$7,'Raw Pressure Data'!$1:$1,0))=-999,"",INDEX('Raw Pressure Data'!$A:$ZZ,$K$5+ROW()-26+$H$7,MATCH($F$7,'Raw Pressure Data'!$1:$1,0))+$G$7))),"")</f>
        <v/>
      </c>
      <c r="Q209" s="26">
        <f>IFERROR(IF($F$8="","",IF($K$5+ROW()-26&gt;$K$6,"",IF(INDEX('Raw Pressure Data'!$A:$ZZ,$K$5+ROW()-26+$H$8,MATCH($F$8,'Raw Pressure Data'!$1:$1,0))=-999,"",INDEX('Raw Pressure Data'!$A:$ZZ,$K$5+ROW()-26+$H$8,MATCH($F$8,'Raw Pressure Data'!$1:$1,0))+$G$8))),"")</f>
        <v/>
      </c>
      <c r="R209" s="26">
        <f>IFERROR(IF($F$9="","",IF($K$5+ROW()-26&gt;$K$6,"",IF(INDEX('Raw Pressure Data'!$A:$ZZ,$K$5+ROW()-26+$H$9,MATCH($F$9,'Raw Pressure Data'!$1:$1,0))=-999,"",INDEX('Raw Pressure Data'!$A:$ZZ,$K$5+ROW()-26+$H$9,MATCH($F$9,'Raw Pressure Data'!$1:$1,0))+$G$9))),"")</f>
        <v/>
      </c>
      <c r="S209" s="26">
        <f>IFERROR(IF($F$10="","",IF($K$5+ROW()-26&gt;$K$6,"",IF(INDEX('Raw Pressure Data'!$A:$ZZ,$K$5+ROW()-26+$H$10,MATCH($F$10,'Raw Pressure Data'!$1:$1,0))=-999,"",INDEX('Raw Pressure Data'!$A:$ZZ,$K$5+ROW()-26+$H$10,MATCH($F$10,'Raw Pressure Data'!$1:$1,0))+$G$10))),"")</f>
        <v/>
      </c>
      <c r="T209" s="26">
        <f>IFERROR(IF($F$11="","",IF($K$5+ROW()-26&gt;$K$6,"",IF(INDEX('Raw Pressure Data'!$A:$ZZ,$K$5+ROW()-26+$H$11,MATCH($F$11,'Raw Pressure Data'!$1:$1,0))=-999,"",INDEX('Raw Pressure Data'!$A:$ZZ,$K$5+ROW()-26+$H$11,MATCH($F$11,'Raw Pressure Data'!$1:$1,0))+$G$11))),"")</f>
        <v/>
      </c>
      <c r="U209" s="26">
        <f>IFERROR(IF($F$12="","",IF($K$5+ROW()-26&gt;$K$6,"",IF(INDEX('Raw Pressure Data'!$A:$ZZ,$K$5+ROW()-26+$H$12,MATCH($F$12,'Raw Pressure Data'!$1:$1,0))=-999,"",INDEX('Raw Pressure Data'!$A:$ZZ,$K$5+ROW()-26+$H$12,MATCH($F$12,'Raw Pressure Data'!$1:$1,0))+$G$12))),"")</f>
        <v/>
      </c>
      <c r="V209" s="26">
        <f>IFERROR(IF($F$13="","",IF($K$5+ROW()-26&gt;$K$6,"",IF(INDEX('Raw Pressure Data'!$A:$ZZ,$K$5+ROW()-26+$H$13,MATCH($F$13,'Raw Pressure Data'!$1:$1,0))=-999,"",INDEX('Raw Pressure Data'!$A:$ZZ,$K$5+ROW()-26+$H$13,MATCH($F$13,'Raw Pressure Data'!$1:$1,0))+$G$13))),"")</f>
        <v/>
      </c>
      <c r="W209" s="26">
        <f>IFERROR(IF($F$14="","",IF($K$5+ROW()-26&gt;$K$6,"",IF(INDEX('Raw Pressure Data'!$A:$ZZ,$K$5+ROW()-26+$H$14,MATCH($F$14,'Raw Pressure Data'!$1:$1,0))=-999,"",INDEX('Raw Pressure Data'!$A:$ZZ,$K$5+ROW()-26+$H$14,MATCH($F$14,'Raw Pressure Data'!$1:$1,0))+$G$14))),"")</f>
        <v/>
      </c>
      <c r="X209" s="26">
        <f>IFERROR(IF($F$15="","",IF($K$5+ROW()-26&gt;$K$6,"",IF(INDEX('Raw Pressure Data'!$A:$ZZ,$K$5+ROW()-26+$H$15,MATCH($F$15,'Raw Pressure Data'!$1:$1,0))=-999,"",INDEX('Raw Pressure Data'!$A:$ZZ,$K$5+ROW()-26+$H$15,MATCH($F$15,'Raw Pressure Data'!$1:$1,0))+$G$15))),"")</f>
        <v/>
      </c>
      <c r="Y209" s="26">
        <f>IFERROR(IF($F$16="","",IF($K$5+ROW()-26&gt;$K$6,"",IF(INDEX('Raw Pressure Data'!$A:$ZZ,$K$5+ROW()-26+$H$16,MATCH($F$16,'Raw Pressure Data'!$1:$1,0))=-999,"",INDEX('Raw Pressure Data'!$A:$ZZ,$K$5+ROW()-26+$H$16,MATCH($F$16,'Raw Pressure Data'!$1:$1,0))+$G$16))),"")</f>
        <v/>
      </c>
      <c r="Z209" s="26">
        <f>IFERROR(IF($F$17="","",IF($K$5+ROW()-26&gt;$K$6,"",IF(INDEX('Raw Pressure Data'!$A:$ZZ,$K$5+ROW()-26+$H$17,MATCH($F$17,'Raw Pressure Data'!$1:$1,0))=-999,"",INDEX('Raw Pressure Data'!$A:$ZZ,$K$5+ROW()-26+$H$17,MATCH($F$17,'Raw Pressure Data'!$1:$1,0))+$G$17))),"")</f>
        <v/>
      </c>
      <c r="AA209" s="26">
        <f>IFERROR(IF($F$18="","",IF($K$5+ROW()-26&gt;$K$6,"",IF(INDEX('Raw Pressure Data'!$A:$ZZ,$K$5+ROW()-26+$H$18,MATCH($F$18,'Raw Pressure Data'!$1:$1,0))=-999,"",INDEX('Raw Pressure Data'!$A:$ZZ,$K$5+ROW()-26+$H$18,MATCH($F$18,'Raw Pressure Data'!$1:$1,0))+$G$18))),"")</f>
        <v/>
      </c>
      <c r="AB209" s="26">
        <f>IFERROR(IF($F$19="","",IF($K$5+ROW()-26&gt;$K$6,"",IF(INDEX('Raw Pressure Data'!$A:$ZZ,$K$5+ROW()-26+$H$19,MATCH($F$19,'Raw Pressure Data'!$1:$1,0))=-999,"",INDEX('Raw Pressure Data'!$A:$ZZ,$K$5+ROW()-26+$H$19,MATCH($F$19,'Raw Pressure Data'!$1:$1,0))+$G$19))),"")</f>
        <v/>
      </c>
      <c r="AC209" s="26">
        <f>IFERROR(IF($F$20="","",IF($K$5+ROW()-26&gt;$K$6,"",IF(INDEX('Raw Pressure Data'!$A:$ZZ,$K$5+ROW()-26+$H$20,MATCH($F$20,'Raw Pressure Data'!$1:$1,0))=-999,"",INDEX('Raw Pressure Data'!$A:$ZZ,$K$5+ROW()-26+$H$20,MATCH($F$20,'Raw Pressure Data'!$1:$1,0))+$G$20))),"")</f>
        <v/>
      </c>
      <c r="AD209" s="26">
        <f>IFERROR(IF($F$21="","",IF($K$5+ROW()-26&gt;$K$6,"",IF(INDEX('Raw Pressure Data'!$A:$ZZ,$K$5+ROW()-26+$H$21,MATCH($F$21,'Raw Pressure Data'!$1:$1,0))=-999,"",INDEX('Raw Pressure Data'!$A:$ZZ,$K$5+ROW()-26+$H$21,MATCH($F$21,'Raw Pressure Data'!$1:$1,0))+$G$21))),"")</f>
        <v/>
      </c>
      <c r="AE209" s="26">
        <f>IFERROR(IF($F$22="","",IF($K$5+ROW()-26&gt;$K$6,"",IF(INDEX('Raw Pressure Data'!$A:$ZZ,$K$5+ROW()-26+$H$22,MATCH($F$22,'Raw Pressure Data'!$1:$1,0))=-999,"",INDEX('Raw Pressure Data'!$A:$ZZ,$K$5+ROW()-26+$H$22,MATCH($F$22,'Raw Pressure Data'!$1:$1,0))+$G$22))),"")</f>
        <v/>
      </c>
    </row>
    <row r="210" ht="15" customHeight="1">
      <c r="A210" s="23">
        <f>IFERROR(IF($K$5+ROW()-26&gt;$K$6,"",IF(INDEX('Raw Flow Data'!$A:$A,$K$5+ROW()-26)="","",INDEX('Raw Flow Data'!$A:$A,$K$5+ROW()-26))),"")</f>
        <v/>
      </c>
      <c r="B210" s="24">
        <f>IFERROR(IF($B$3="","",IF($K$5+ROW()-26&gt;$K$6,"",IF(INDEX('Raw Flow Data'!$A:$ZZ,$K$5+ROW()-26+$D$3,MATCH($B$3,'Raw Flow Data'!$1:$1,0))=-999,"",INDEX('Raw Flow Data'!$A:$ZZ,$K$5+ROW()-26+$D$3,MATCH($B$3,'Raw Flow Data'!$1:$1,0))*$C$3))),"")</f>
        <v/>
      </c>
      <c r="C210" s="24">
        <f>IFERROR(IF($B$4="","",IF($K$5+ROW()-26&gt;$K$6,"",IF(INDEX('Raw Flow Data'!$A:$ZZ,$K$5+ROW()-26+$D$4,MATCH($B$4,'Raw Flow Data'!$1:$1,0))=-999,"",INDEX('Raw Flow Data'!$A:$ZZ,$K$5+ROW()-26+$D$4,MATCH($B$4,'Raw Flow Data'!$1:$1,0))*$C$4))),"")</f>
        <v/>
      </c>
      <c r="D210" s="24">
        <f>IFERROR(IF($B$5="","",IF($K$5+ROW()-26&gt;$K$6,"",IF(INDEX('Raw Flow Data'!$A:$ZZ,$K$5+ROW()-26+$D$5,MATCH($B$5,'Raw Flow Data'!$1:$1,0))=-999,"",INDEX('Raw Flow Data'!$A:$ZZ,$K$5+ROW()-26+$D$5,MATCH($B$5,'Raw Flow Data'!$1:$1,0))*$C$5))),"")</f>
        <v/>
      </c>
      <c r="E210" s="24">
        <f>IFERROR(IF($B$6="","",IF($K$5+ROW()-26&gt;$K$6,"",IF(INDEX('Raw Flow Data'!$A:$ZZ,$K$5+ROW()-26+$D$6,MATCH($B$6,'Raw Flow Data'!$1:$1,0))=-999,"",INDEX('Raw Flow Data'!$A:$ZZ,$K$5+ROW()-26+$D$6,MATCH($B$6,'Raw Flow Data'!$1:$1,0))*$C$6))),"")</f>
        <v/>
      </c>
      <c r="F210" s="24">
        <f>IFERROR(IF($B$7="","",IF($K$5+ROW()-26&gt;$K$6,"",IF(INDEX('Raw Flow Data'!$A:$ZZ,$K$5+ROW()-26+$D$7,MATCH($B$7,'Raw Flow Data'!$1:$1,0))=-999,"",INDEX('Raw Flow Data'!$A:$ZZ,$K$5+ROW()-26+$D$7,MATCH($B$7,'Raw Flow Data'!$1:$1,0))*$C$7))),"")</f>
        <v/>
      </c>
      <c r="G210" s="24">
        <f>IFERROR(IF($B$8="","",IF($K$5+ROW()-26&gt;$K$6,"",IF(INDEX('Raw Flow Data'!$A:$ZZ,$K$5+ROW()-26+$D$8,MATCH($B$8,'Raw Flow Data'!$1:$1,0))=-999,"",INDEX('Raw Flow Data'!$A:$ZZ,$K$5+ROW()-26+$D$8,MATCH($B$8,'Raw Flow Data'!$1:$1,0))*$C$8))),"")</f>
        <v/>
      </c>
      <c r="H210" s="24">
        <f>IFERROR(IF($B$9="","",IF($K$5+ROW()-26&gt;$K$6,"",IF(INDEX('Raw Flow Data'!$A:$ZZ,$K$5+ROW()-26+$D$9,MATCH($B$9,'Raw Flow Data'!$1:$1,0))=-999,"",INDEX('Raw Flow Data'!$A:$ZZ,$K$5+ROW()-26+$D$9,MATCH($B$9,'Raw Flow Data'!$1:$1,0))*$C$9))),"")</f>
        <v/>
      </c>
      <c r="I210" s="24">
        <f>IFERROR(IF($B$10="","",IF($K$5+ROW()-26&gt;$K$6,"",IF(INDEX('Raw Flow Data'!$A:$ZZ,$K$5+ROW()-26+$D$10,MATCH($B$10,'Raw Flow Data'!$1:$1,0))=-999,"",INDEX('Raw Flow Data'!$A:$ZZ,$K$5+ROW()-26+$D$10,MATCH($B$10,'Raw Flow Data'!$1:$1,0))*$C$10))),"")</f>
        <v/>
      </c>
      <c r="J210" s="24">
        <f>IFERROR(IF($B$11="","",IF($K$5+ROW()-26&gt;$K$6,"",IF(INDEX('Raw Flow Data'!$A:$ZZ,$K$5+ROW()-26+$D$11,MATCH($B$11,'Raw Flow Data'!$1:$1,0))=-999,"",INDEX('Raw Flow Data'!$A:$ZZ,$K$5+ROW()-26+$D$11,MATCH($B$11,'Raw Flow Data'!$1:$1,0))*$C$11))),"")</f>
        <v/>
      </c>
      <c r="K210" s="24">
        <f>IFERROR(IF($B$12="","",IF($K$5+ROW()-26&gt;$K$6,"",IF(INDEX('Raw Flow Data'!$A:$ZZ,$K$5+ROW()-26+$D$12,MATCH($B$12,'Raw Flow Data'!$1:$1,0))=-999,"",INDEX('Raw Flow Data'!$A:$ZZ,$K$5+ROW()-26+$D$12,MATCH($B$12,'Raw Flow Data'!$1:$1,0))*$C$12))),"")</f>
        <v/>
      </c>
      <c r="L210" s="24">
        <f>IFERROR(IF($F$3="","",IF($K$5+ROW()-26&gt;$K$6,"",IF(INDEX('Raw Pressure Data'!$A:$ZZ,$K$5+ROW()-26+$H$3,MATCH($F$3,'Raw Pressure Data'!$1:$1,0))=-999,"",INDEX('Raw Pressure Data'!$A:$ZZ,$K$5+ROW()-26+$H$3,MATCH($F$3,'Raw Pressure Data'!$1:$1,0))+$G$3))),"")</f>
        <v/>
      </c>
      <c r="M210" s="24">
        <f>IFERROR(IF($F$4="","",IF($K$5+ROW()-26&gt;$K$6,"",IF(INDEX('Raw Pressure Data'!$A:$ZZ,$K$5+ROW()-26+$H$4,MATCH($F$4,'Raw Pressure Data'!$1:$1,0))=-999,"",INDEX('Raw Pressure Data'!$A:$ZZ,$K$5+ROW()-26+$H$4,MATCH($F$4,'Raw Pressure Data'!$1:$1,0))+$G$4))),"")</f>
        <v/>
      </c>
      <c r="N210" s="24">
        <f>IFERROR(IF($F$5="","",IF($K$5+ROW()-26&gt;$K$6,"",IF(INDEX('Raw Pressure Data'!$A:$ZZ,$K$5+ROW()-26+$H$5,MATCH($F$5,'Raw Pressure Data'!$1:$1,0))=-999,"",INDEX('Raw Pressure Data'!$A:$ZZ,$K$5+ROW()-26+$H$5,MATCH($F$5,'Raw Pressure Data'!$1:$1,0))+$G$5))),"")</f>
        <v/>
      </c>
      <c r="O210" s="24">
        <f>IFERROR(IF($F$6="","",IF($K$5+ROW()-26&gt;$K$6,"",IF(INDEX('Raw Pressure Data'!$A:$ZZ,$K$5+ROW()-26+$H$6,MATCH($F$6,'Raw Pressure Data'!$1:$1,0))=-999,"",INDEX('Raw Pressure Data'!$A:$ZZ,$K$5+ROW()-26+$H$6,MATCH($F$6,'Raw Pressure Data'!$1:$1,0))+$G$6))),"")</f>
        <v/>
      </c>
      <c r="P210" s="24">
        <f>IFERROR(IF($F$7="","",IF($K$5+ROW()-26&gt;$K$6,"",IF(INDEX('Raw Pressure Data'!$A:$ZZ,$K$5+ROW()-26+$H$7,MATCH($F$7,'Raw Pressure Data'!$1:$1,0))=-999,"",INDEX('Raw Pressure Data'!$A:$ZZ,$K$5+ROW()-26+$H$7,MATCH($F$7,'Raw Pressure Data'!$1:$1,0))+$G$7))),"")</f>
        <v/>
      </c>
      <c r="Q210" s="24">
        <f>IFERROR(IF($F$8="","",IF($K$5+ROW()-26&gt;$K$6,"",IF(INDEX('Raw Pressure Data'!$A:$ZZ,$K$5+ROW()-26+$H$8,MATCH($F$8,'Raw Pressure Data'!$1:$1,0))=-999,"",INDEX('Raw Pressure Data'!$A:$ZZ,$K$5+ROW()-26+$H$8,MATCH($F$8,'Raw Pressure Data'!$1:$1,0))+$G$8))),"")</f>
        <v/>
      </c>
      <c r="R210" s="24">
        <f>IFERROR(IF($F$9="","",IF($K$5+ROW()-26&gt;$K$6,"",IF(INDEX('Raw Pressure Data'!$A:$ZZ,$K$5+ROW()-26+$H$9,MATCH($F$9,'Raw Pressure Data'!$1:$1,0))=-999,"",INDEX('Raw Pressure Data'!$A:$ZZ,$K$5+ROW()-26+$H$9,MATCH($F$9,'Raw Pressure Data'!$1:$1,0))+$G$9))),"")</f>
        <v/>
      </c>
      <c r="S210" s="24">
        <f>IFERROR(IF($F$10="","",IF($K$5+ROW()-26&gt;$K$6,"",IF(INDEX('Raw Pressure Data'!$A:$ZZ,$K$5+ROW()-26+$H$10,MATCH($F$10,'Raw Pressure Data'!$1:$1,0))=-999,"",INDEX('Raw Pressure Data'!$A:$ZZ,$K$5+ROW()-26+$H$10,MATCH($F$10,'Raw Pressure Data'!$1:$1,0))+$G$10))),"")</f>
        <v/>
      </c>
      <c r="T210" s="24">
        <f>IFERROR(IF($F$11="","",IF($K$5+ROW()-26&gt;$K$6,"",IF(INDEX('Raw Pressure Data'!$A:$ZZ,$K$5+ROW()-26+$H$11,MATCH($F$11,'Raw Pressure Data'!$1:$1,0))=-999,"",INDEX('Raw Pressure Data'!$A:$ZZ,$K$5+ROW()-26+$H$11,MATCH($F$11,'Raw Pressure Data'!$1:$1,0))+$G$11))),"")</f>
        <v/>
      </c>
      <c r="U210" s="24">
        <f>IFERROR(IF($F$12="","",IF($K$5+ROW()-26&gt;$K$6,"",IF(INDEX('Raw Pressure Data'!$A:$ZZ,$K$5+ROW()-26+$H$12,MATCH($F$12,'Raw Pressure Data'!$1:$1,0))=-999,"",INDEX('Raw Pressure Data'!$A:$ZZ,$K$5+ROW()-26+$H$12,MATCH($F$12,'Raw Pressure Data'!$1:$1,0))+$G$12))),"")</f>
        <v/>
      </c>
      <c r="V210" s="24">
        <f>IFERROR(IF($F$13="","",IF($K$5+ROW()-26&gt;$K$6,"",IF(INDEX('Raw Pressure Data'!$A:$ZZ,$K$5+ROW()-26+$H$13,MATCH($F$13,'Raw Pressure Data'!$1:$1,0))=-999,"",INDEX('Raw Pressure Data'!$A:$ZZ,$K$5+ROW()-26+$H$13,MATCH($F$13,'Raw Pressure Data'!$1:$1,0))+$G$13))),"")</f>
        <v/>
      </c>
      <c r="W210" s="24">
        <f>IFERROR(IF($F$14="","",IF($K$5+ROW()-26&gt;$K$6,"",IF(INDEX('Raw Pressure Data'!$A:$ZZ,$K$5+ROW()-26+$H$14,MATCH($F$14,'Raw Pressure Data'!$1:$1,0))=-999,"",INDEX('Raw Pressure Data'!$A:$ZZ,$K$5+ROW()-26+$H$14,MATCH($F$14,'Raw Pressure Data'!$1:$1,0))+$G$14))),"")</f>
        <v/>
      </c>
      <c r="X210" s="24">
        <f>IFERROR(IF($F$15="","",IF($K$5+ROW()-26&gt;$K$6,"",IF(INDEX('Raw Pressure Data'!$A:$ZZ,$K$5+ROW()-26+$H$15,MATCH($F$15,'Raw Pressure Data'!$1:$1,0))=-999,"",INDEX('Raw Pressure Data'!$A:$ZZ,$K$5+ROW()-26+$H$15,MATCH($F$15,'Raw Pressure Data'!$1:$1,0))+$G$15))),"")</f>
        <v/>
      </c>
      <c r="Y210" s="24">
        <f>IFERROR(IF($F$16="","",IF($K$5+ROW()-26&gt;$K$6,"",IF(INDEX('Raw Pressure Data'!$A:$ZZ,$K$5+ROW()-26+$H$16,MATCH($F$16,'Raw Pressure Data'!$1:$1,0))=-999,"",INDEX('Raw Pressure Data'!$A:$ZZ,$K$5+ROW()-26+$H$16,MATCH($F$16,'Raw Pressure Data'!$1:$1,0))+$G$16))),"")</f>
        <v/>
      </c>
      <c r="Z210" s="24">
        <f>IFERROR(IF($F$17="","",IF($K$5+ROW()-26&gt;$K$6,"",IF(INDEX('Raw Pressure Data'!$A:$ZZ,$K$5+ROW()-26+$H$17,MATCH($F$17,'Raw Pressure Data'!$1:$1,0))=-999,"",INDEX('Raw Pressure Data'!$A:$ZZ,$K$5+ROW()-26+$H$17,MATCH($F$17,'Raw Pressure Data'!$1:$1,0))+$G$17))),"")</f>
        <v/>
      </c>
      <c r="AA210" s="24">
        <f>IFERROR(IF($F$18="","",IF($K$5+ROW()-26&gt;$K$6,"",IF(INDEX('Raw Pressure Data'!$A:$ZZ,$K$5+ROW()-26+$H$18,MATCH($F$18,'Raw Pressure Data'!$1:$1,0))=-999,"",INDEX('Raw Pressure Data'!$A:$ZZ,$K$5+ROW()-26+$H$18,MATCH($F$18,'Raw Pressure Data'!$1:$1,0))+$G$18))),"")</f>
        <v/>
      </c>
      <c r="AB210" s="24">
        <f>IFERROR(IF($F$19="","",IF($K$5+ROW()-26&gt;$K$6,"",IF(INDEX('Raw Pressure Data'!$A:$ZZ,$K$5+ROW()-26+$H$19,MATCH($F$19,'Raw Pressure Data'!$1:$1,0))=-999,"",INDEX('Raw Pressure Data'!$A:$ZZ,$K$5+ROW()-26+$H$19,MATCH($F$19,'Raw Pressure Data'!$1:$1,0))+$G$19))),"")</f>
        <v/>
      </c>
      <c r="AC210" s="24">
        <f>IFERROR(IF($F$20="","",IF($K$5+ROW()-26&gt;$K$6,"",IF(INDEX('Raw Pressure Data'!$A:$ZZ,$K$5+ROW()-26+$H$20,MATCH($F$20,'Raw Pressure Data'!$1:$1,0))=-999,"",INDEX('Raw Pressure Data'!$A:$ZZ,$K$5+ROW()-26+$H$20,MATCH($F$20,'Raw Pressure Data'!$1:$1,0))+$G$20))),"")</f>
        <v/>
      </c>
      <c r="AD210" s="24">
        <f>IFERROR(IF($F$21="","",IF($K$5+ROW()-26&gt;$K$6,"",IF(INDEX('Raw Pressure Data'!$A:$ZZ,$K$5+ROW()-26+$H$21,MATCH($F$21,'Raw Pressure Data'!$1:$1,0))=-999,"",INDEX('Raw Pressure Data'!$A:$ZZ,$K$5+ROW()-26+$H$21,MATCH($F$21,'Raw Pressure Data'!$1:$1,0))+$G$21))),"")</f>
        <v/>
      </c>
      <c r="AE210" s="24">
        <f>IFERROR(IF($F$22="","",IF($K$5+ROW()-26&gt;$K$6,"",IF(INDEX('Raw Pressure Data'!$A:$ZZ,$K$5+ROW()-26+$H$22,MATCH($F$22,'Raw Pressure Data'!$1:$1,0))=-999,"",INDEX('Raw Pressure Data'!$A:$ZZ,$K$5+ROW()-26+$H$22,MATCH($F$22,'Raw Pressure Data'!$1:$1,0))+$G$22))),"")</f>
        <v/>
      </c>
    </row>
    <row r="211" ht="15" customHeight="1">
      <c r="A211" s="25">
        <f>IFERROR(IF($K$5+ROW()-26&gt;$K$6,"",IF(INDEX('Raw Flow Data'!$A:$A,$K$5+ROW()-26)="","",INDEX('Raw Flow Data'!$A:$A,$K$5+ROW()-26))),"")</f>
        <v/>
      </c>
      <c r="B211" s="26">
        <f>IFERROR(IF($B$3="","",IF($K$5+ROW()-26&gt;$K$6,"",IF(INDEX('Raw Flow Data'!$A:$ZZ,$K$5+ROW()-26+$D$3,MATCH($B$3,'Raw Flow Data'!$1:$1,0))=-999,"",INDEX('Raw Flow Data'!$A:$ZZ,$K$5+ROW()-26+$D$3,MATCH($B$3,'Raw Flow Data'!$1:$1,0))*$C$3))),"")</f>
        <v/>
      </c>
      <c r="C211" s="26">
        <f>IFERROR(IF($B$4="","",IF($K$5+ROW()-26&gt;$K$6,"",IF(INDEX('Raw Flow Data'!$A:$ZZ,$K$5+ROW()-26+$D$4,MATCH($B$4,'Raw Flow Data'!$1:$1,0))=-999,"",INDEX('Raw Flow Data'!$A:$ZZ,$K$5+ROW()-26+$D$4,MATCH($B$4,'Raw Flow Data'!$1:$1,0))*$C$4))),"")</f>
        <v/>
      </c>
      <c r="D211" s="26">
        <f>IFERROR(IF($B$5="","",IF($K$5+ROW()-26&gt;$K$6,"",IF(INDEX('Raw Flow Data'!$A:$ZZ,$K$5+ROW()-26+$D$5,MATCH($B$5,'Raw Flow Data'!$1:$1,0))=-999,"",INDEX('Raw Flow Data'!$A:$ZZ,$K$5+ROW()-26+$D$5,MATCH($B$5,'Raw Flow Data'!$1:$1,0))*$C$5))),"")</f>
        <v/>
      </c>
      <c r="E211" s="26">
        <f>IFERROR(IF($B$6="","",IF($K$5+ROW()-26&gt;$K$6,"",IF(INDEX('Raw Flow Data'!$A:$ZZ,$K$5+ROW()-26+$D$6,MATCH($B$6,'Raw Flow Data'!$1:$1,0))=-999,"",INDEX('Raw Flow Data'!$A:$ZZ,$K$5+ROW()-26+$D$6,MATCH($B$6,'Raw Flow Data'!$1:$1,0))*$C$6))),"")</f>
        <v/>
      </c>
      <c r="F211" s="26">
        <f>IFERROR(IF($B$7="","",IF($K$5+ROW()-26&gt;$K$6,"",IF(INDEX('Raw Flow Data'!$A:$ZZ,$K$5+ROW()-26+$D$7,MATCH($B$7,'Raw Flow Data'!$1:$1,0))=-999,"",INDEX('Raw Flow Data'!$A:$ZZ,$K$5+ROW()-26+$D$7,MATCH($B$7,'Raw Flow Data'!$1:$1,0))*$C$7))),"")</f>
        <v/>
      </c>
      <c r="G211" s="26">
        <f>IFERROR(IF($B$8="","",IF($K$5+ROW()-26&gt;$K$6,"",IF(INDEX('Raw Flow Data'!$A:$ZZ,$K$5+ROW()-26+$D$8,MATCH($B$8,'Raw Flow Data'!$1:$1,0))=-999,"",INDEX('Raw Flow Data'!$A:$ZZ,$K$5+ROW()-26+$D$8,MATCH($B$8,'Raw Flow Data'!$1:$1,0))*$C$8))),"")</f>
        <v/>
      </c>
      <c r="H211" s="26">
        <f>IFERROR(IF($B$9="","",IF($K$5+ROW()-26&gt;$K$6,"",IF(INDEX('Raw Flow Data'!$A:$ZZ,$K$5+ROW()-26+$D$9,MATCH($B$9,'Raw Flow Data'!$1:$1,0))=-999,"",INDEX('Raw Flow Data'!$A:$ZZ,$K$5+ROW()-26+$D$9,MATCH($B$9,'Raw Flow Data'!$1:$1,0))*$C$9))),"")</f>
        <v/>
      </c>
      <c r="I211" s="26">
        <f>IFERROR(IF($B$10="","",IF($K$5+ROW()-26&gt;$K$6,"",IF(INDEX('Raw Flow Data'!$A:$ZZ,$K$5+ROW()-26+$D$10,MATCH($B$10,'Raw Flow Data'!$1:$1,0))=-999,"",INDEX('Raw Flow Data'!$A:$ZZ,$K$5+ROW()-26+$D$10,MATCH($B$10,'Raw Flow Data'!$1:$1,0))*$C$10))),"")</f>
        <v/>
      </c>
      <c r="J211" s="26">
        <f>IFERROR(IF($B$11="","",IF($K$5+ROW()-26&gt;$K$6,"",IF(INDEX('Raw Flow Data'!$A:$ZZ,$K$5+ROW()-26+$D$11,MATCH($B$11,'Raw Flow Data'!$1:$1,0))=-999,"",INDEX('Raw Flow Data'!$A:$ZZ,$K$5+ROW()-26+$D$11,MATCH($B$11,'Raw Flow Data'!$1:$1,0))*$C$11))),"")</f>
        <v/>
      </c>
      <c r="K211" s="26">
        <f>IFERROR(IF($B$12="","",IF($K$5+ROW()-26&gt;$K$6,"",IF(INDEX('Raw Flow Data'!$A:$ZZ,$K$5+ROW()-26+$D$12,MATCH($B$12,'Raw Flow Data'!$1:$1,0))=-999,"",INDEX('Raw Flow Data'!$A:$ZZ,$K$5+ROW()-26+$D$12,MATCH($B$12,'Raw Flow Data'!$1:$1,0))*$C$12))),"")</f>
        <v/>
      </c>
      <c r="L211" s="26">
        <f>IFERROR(IF($F$3="","",IF($K$5+ROW()-26&gt;$K$6,"",IF(INDEX('Raw Pressure Data'!$A:$ZZ,$K$5+ROW()-26+$H$3,MATCH($F$3,'Raw Pressure Data'!$1:$1,0))=-999,"",INDEX('Raw Pressure Data'!$A:$ZZ,$K$5+ROW()-26+$H$3,MATCH($F$3,'Raw Pressure Data'!$1:$1,0))+$G$3))),"")</f>
        <v/>
      </c>
      <c r="M211" s="26">
        <f>IFERROR(IF($F$4="","",IF($K$5+ROW()-26&gt;$K$6,"",IF(INDEX('Raw Pressure Data'!$A:$ZZ,$K$5+ROW()-26+$H$4,MATCH($F$4,'Raw Pressure Data'!$1:$1,0))=-999,"",INDEX('Raw Pressure Data'!$A:$ZZ,$K$5+ROW()-26+$H$4,MATCH($F$4,'Raw Pressure Data'!$1:$1,0))+$G$4))),"")</f>
        <v/>
      </c>
      <c r="N211" s="26">
        <f>IFERROR(IF($F$5="","",IF($K$5+ROW()-26&gt;$K$6,"",IF(INDEX('Raw Pressure Data'!$A:$ZZ,$K$5+ROW()-26+$H$5,MATCH($F$5,'Raw Pressure Data'!$1:$1,0))=-999,"",INDEX('Raw Pressure Data'!$A:$ZZ,$K$5+ROW()-26+$H$5,MATCH($F$5,'Raw Pressure Data'!$1:$1,0))+$G$5))),"")</f>
        <v/>
      </c>
      <c r="O211" s="26">
        <f>IFERROR(IF($F$6="","",IF($K$5+ROW()-26&gt;$K$6,"",IF(INDEX('Raw Pressure Data'!$A:$ZZ,$K$5+ROW()-26+$H$6,MATCH($F$6,'Raw Pressure Data'!$1:$1,0))=-999,"",INDEX('Raw Pressure Data'!$A:$ZZ,$K$5+ROW()-26+$H$6,MATCH($F$6,'Raw Pressure Data'!$1:$1,0))+$G$6))),"")</f>
        <v/>
      </c>
      <c r="P211" s="26">
        <f>IFERROR(IF($F$7="","",IF($K$5+ROW()-26&gt;$K$6,"",IF(INDEX('Raw Pressure Data'!$A:$ZZ,$K$5+ROW()-26+$H$7,MATCH($F$7,'Raw Pressure Data'!$1:$1,0))=-999,"",INDEX('Raw Pressure Data'!$A:$ZZ,$K$5+ROW()-26+$H$7,MATCH($F$7,'Raw Pressure Data'!$1:$1,0))+$G$7))),"")</f>
        <v/>
      </c>
      <c r="Q211" s="26">
        <f>IFERROR(IF($F$8="","",IF($K$5+ROW()-26&gt;$K$6,"",IF(INDEX('Raw Pressure Data'!$A:$ZZ,$K$5+ROW()-26+$H$8,MATCH($F$8,'Raw Pressure Data'!$1:$1,0))=-999,"",INDEX('Raw Pressure Data'!$A:$ZZ,$K$5+ROW()-26+$H$8,MATCH($F$8,'Raw Pressure Data'!$1:$1,0))+$G$8))),"")</f>
        <v/>
      </c>
      <c r="R211" s="26">
        <f>IFERROR(IF($F$9="","",IF($K$5+ROW()-26&gt;$K$6,"",IF(INDEX('Raw Pressure Data'!$A:$ZZ,$K$5+ROW()-26+$H$9,MATCH($F$9,'Raw Pressure Data'!$1:$1,0))=-999,"",INDEX('Raw Pressure Data'!$A:$ZZ,$K$5+ROW()-26+$H$9,MATCH($F$9,'Raw Pressure Data'!$1:$1,0))+$G$9))),"")</f>
        <v/>
      </c>
      <c r="S211" s="26">
        <f>IFERROR(IF($F$10="","",IF($K$5+ROW()-26&gt;$K$6,"",IF(INDEX('Raw Pressure Data'!$A:$ZZ,$K$5+ROW()-26+$H$10,MATCH($F$10,'Raw Pressure Data'!$1:$1,0))=-999,"",INDEX('Raw Pressure Data'!$A:$ZZ,$K$5+ROW()-26+$H$10,MATCH($F$10,'Raw Pressure Data'!$1:$1,0))+$G$10))),"")</f>
        <v/>
      </c>
      <c r="T211" s="26">
        <f>IFERROR(IF($F$11="","",IF($K$5+ROW()-26&gt;$K$6,"",IF(INDEX('Raw Pressure Data'!$A:$ZZ,$K$5+ROW()-26+$H$11,MATCH($F$11,'Raw Pressure Data'!$1:$1,0))=-999,"",INDEX('Raw Pressure Data'!$A:$ZZ,$K$5+ROW()-26+$H$11,MATCH($F$11,'Raw Pressure Data'!$1:$1,0))+$G$11))),"")</f>
        <v/>
      </c>
      <c r="U211" s="26">
        <f>IFERROR(IF($F$12="","",IF($K$5+ROW()-26&gt;$K$6,"",IF(INDEX('Raw Pressure Data'!$A:$ZZ,$K$5+ROW()-26+$H$12,MATCH($F$12,'Raw Pressure Data'!$1:$1,0))=-999,"",INDEX('Raw Pressure Data'!$A:$ZZ,$K$5+ROW()-26+$H$12,MATCH($F$12,'Raw Pressure Data'!$1:$1,0))+$G$12))),"")</f>
        <v/>
      </c>
      <c r="V211" s="26">
        <f>IFERROR(IF($F$13="","",IF($K$5+ROW()-26&gt;$K$6,"",IF(INDEX('Raw Pressure Data'!$A:$ZZ,$K$5+ROW()-26+$H$13,MATCH($F$13,'Raw Pressure Data'!$1:$1,0))=-999,"",INDEX('Raw Pressure Data'!$A:$ZZ,$K$5+ROW()-26+$H$13,MATCH($F$13,'Raw Pressure Data'!$1:$1,0))+$G$13))),"")</f>
        <v/>
      </c>
      <c r="W211" s="26">
        <f>IFERROR(IF($F$14="","",IF($K$5+ROW()-26&gt;$K$6,"",IF(INDEX('Raw Pressure Data'!$A:$ZZ,$K$5+ROW()-26+$H$14,MATCH($F$14,'Raw Pressure Data'!$1:$1,0))=-999,"",INDEX('Raw Pressure Data'!$A:$ZZ,$K$5+ROW()-26+$H$14,MATCH($F$14,'Raw Pressure Data'!$1:$1,0))+$G$14))),"")</f>
        <v/>
      </c>
      <c r="X211" s="26">
        <f>IFERROR(IF($F$15="","",IF($K$5+ROW()-26&gt;$K$6,"",IF(INDEX('Raw Pressure Data'!$A:$ZZ,$K$5+ROW()-26+$H$15,MATCH($F$15,'Raw Pressure Data'!$1:$1,0))=-999,"",INDEX('Raw Pressure Data'!$A:$ZZ,$K$5+ROW()-26+$H$15,MATCH($F$15,'Raw Pressure Data'!$1:$1,0))+$G$15))),"")</f>
        <v/>
      </c>
      <c r="Y211" s="26">
        <f>IFERROR(IF($F$16="","",IF($K$5+ROW()-26&gt;$K$6,"",IF(INDEX('Raw Pressure Data'!$A:$ZZ,$K$5+ROW()-26+$H$16,MATCH($F$16,'Raw Pressure Data'!$1:$1,0))=-999,"",INDEX('Raw Pressure Data'!$A:$ZZ,$K$5+ROW()-26+$H$16,MATCH($F$16,'Raw Pressure Data'!$1:$1,0))+$G$16))),"")</f>
        <v/>
      </c>
      <c r="Z211" s="26">
        <f>IFERROR(IF($F$17="","",IF($K$5+ROW()-26&gt;$K$6,"",IF(INDEX('Raw Pressure Data'!$A:$ZZ,$K$5+ROW()-26+$H$17,MATCH($F$17,'Raw Pressure Data'!$1:$1,0))=-999,"",INDEX('Raw Pressure Data'!$A:$ZZ,$K$5+ROW()-26+$H$17,MATCH($F$17,'Raw Pressure Data'!$1:$1,0))+$G$17))),"")</f>
        <v/>
      </c>
      <c r="AA211" s="26">
        <f>IFERROR(IF($F$18="","",IF($K$5+ROW()-26&gt;$K$6,"",IF(INDEX('Raw Pressure Data'!$A:$ZZ,$K$5+ROW()-26+$H$18,MATCH($F$18,'Raw Pressure Data'!$1:$1,0))=-999,"",INDEX('Raw Pressure Data'!$A:$ZZ,$K$5+ROW()-26+$H$18,MATCH($F$18,'Raw Pressure Data'!$1:$1,0))+$G$18))),"")</f>
        <v/>
      </c>
      <c r="AB211" s="26">
        <f>IFERROR(IF($F$19="","",IF($K$5+ROW()-26&gt;$K$6,"",IF(INDEX('Raw Pressure Data'!$A:$ZZ,$K$5+ROW()-26+$H$19,MATCH($F$19,'Raw Pressure Data'!$1:$1,0))=-999,"",INDEX('Raw Pressure Data'!$A:$ZZ,$K$5+ROW()-26+$H$19,MATCH($F$19,'Raw Pressure Data'!$1:$1,0))+$G$19))),"")</f>
        <v/>
      </c>
      <c r="AC211" s="26">
        <f>IFERROR(IF($F$20="","",IF($K$5+ROW()-26&gt;$K$6,"",IF(INDEX('Raw Pressure Data'!$A:$ZZ,$K$5+ROW()-26+$H$20,MATCH($F$20,'Raw Pressure Data'!$1:$1,0))=-999,"",INDEX('Raw Pressure Data'!$A:$ZZ,$K$5+ROW()-26+$H$20,MATCH($F$20,'Raw Pressure Data'!$1:$1,0))+$G$20))),"")</f>
        <v/>
      </c>
      <c r="AD211" s="26">
        <f>IFERROR(IF($F$21="","",IF($K$5+ROW()-26&gt;$K$6,"",IF(INDEX('Raw Pressure Data'!$A:$ZZ,$K$5+ROW()-26+$H$21,MATCH($F$21,'Raw Pressure Data'!$1:$1,0))=-999,"",INDEX('Raw Pressure Data'!$A:$ZZ,$K$5+ROW()-26+$H$21,MATCH($F$21,'Raw Pressure Data'!$1:$1,0))+$G$21))),"")</f>
        <v/>
      </c>
      <c r="AE211" s="26">
        <f>IFERROR(IF($F$22="","",IF($K$5+ROW()-26&gt;$K$6,"",IF(INDEX('Raw Pressure Data'!$A:$ZZ,$K$5+ROW()-26+$H$22,MATCH($F$22,'Raw Pressure Data'!$1:$1,0))=-999,"",INDEX('Raw Pressure Data'!$A:$ZZ,$K$5+ROW()-26+$H$22,MATCH($F$22,'Raw Pressure Data'!$1:$1,0))+$G$22))),"")</f>
        <v/>
      </c>
    </row>
    <row r="212" ht="15" customHeight="1">
      <c r="A212" s="23">
        <f>IFERROR(IF($K$5+ROW()-26&gt;$K$6,"",IF(INDEX('Raw Flow Data'!$A:$A,$K$5+ROW()-26)="","",INDEX('Raw Flow Data'!$A:$A,$K$5+ROW()-26))),"")</f>
        <v/>
      </c>
      <c r="B212" s="24">
        <f>IFERROR(IF($B$3="","",IF($K$5+ROW()-26&gt;$K$6,"",IF(INDEX('Raw Flow Data'!$A:$ZZ,$K$5+ROW()-26+$D$3,MATCH($B$3,'Raw Flow Data'!$1:$1,0))=-999,"",INDEX('Raw Flow Data'!$A:$ZZ,$K$5+ROW()-26+$D$3,MATCH($B$3,'Raw Flow Data'!$1:$1,0))*$C$3))),"")</f>
        <v/>
      </c>
      <c r="C212" s="24">
        <f>IFERROR(IF($B$4="","",IF($K$5+ROW()-26&gt;$K$6,"",IF(INDEX('Raw Flow Data'!$A:$ZZ,$K$5+ROW()-26+$D$4,MATCH($B$4,'Raw Flow Data'!$1:$1,0))=-999,"",INDEX('Raw Flow Data'!$A:$ZZ,$K$5+ROW()-26+$D$4,MATCH($B$4,'Raw Flow Data'!$1:$1,0))*$C$4))),"")</f>
        <v/>
      </c>
      <c r="D212" s="24">
        <f>IFERROR(IF($B$5="","",IF($K$5+ROW()-26&gt;$K$6,"",IF(INDEX('Raw Flow Data'!$A:$ZZ,$K$5+ROW()-26+$D$5,MATCH($B$5,'Raw Flow Data'!$1:$1,0))=-999,"",INDEX('Raw Flow Data'!$A:$ZZ,$K$5+ROW()-26+$D$5,MATCH($B$5,'Raw Flow Data'!$1:$1,0))*$C$5))),"")</f>
        <v/>
      </c>
      <c r="E212" s="24">
        <f>IFERROR(IF($B$6="","",IF($K$5+ROW()-26&gt;$K$6,"",IF(INDEX('Raw Flow Data'!$A:$ZZ,$K$5+ROW()-26+$D$6,MATCH($B$6,'Raw Flow Data'!$1:$1,0))=-999,"",INDEX('Raw Flow Data'!$A:$ZZ,$K$5+ROW()-26+$D$6,MATCH($B$6,'Raw Flow Data'!$1:$1,0))*$C$6))),"")</f>
        <v/>
      </c>
      <c r="F212" s="24">
        <f>IFERROR(IF($B$7="","",IF($K$5+ROW()-26&gt;$K$6,"",IF(INDEX('Raw Flow Data'!$A:$ZZ,$K$5+ROW()-26+$D$7,MATCH($B$7,'Raw Flow Data'!$1:$1,0))=-999,"",INDEX('Raw Flow Data'!$A:$ZZ,$K$5+ROW()-26+$D$7,MATCH($B$7,'Raw Flow Data'!$1:$1,0))*$C$7))),"")</f>
        <v/>
      </c>
      <c r="G212" s="24">
        <f>IFERROR(IF($B$8="","",IF($K$5+ROW()-26&gt;$K$6,"",IF(INDEX('Raw Flow Data'!$A:$ZZ,$K$5+ROW()-26+$D$8,MATCH($B$8,'Raw Flow Data'!$1:$1,0))=-999,"",INDEX('Raw Flow Data'!$A:$ZZ,$K$5+ROW()-26+$D$8,MATCH($B$8,'Raw Flow Data'!$1:$1,0))*$C$8))),"")</f>
        <v/>
      </c>
      <c r="H212" s="24">
        <f>IFERROR(IF($B$9="","",IF($K$5+ROW()-26&gt;$K$6,"",IF(INDEX('Raw Flow Data'!$A:$ZZ,$K$5+ROW()-26+$D$9,MATCH($B$9,'Raw Flow Data'!$1:$1,0))=-999,"",INDEX('Raw Flow Data'!$A:$ZZ,$K$5+ROW()-26+$D$9,MATCH($B$9,'Raw Flow Data'!$1:$1,0))*$C$9))),"")</f>
        <v/>
      </c>
      <c r="I212" s="24">
        <f>IFERROR(IF($B$10="","",IF($K$5+ROW()-26&gt;$K$6,"",IF(INDEX('Raw Flow Data'!$A:$ZZ,$K$5+ROW()-26+$D$10,MATCH($B$10,'Raw Flow Data'!$1:$1,0))=-999,"",INDEX('Raw Flow Data'!$A:$ZZ,$K$5+ROW()-26+$D$10,MATCH($B$10,'Raw Flow Data'!$1:$1,0))*$C$10))),"")</f>
        <v/>
      </c>
      <c r="J212" s="24">
        <f>IFERROR(IF($B$11="","",IF($K$5+ROW()-26&gt;$K$6,"",IF(INDEX('Raw Flow Data'!$A:$ZZ,$K$5+ROW()-26+$D$11,MATCH($B$11,'Raw Flow Data'!$1:$1,0))=-999,"",INDEX('Raw Flow Data'!$A:$ZZ,$K$5+ROW()-26+$D$11,MATCH($B$11,'Raw Flow Data'!$1:$1,0))*$C$11))),"")</f>
        <v/>
      </c>
      <c r="K212" s="24">
        <f>IFERROR(IF($B$12="","",IF($K$5+ROW()-26&gt;$K$6,"",IF(INDEX('Raw Flow Data'!$A:$ZZ,$K$5+ROW()-26+$D$12,MATCH($B$12,'Raw Flow Data'!$1:$1,0))=-999,"",INDEX('Raw Flow Data'!$A:$ZZ,$K$5+ROW()-26+$D$12,MATCH($B$12,'Raw Flow Data'!$1:$1,0))*$C$12))),"")</f>
        <v/>
      </c>
      <c r="L212" s="24">
        <f>IFERROR(IF($F$3="","",IF($K$5+ROW()-26&gt;$K$6,"",IF(INDEX('Raw Pressure Data'!$A:$ZZ,$K$5+ROW()-26+$H$3,MATCH($F$3,'Raw Pressure Data'!$1:$1,0))=-999,"",INDEX('Raw Pressure Data'!$A:$ZZ,$K$5+ROW()-26+$H$3,MATCH($F$3,'Raw Pressure Data'!$1:$1,0))+$G$3))),"")</f>
        <v/>
      </c>
      <c r="M212" s="24">
        <f>IFERROR(IF($F$4="","",IF($K$5+ROW()-26&gt;$K$6,"",IF(INDEX('Raw Pressure Data'!$A:$ZZ,$K$5+ROW()-26+$H$4,MATCH($F$4,'Raw Pressure Data'!$1:$1,0))=-999,"",INDEX('Raw Pressure Data'!$A:$ZZ,$K$5+ROW()-26+$H$4,MATCH($F$4,'Raw Pressure Data'!$1:$1,0))+$G$4))),"")</f>
        <v/>
      </c>
      <c r="N212" s="24">
        <f>IFERROR(IF($F$5="","",IF($K$5+ROW()-26&gt;$K$6,"",IF(INDEX('Raw Pressure Data'!$A:$ZZ,$K$5+ROW()-26+$H$5,MATCH($F$5,'Raw Pressure Data'!$1:$1,0))=-999,"",INDEX('Raw Pressure Data'!$A:$ZZ,$K$5+ROW()-26+$H$5,MATCH($F$5,'Raw Pressure Data'!$1:$1,0))+$G$5))),"")</f>
        <v/>
      </c>
      <c r="O212" s="24">
        <f>IFERROR(IF($F$6="","",IF($K$5+ROW()-26&gt;$K$6,"",IF(INDEX('Raw Pressure Data'!$A:$ZZ,$K$5+ROW()-26+$H$6,MATCH($F$6,'Raw Pressure Data'!$1:$1,0))=-999,"",INDEX('Raw Pressure Data'!$A:$ZZ,$K$5+ROW()-26+$H$6,MATCH($F$6,'Raw Pressure Data'!$1:$1,0))+$G$6))),"")</f>
        <v/>
      </c>
      <c r="P212" s="24">
        <f>IFERROR(IF($F$7="","",IF($K$5+ROW()-26&gt;$K$6,"",IF(INDEX('Raw Pressure Data'!$A:$ZZ,$K$5+ROW()-26+$H$7,MATCH($F$7,'Raw Pressure Data'!$1:$1,0))=-999,"",INDEX('Raw Pressure Data'!$A:$ZZ,$K$5+ROW()-26+$H$7,MATCH($F$7,'Raw Pressure Data'!$1:$1,0))+$G$7))),"")</f>
        <v/>
      </c>
      <c r="Q212" s="24">
        <f>IFERROR(IF($F$8="","",IF($K$5+ROW()-26&gt;$K$6,"",IF(INDEX('Raw Pressure Data'!$A:$ZZ,$K$5+ROW()-26+$H$8,MATCH($F$8,'Raw Pressure Data'!$1:$1,0))=-999,"",INDEX('Raw Pressure Data'!$A:$ZZ,$K$5+ROW()-26+$H$8,MATCH($F$8,'Raw Pressure Data'!$1:$1,0))+$G$8))),"")</f>
        <v/>
      </c>
      <c r="R212" s="24">
        <f>IFERROR(IF($F$9="","",IF($K$5+ROW()-26&gt;$K$6,"",IF(INDEX('Raw Pressure Data'!$A:$ZZ,$K$5+ROW()-26+$H$9,MATCH($F$9,'Raw Pressure Data'!$1:$1,0))=-999,"",INDEX('Raw Pressure Data'!$A:$ZZ,$K$5+ROW()-26+$H$9,MATCH($F$9,'Raw Pressure Data'!$1:$1,0))+$G$9))),"")</f>
        <v/>
      </c>
      <c r="S212" s="24">
        <f>IFERROR(IF($F$10="","",IF($K$5+ROW()-26&gt;$K$6,"",IF(INDEX('Raw Pressure Data'!$A:$ZZ,$K$5+ROW()-26+$H$10,MATCH($F$10,'Raw Pressure Data'!$1:$1,0))=-999,"",INDEX('Raw Pressure Data'!$A:$ZZ,$K$5+ROW()-26+$H$10,MATCH($F$10,'Raw Pressure Data'!$1:$1,0))+$G$10))),"")</f>
        <v/>
      </c>
      <c r="T212" s="24">
        <f>IFERROR(IF($F$11="","",IF($K$5+ROW()-26&gt;$K$6,"",IF(INDEX('Raw Pressure Data'!$A:$ZZ,$K$5+ROW()-26+$H$11,MATCH($F$11,'Raw Pressure Data'!$1:$1,0))=-999,"",INDEX('Raw Pressure Data'!$A:$ZZ,$K$5+ROW()-26+$H$11,MATCH($F$11,'Raw Pressure Data'!$1:$1,0))+$G$11))),"")</f>
        <v/>
      </c>
      <c r="U212" s="24">
        <f>IFERROR(IF($F$12="","",IF($K$5+ROW()-26&gt;$K$6,"",IF(INDEX('Raw Pressure Data'!$A:$ZZ,$K$5+ROW()-26+$H$12,MATCH($F$12,'Raw Pressure Data'!$1:$1,0))=-999,"",INDEX('Raw Pressure Data'!$A:$ZZ,$K$5+ROW()-26+$H$12,MATCH($F$12,'Raw Pressure Data'!$1:$1,0))+$G$12))),"")</f>
        <v/>
      </c>
      <c r="V212" s="24">
        <f>IFERROR(IF($F$13="","",IF($K$5+ROW()-26&gt;$K$6,"",IF(INDEX('Raw Pressure Data'!$A:$ZZ,$K$5+ROW()-26+$H$13,MATCH($F$13,'Raw Pressure Data'!$1:$1,0))=-999,"",INDEX('Raw Pressure Data'!$A:$ZZ,$K$5+ROW()-26+$H$13,MATCH($F$13,'Raw Pressure Data'!$1:$1,0))+$G$13))),"")</f>
        <v/>
      </c>
      <c r="W212" s="24">
        <f>IFERROR(IF($F$14="","",IF($K$5+ROW()-26&gt;$K$6,"",IF(INDEX('Raw Pressure Data'!$A:$ZZ,$K$5+ROW()-26+$H$14,MATCH($F$14,'Raw Pressure Data'!$1:$1,0))=-999,"",INDEX('Raw Pressure Data'!$A:$ZZ,$K$5+ROW()-26+$H$14,MATCH($F$14,'Raw Pressure Data'!$1:$1,0))+$G$14))),"")</f>
        <v/>
      </c>
      <c r="X212" s="24">
        <f>IFERROR(IF($F$15="","",IF($K$5+ROW()-26&gt;$K$6,"",IF(INDEX('Raw Pressure Data'!$A:$ZZ,$K$5+ROW()-26+$H$15,MATCH($F$15,'Raw Pressure Data'!$1:$1,0))=-999,"",INDEX('Raw Pressure Data'!$A:$ZZ,$K$5+ROW()-26+$H$15,MATCH($F$15,'Raw Pressure Data'!$1:$1,0))+$G$15))),"")</f>
        <v/>
      </c>
      <c r="Y212" s="24">
        <f>IFERROR(IF($F$16="","",IF($K$5+ROW()-26&gt;$K$6,"",IF(INDEX('Raw Pressure Data'!$A:$ZZ,$K$5+ROW()-26+$H$16,MATCH($F$16,'Raw Pressure Data'!$1:$1,0))=-999,"",INDEX('Raw Pressure Data'!$A:$ZZ,$K$5+ROW()-26+$H$16,MATCH($F$16,'Raw Pressure Data'!$1:$1,0))+$G$16))),"")</f>
        <v/>
      </c>
      <c r="Z212" s="24">
        <f>IFERROR(IF($F$17="","",IF($K$5+ROW()-26&gt;$K$6,"",IF(INDEX('Raw Pressure Data'!$A:$ZZ,$K$5+ROW()-26+$H$17,MATCH($F$17,'Raw Pressure Data'!$1:$1,0))=-999,"",INDEX('Raw Pressure Data'!$A:$ZZ,$K$5+ROW()-26+$H$17,MATCH($F$17,'Raw Pressure Data'!$1:$1,0))+$G$17))),"")</f>
        <v/>
      </c>
      <c r="AA212" s="24">
        <f>IFERROR(IF($F$18="","",IF($K$5+ROW()-26&gt;$K$6,"",IF(INDEX('Raw Pressure Data'!$A:$ZZ,$K$5+ROW()-26+$H$18,MATCH($F$18,'Raw Pressure Data'!$1:$1,0))=-999,"",INDEX('Raw Pressure Data'!$A:$ZZ,$K$5+ROW()-26+$H$18,MATCH($F$18,'Raw Pressure Data'!$1:$1,0))+$G$18))),"")</f>
        <v/>
      </c>
      <c r="AB212" s="24">
        <f>IFERROR(IF($F$19="","",IF($K$5+ROW()-26&gt;$K$6,"",IF(INDEX('Raw Pressure Data'!$A:$ZZ,$K$5+ROW()-26+$H$19,MATCH($F$19,'Raw Pressure Data'!$1:$1,0))=-999,"",INDEX('Raw Pressure Data'!$A:$ZZ,$K$5+ROW()-26+$H$19,MATCH($F$19,'Raw Pressure Data'!$1:$1,0))+$G$19))),"")</f>
        <v/>
      </c>
      <c r="AC212" s="24">
        <f>IFERROR(IF($F$20="","",IF($K$5+ROW()-26&gt;$K$6,"",IF(INDEX('Raw Pressure Data'!$A:$ZZ,$K$5+ROW()-26+$H$20,MATCH($F$20,'Raw Pressure Data'!$1:$1,0))=-999,"",INDEX('Raw Pressure Data'!$A:$ZZ,$K$5+ROW()-26+$H$20,MATCH($F$20,'Raw Pressure Data'!$1:$1,0))+$G$20))),"")</f>
        <v/>
      </c>
      <c r="AD212" s="24">
        <f>IFERROR(IF($F$21="","",IF($K$5+ROW()-26&gt;$K$6,"",IF(INDEX('Raw Pressure Data'!$A:$ZZ,$K$5+ROW()-26+$H$21,MATCH($F$21,'Raw Pressure Data'!$1:$1,0))=-999,"",INDEX('Raw Pressure Data'!$A:$ZZ,$K$5+ROW()-26+$H$21,MATCH($F$21,'Raw Pressure Data'!$1:$1,0))+$G$21))),"")</f>
        <v/>
      </c>
      <c r="AE212" s="24">
        <f>IFERROR(IF($F$22="","",IF($K$5+ROW()-26&gt;$K$6,"",IF(INDEX('Raw Pressure Data'!$A:$ZZ,$K$5+ROW()-26+$H$22,MATCH($F$22,'Raw Pressure Data'!$1:$1,0))=-999,"",INDEX('Raw Pressure Data'!$A:$ZZ,$K$5+ROW()-26+$H$22,MATCH($F$22,'Raw Pressure Data'!$1:$1,0))+$G$22))),"")</f>
        <v/>
      </c>
    </row>
    <row r="213" ht="15" customHeight="1">
      <c r="A213" s="25">
        <f>IFERROR(IF($K$5+ROW()-26&gt;$K$6,"",IF(INDEX('Raw Flow Data'!$A:$A,$K$5+ROW()-26)="","",INDEX('Raw Flow Data'!$A:$A,$K$5+ROW()-26))),"")</f>
        <v/>
      </c>
      <c r="B213" s="26">
        <f>IFERROR(IF($B$3="","",IF($K$5+ROW()-26&gt;$K$6,"",IF(INDEX('Raw Flow Data'!$A:$ZZ,$K$5+ROW()-26+$D$3,MATCH($B$3,'Raw Flow Data'!$1:$1,0))=-999,"",INDEX('Raw Flow Data'!$A:$ZZ,$K$5+ROW()-26+$D$3,MATCH($B$3,'Raw Flow Data'!$1:$1,0))*$C$3))),"")</f>
        <v/>
      </c>
      <c r="C213" s="26">
        <f>IFERROR(IF($B$4="","",IF($K$5+ROW()-26&gt;$K$6,"",IF(INDEX('Raw Flow Data'!$A:$ZZ,$K$5+ROW()-26+$D$4,MATCH($B$4,'Raw Flow Data'!$1:$1,0))=-999,"",INDEX('Raw Flow Data'!$A:$ZZ,$K$5+ROW()-26+$D$4,MATCH($B$4,'Raw Flow Data'!$1:$1,0))*$C$4))),"")</f>
        <v/>
      </c>
      <c r="D213" s="26">
        <f>IFERROR(IF($B$5="","",IF($K$5+ROW()-26&gt;$K$6,"",IF(INDEX('Raw Flow Data'!$A:$ZZ,$K$5+ROW()-26+$D$5,MATCH($B$5,'Raw Flow Data'!$1:$1,0))=-999,"",INDEX('Raw Flow Data'!$A:$ZZ,$K$5+ROW()-26+$D$5,MATCH($B$5,'Raw Flow Data'!$1:$1,0))*$C$5))),"")</f>
        <v/>
      </c>
      <c r="E213" s="26">
        <f>IFERROR(IF($B$6="","",IF($K$5+ROW()-26&gt;$K$6,"",IF(INDEX('Raw Flow Data'!$A:$ZZ,$K$5+ROW()-26+$D$6,MATCH($B$6,'Raw Flow Data'!$1:$1,0))=-999,"",INDEX('Raw Flow Data'!$A:$ZZ,$K$5+ROW()-26+$D$6,MATCH($B$6,'Raw Flow Data'!$1:$1,0))*$C$6))),"")</f>
        <v/>
      </c>
      <c r="F213" s="26">
        <f>IFERROR(IF($B$7="","",IF($K$5+ROW()-26&gt;$K$6,"",IF(INDEX('Raw Flow Data'!$A:$ZZ,$K$5+ROW()-26+$D$7,MATCH($B$7,'Raw Flow Data'!$1:$1,0))=-999,"",INDEX('Raw Flow Data'!$A:$ZZ,$K$5+ROW()-26+$D$7,MATCH($B$7,'Raw Flow Data'!$1:$1,0))*$C$7))),"")</f>
        <v/>
      </c>
      <c r="G213" s="26">
        <f>IFERROR(IF($B$8="","",IF($K$5+ROW()-26&gt;$K$6,"",IF(INDEX('Raw Flow Data'!$A:$ZZ,$K$5+ROW()-26+$D$8,MATCH($B$8,'Raw Flow Data'!$1:$1,0))=-999,"",INDEX('Raw Flow Data'!$A:$ZZ,$K$5+ROW()-26+$D$8,MATCH($B$8,'Raw Flow Data'!$1:$1,0))*$C$8))),"")</f>
        <v/>
      </c>
      <c r="H213" s="26">
        <f>IFERROR(IF($B$9="","",IF($K$5+ROW()-26&gt;$K$6,"",IF(INDEX('Raw Flow Data'!$A:$ZZ,$K$5+ROW()-26+$D$9,MATCH($B$9,'Raw Flow Data'!$1:$1,0))=-999,"",INDEX('Raw Flow Data'!$A:$ZZ,$K$5+ROW()-26+$D$9,MATCH($B$9,'Raw Flow Data'!$1:$1,0))*$C$9))),"")</f>
        <v/>
      </c>
      <c r="I213" s="26">
        <f>IFERROR(IF($B$10="","",IF($K$5+ROW()-26&gt;$K$6,"",IF(INDEX('Raw Flow Data'!$A:$ZZ,$K$5+ROW()-26+$D$10,MATCH($B$10,'Raw Flow Data'!$1:$1,0))=-999,"",INDEX('Raw Flow Data'!$A:$ZZ,$K$5+ROW()-26+$D$10,MATCH($B$10,'Raw Flow Data'!$1:$1,0))*$C$10))),"")</f>
        <v/>
      </c>
      <c r="J213" s="26">
        <f>IFERROR(IF($B$11="","",IF($K$5+ROW()-26&gt;$K$6,"",IF(INDEX('Raw Flow Data'!$A:$ZZ,$K$5+ROW()-26+$D$11,MATCH($B$11,'Raw Flow Data'!$1:$1,0))=-999,"",INDEX('Raw Flow Data'!$A:$ZZ,$K$5+ROW()-26+$D$11,MATCH($B$11,'Raw Flow Data'!$1:$1,0))*$C$11))),"")</f>
        <v/>
      </c>
      <c r="K213" s="26">
        <f>IFERROR(IF($B$12="","",IF($K$5+ROW()-26&gt;$K$6,"",IF(INDEX('Raw Flow Data'!$A:$ZZ,$K$5+ROW()-26+$D$12,MATCH($B$12,'Raw Flow Data'!$1:$1,0))=-999,"",INDEX('Raw Flow Data'!$A:$ZZ,$K$5+ROW()-26+$D$12,MATCH($B$12,'Raw Flow Data'!$1:$1,0))*$C$12))),"")</f>
        <v/>
      </c>
      <c r="L213" s="26">
        <f>IFERROR(IF($F$3="","",IF($K$5+ROW()-26&gt;$K$6,"",IF(INDEX('Raw Pressure Data'!$A:$ZZ,$K$5+ROW()-26+$H$3,MATCH($F$3,'Raw Pressure Data'!$1:$1,0))=-999,"",INDEX('Raw Pressure Data'!$A:$ZZ,$K$5+ROW()-26+$H$3,MATCH($F$3,'Raw Pressure Data'!$1:$1,0))+$G$3))),"")</f>
        <v/>
      </c>
      <c r="M213" s="26">
        <f>IFERROR(IF($F$4="","",IF($K$5+ROW()-26&gt;$K$6,"",IF(INDEX('Raw Pressure Data'!$A:$ZZ,$K$5+ROW()-26+$H$4,MATCH($F$4,'Raw Pressure Data'!$1:$1,0))=-999,"",INDEX('Raw Pressure Data'!$A:$ZZ,$K$5+ROW()-26+$H$4,MATCH($F$4,'Raw Pressure Data'!$1:$1,0))+$G$4))),"")</f>
        <v/>
      </c>
      <c r="N213" s="26">
        <f>IFERROR(IF($F$5="","",IF($K$5+ROW()-26&gt;$K$6,"",IF(INDEX('Raw Pressure Data'!$A:$ZZ,$K$5+ROW()-26+$H$5,MATCH($F$5,'Raw Pressure Data'!$1:$1,0))=-999,"",INDEX('Raw Pressure Data'!$A:$ZZ,$K$5+ROW()-26+$H$5,MATCH($F$5,'Raw Pressure Data'!$1:$1,0))+$G$5))),"")</f>
        <v/>
      </c>
      <c r="O213" s="26">
        <f>IFERROR(IF($F$6="","",IF($K$5+ROW()-26&gt;$K$6,"",IF(INDEX('Raw Pressure Data'!$A:$ZZ,$K$5+ROW()-26+$H$6,MATCH($F$6,'Raw Pressure Data'!$1:$1,0))=-999,"",INDEX('Raw Pressure Data'!$A:$ZZ,$K$5+ROW()-26+$H$6,MATCH($F$6,'Raw Pressure Data'!$1:$1,0))+$G$6))),"")</f>
        <v/>
      </c>
      <c r="P213" s="26">
        <f>IFERROR(IF($F$7="","",IF($K$5+ROW()-26&gt;$K$6,"",IF(INDEX('Raw Pressure Data'!$A:$ZZ,$K$5+ROW()-26+$H$7,MATCH($F$7,'Raw Pressure Data'!$1:$1,0))=-999,"",INDEX('Raw Pressure Data'!$A:$ZZ,$K$5+ROW()-26+$H$7,MATCH($F$7,'Raw Pressure Data'!$1:$1,0))+$G$7))),"")</f>
        <v/>
      </c>
      <c r="Q213" s="26">
        <f>IFERROR(IF($F$8="","",IF($K$5+ROW()-26&gt;$K$6,"",IF(INDEX('Raw Pressure Data'!$A:$ZZ,$K$5+ROW()-26+$H$8,MATCH($F$8,'Raw Pressure Data'!$1:$1,0))=-999,"",INDEX('Raw Pressure Data'!$A:$ZZ,$K$5+ROW()-26+$H$8,MATCH($F$8,'Raw Pressure Data'!$1:$1,0))+$G$8))),"")</f>
        <v/>
      </c>
      <c r="R213" s="26">
        <f>IFERROR(IF($F$9="","",IF($K$5+ROW()-26&gt;$K$6,"",IF(INDEX('Raw Pressure Data'!$A:$ZZ,$K$5+ROW()-26+$H$9,MATCH($F$9,'Raw Pressure Data'!$1:$1,0))=-999,"",INDEX('Raw Pressure Data'!$A:$ZZ,$K$5+ROW()-26+$H$9,MATCH($F$9,'Raw Pressure Data'!$1:$1,0))+$G$9))),"")</f>
        <v/>
      </c>
      <c r="S213" s="26">
        <f>IFERROR(IF($F$10="","",IF($K$5+ROW()-26&gt;$K$6,"",IF(INDEX('Raw Pressure Data'!$A:$ZZ,$K$5+ROW()-26+$H$10,MATCH($F$10,'Raw Pressure Data'!$1:$1,0))=-999,"",INDEX('Raw Pressure Data'!$A:$ZZ,$K$5+ROW()-26+$H$10,MATCH($F$10,'Raw Pressure Data'!$1:$1,0))+$G$10))),"")</f>
        <v/>
      </c>
      <c r="T213" s="26">
        <f>IFERROR(IF($F$11="","",IF($K$5+ROW()-26&gt;$K$6,"",IF(INDEX('Raw Pressure Data'!$A:$ZZ,$K$5+ROW()-26+$H$11,MATCH($F$11,'Raw Pressure Data'!$1:$1,0))=-999,"",INDEX('Raw Pressure Data'!$A:$ZZ,$K$5+ROW()-26+$H$11,MATCH($F$11,'Raw Pressure Data'!$1:$1,0))+$G$11))),"")</f>
        <v/>
      </c>
      <c r="U213" s="26">
        <f>IFERROR(IF($F$12="","",IF($K$5+ROW()-26&gt;$K$6,"",IF(INDEX('Raw Pressure Data'!$A:$ZZ,$K$5+ROW()-26+$H$12,MATCH($F$12,'Raw Pressure Data'!$1:$1,0))=-999,"",INDEX('Raw Pressure Data'!$A:$ZZ,$K$5+ROW()-26+$H$12,MATCH($F$12,'Raw Pressure Data'!$1:$1,0))+$G$12))),"")</f>
        <v/>
      </c>
      <c r="V213" s="26">
        <f>IFERROR(IF($F$13="","",IF($K$5+ROW()-26&gt;$K$6,"",IF(INDEX('Raw Pressure Data'!$A:$ZZ,$K$5+ROW()-26+$H$13,MATCH($F$13,'Raw Pressure Data'!$1:$1,0))=-999,"",INDEX('Raw Pressure Data'!$A:$ZZ,$K$5+ROW()-26+$H$13,MATCH($F$13,'Raw Pressure Data'!$1:$1,0))+$G$13))),"")</f>
        <v/>
      </c>
      <c r="W213" s="26">
        <f>IFERROR(IF($F$14="","",IF($K$5+ROW()-26&gt;$K$6,"",IF(INDEX('Raw Pressure Data'!$A:$ZZ,$K$5+ROW()-26+$H$14,MATCH($F$14,'Raw Pressure Data'!$1:$1,0))=-999,"",INDEX('Raw Pressure Data'!$A:$ZZ,$K$5+ROW()-26+$H$14,MATCH($F$14,'Raw Pressure Data'!$1:$1,0))+$G$14))),"")</f>
        <v/>
      </c>
      <c r="X213" s="26">
        <f>IFERROR(IF($F$15="","",IF($K$5+ROW()-26&gt;$K$6,"",IF(INDEX('Raw Pressure Data'!$A:$ZZ,$K$5+ROW()-26+$H$15,MATCH($F$15,'Raw Pressure Data'!$1:$1,0))=-999,"",INDEX('Raw Pressure Data'!$A:$ZZ,$K$5+ROW()-26+$H$15,MATCH($F$15,'Raw Pressure Data'!$1:$1,0))+$G$15))),"")</f>
        <v/>
      </c>
      <c r="Y213" s="26">
        <f>IFERROR(IF($F$16="","",IF($K$5+ROW()-26&gt;$K$6,"",IF(INDEX('Raw Pressure Data'!$A:$ZZ,$K$5+ROW()-26+$H$16,MATCH($F$16,'Raw Pressure Data'!$1:$1,0))=-999,"",INDEX('Raw Pressure Data'!$A:$ZZ,$K$5+ROW()-26+$H$16,MATCH($F$16,'Raw Pressure Data'!$1:$1,0))+$G$16))),"")</f>
        <v/>
      </c>
      <c r="Z213" s="26">
        <f>IFERROR(IF($F$17="","",IF($K$5+ROW()-26&gt;$K$6,"",IF(INDEX('Raw Pressure Data'!$A:$ZZ,$K$5+ROW()-26+$H$17,MATCH($F$17,'Raw Pressure Data'!$1:$1,0))=-999,"",INDEX('Raw Pressure Data'!$A:$ZZ,$K$5+ROW()-26+$H$17,MATCH($F$17,'Raw Pressure Data'!$1:$1,0))+$G$17))),"")</f>
        <v/>
      </c>
      <c r="AA213" s="26">
        <f>IFERROR(IF($F$18="","",IF($K$5+ROW()-26&gt;$K$6,"",IF(INDEX('Raw Pressure Data'!$A:$ZZ,$K$5+ROW()-26+$H$18,MATCH($F$18,'Raw Pressure Data'!$1:$1,0))=-999,"",INDEX('Raw Pressure Data'!$A:$ZZ,$K$5+ROW()-26+$H$18,MATCH($F$18,'Raw Pressure Data'!$1:$1,0))+$G$18))),"")</f>
        <v/>
      </c>
      <c r="AB213" s="26">
        <f>IFERROR(IF($F$19="","",IF($K$5+ROW()-26&gt;$K$6,"",IF(INDEX('Raw Pressure Data'!$A:$ZZ,$K$5+ROW()-26+$H$19,MATCH($F$19,'Raw Pressure Data'!$1:$1,0))=-999,"",INDEX('Raw Pressure Data'!$A:$ZZ,$K$5+ROW()-26+$H$19,MATCH($F$19,'Raw Pressure Data'!$1:$1,0))+$G$19))),"")</f>
        <v/>
      </c>
      <c r="AC213" s="26">
        <f>IFERROR(IF($F$20="","",IF($K$5+ROW()-26&gt;$K$6,"",IF(INDEX('Raw Pressure Data'!$A:$ZZ,$K$5+ROW()-26+$H$20,MATCH($F$20,'Raw Pressure Data'!$1:$1,0))=-999,"",INDEX('Raw Pressure Data'!$A:$ZZ,$K$5+ROW()-26+$H$20,MATCH($F$20,'Raw Pressure Data'!$1:$1,0))+$G$20))),"")</f>
        <v/>
      </c>
      <c r="AD213" s="26">
        <f>IFERROR(IF($F$21="","",IF($K$5+ROW()-26&gt;$K$6,"",IF(INDEX('Raw Pressure Data'!$A:$ZZ,$K$5+ROW()-26+$H$21,MATCH($F$21,'Raw Pressure Data'!$1:$1,0))=-999,"",INDEX('Raw Pressure Data'!$A:$ZZ,$K$5+ROW()-26+$H$21,MATCH($F$21,'Raw Pressure Data'!$1:$1,0))+$G$21))),"")</f>
        <v/>
      </c>
      <c r="AE213" s="26">
        <f>IFERROR(IF($F$22="","",IF($K$5+ROW()-26&gt;$K$6,"",IF(INDEX('Raw Pressure Data'!$A:$ZZ,$K$5+ROW()-26+$H$22,MATCH($F$22,'Raw Pressure Data'!$1:$1,0))=-999,"",INDEX('Raw Pressure Data'!$A:$ZZ,$K$5+ROW()-26+$H$22,MATCH($F$22,'Raw Pressure Data'!$1:$1,0))+$G$22))),"")</f>
        <v/>
      </c>
    </row>
    <row r="214" ht="15" customHeight="1">
      <c r="A214" s="23">
        <f>IFERROR(IF($K$5+ROW()-26&gt;$K$6,"",IF(INDEX('Raw Flow Data'!$A:$A,$K$5+ROW()-26)="","",INDEX('Raw Flow Data'!$A:$A,$K$5+ROW()-26))),"")</f>
        <v/>
      </c>
      <c r="B214" s="24">
        <f>IFERROR(IF($B$3="","",IF($K$5+ROW()-26&gt;$K$6,"",IF(INDEX('Raw Flow Data'!$A:$ZZ,$K$5+ROW()-26+$D$3,MATCH($B$3,'Raw Flow Data'!$1:$1,0))=-999,"",INDEX('Raw Flow Data'!$A:$ZZ,$K$5+ROW()-26+$D$3,MATCH($B$3,'Raw Flow Data'!$1:$1,0))*$C$3))),"")</f>
        <v/>
      </c>
      <c r="C214" s="24">
        <f>IFERROR(IF($B$4="","",IF($K$5+ROW()-26&gt;$K$6,"",IF(INDEX('Raw Flow Data'!$A:$ZZ,$K$5+ROW()-26+$D$4,MATCH($B$4,'Raw Flow Data'!$1:$1,0))=-999,"",INDEX('Raw Flow Data'!$A:$ZZ,$K$5+ROW()-26+$D$4,MATCH($B$4,'Raw Flow Data'!$1:$1,0))*$C$4))),"")</f>
        <v/>
      </c>
      <c r="D214" s="24">
        <f>IFERROR(IF($B$5="","",IF($K$5+ROW()-26&gt;$K$6,"",IF(INDEX('Raw Flow Data'!$A:$ZZ,$K$5+ROW()-26+$D$5,MATCH($B$5,'Raw Flow Data'!$1:$1,0))=-999,"",INDEX('Raw Flow Data'!$A:$ZZ,$K$5+ROW()-26+$D$5,MATCH($B$5,'Raw Flow Data'!$1:$1,0))*$C$5))),"")</f>
        <v/>
      </c>
      <c r="E214" s="24">
        <f>IFERROR(IF($B$6="","",IF($K$5+ROW()-26&gt;$K$6,"",IF(INDEX('Raw Flow Data'!$A:$ZZ,$K$5+ROW()-26+$D$6,MATCH($B$6,'Raw Flow Data'!$1:$1,0))=-999,"",INDEX('Raw Flow Data'!$A:$ZZ,$K$5+ROW()-26+$D$6,MATCH($B$6,'Raw Flow Data'!$1:$1,0))*$C$6))),"")</f>
        <v/>
      </c>
      <c r="F214" s="24">
        <f>IFERROR(IF($B$7="","",IF($K$5+ROW()-26&gt;$K$6,"",IF(INDEX('Raw Flow Data'!$A:$ZZ,$K$5+ROW()-26+$D$7,MATCH($B$7,'Raw Flow Data'!$1:$1,0))=-999,"",INDEX('Raw Flow Data'!$A:$ZZ,$K$5+ROW()-26+$D$7,MATCH($B$7,'Raw Flow Data'!$1:$1,0))*$C$7))),"")</f>
        <v/>
      </c>
      <c r="G214" s="24">
        <f>IFERROR(IF($B$8="","",IF($K$5+ROW()-26&gt;$K$6,"",IF(INDEX('Raw Flow Data'!$A:$ZZ,$K$5+ROW()-26+$D$8,MATCH($B$8,'Raw Flow Data'!$1:$1,0))=-999,"",INDEX('Raw Flow Data'!$A:$ZZ,$K$5+ROW()-26+$D$8,MATCH($B$8,'Raw Flow Data'!$1:$1,0))*$C$8))),"")</f>
        <v/>
      </c>
      <c r="H214" s="24">
        <f>IFERROR(IF($B$9="","",IF($K$5+ROW()-26&gt;$K$6,"",IF(INDEX('Raw Flow Data'!$A:$ZZ,$K$5+ROW()-26+$D$9,MATCH($B$9,'Raw Flow Data'!$1:$1,0))=-999,"",INDEX('Raw Flow Data'!$A:$ZZ,$K$5+ROW()-26+$D$9,MATCH($B$9,'Raw Flow Data'!$1:$1,0))*$C$9))),"")</f>
        <v/>
      </c>
      <c r="I214" s="24">
        <f>IFERROR(IF($B$10="","",IF($K$5+ROW()-26&gt;$K$6,"",IF(INDEX('Raw Flow Data'!$A:$ZZ,$K$5+ROW()-26+$D$10,MATCH($B$10,'Raw Flow Data'!$1:$1,0))=-999,"",INDEX('Raw Flow Data'!$A:$ZZ,$K$5+ROW()-26+$D$10,MATCH($B$10,'Raw Flow Data'!$1:$1,0))*$C$10))),"")</f>
        <v/>
      </c>
      <c r="J214" s="24">
        <f>IFERROR(IF($B$11="","",IF($K$5+ROW()-26&gt;$K$6,"",IF(INDEX('Raw Flow Data'!$A:$ZZ,$K$5+ROW()-26+$D$11,MATCH($B$11,'Raw Flow Data'!$1:$1,0))=-999,"",INDEX('Raw Flow Data'!$A:$ZZ,$K$5+ROW()-26+$D$11,MATCH($B$11,'Raw Flow Data'!$1:$1,0))*$C$11))),"")</f>
        <v/>
      </c>
      <c r="K214" s="24">
        <f>IFERROR(IF($B$12="","",IF($K$5+ROW()-26&gt;$K$6,"",IF(INDEX('Raw Flow Data'!$A:$ZZ,$K$5+ROW()-26+$D$12,MATCH($B$12,'Raw Flow Data'!$1:$1,0))=-999,"",INDEX('Raw Flow Data'!$A:$ZZ,$K$5+ROW()-26+$D$12,MATCH($B$12,'Raw Flow Data'!$1:$1,0))*$C$12))),"")</f>
        <v/>
      </c>
      <c r="L214" s="24">
        <f>IFERROR(IF($F$3="","",IF($K$5+ROW()-26&gt;$K$6,"",IF(INDEX('Raw Pressure Data'!$A:$ZZ,$K$5+ROW()-26+$H$3,MATCH($F$3,'Raw Pressure Data'!$1:$1,0))=-999,"",INDEX('Raw Pressure Data'!$A:$ZZ,$K$5+ROW()-26+$H$3,MATCH($F$3,'Raw Pressure Data'!$1:$1,0))+$G$3))),"")</f>
        <v/>
      </c>
      <c r="M214" s="24">
        <f>IFERROR(IF($F$4="","",IF($K$5+ROW()-26&gt;$K$6,"",IF(INDEX('Raw Pressure Data'!$A:$ZZ,$K$5+ROW()-26+$H$4,MATCH($F$4,'Raw Pressure Data'!$1:$1,0))=-999,"",INDEX('Raw Pressure Data'!$A:$ZZ,$K$5+ROW()-26+$H$4,MATCH($F$4,'Raw Pressure Data'!$1:$1,0))+$G$4))),"")</f>
        <v/>
      </c>
      <c r="N214" s="24">
        <f>IFERROR(IF($F$5="","",IF($K$5+ROW()-26&gt;$K$6,"",IF(INDEX('Raw Pressure Data'!$A:$ZZ,$K$5+ROW()-26+$H$5,MATCH($F$5,'Raw Pressure Data'!$1:$1,0))=-999,"",INDEX('Raw Pressure Data'!$A:$ZZ,$K$5+ROW()-26+$H$5,MATCH($F$5,'Raw Pressure Data'!$1:$1,0))+$G$5))),"")</f>
        <v/>
      </c>
      <c r="O214" s="24">
        <f>IFERROR(IF($F$6="","",IF($K$5+ROW()-26&gt;$K$6,"",IF(INDEX('Raw Pressure Data'!$A:$ZZ,$K$5+ROW()-26+$H$6,MATCH($F$6,'Raw Pressure Data'!$1:$1,0))=-999,"",INDEX('Raw Pressure Data'!$A:$ZZ,$K$5+ROW()-26+$H$6,MATCH($F$6,'Raw Pressure Data'!$1:$1,0))+$G$6))),"")</f>
        <v/>
      </c>
      <c r="P214" s="24">
        <f>IFERROR(IF($F$7="","",IF($K$5+ROW()-26&gt;$K$6,"",IF(INDEX('Raw Pressure Data'!$A:$ZZ,$K$5+ROW()-26+$H$7,MATCH($F$7,'Raw Pressure Data'!$1:$1,0))=-999,"",INDEX('Raw Pressure Data'!$A:$ZZ,$K$5+ROW()-26+$H$7,MATCH($F$7,'Raw Pressure Data'!$1:$1,0))+$G$7))),"")</f>
        <v/>
      </c>
      <c r="Q214" s="24">
        <f>IFERROR(IF($F$8="","",IF($K$5+ROW()-26&gt;$K$6,"",IF(INDEX('Raw Pressure Data'!$A:$ZZ,$K$5+ROW()-26+$H$8,MATCH($F$8,'Raw Pressure Data'!$1:$1,0))=-999,"",INDEX('Raw Pressure Data'!$A:$ZZ,$K$5+ROW()-26+$H$8,MATCH($F$8,'Raw Pressure Data'!$1:$1,0))+$G$8))),"")</f>
        <v/>
      </c>
      <c r="R214" s="24">
        <f>IFERROR(IF($F$9="","",IF($K$5+ROW()-26&gt;$K$6,"",IF(INDEX('Raw Pressure Data'!$A:$ZZ,$K$5+ROW()-26+$H$9,MATCH($F$9,'Raw Pressure Data'!$1:$1,0))=-999,"",INDEX('Raw Pressure Data'!$A:$ZZ,$K$5+ROW()-26+$H$9,MATCH($F$9,'Raw Pressure Data'!$1:$1,0))+$G$9))),"")</f>
        <v/>
      </c>
      <c r="S214" s="24">
        <f>IFERROR(IF($F$10="","",IF($K$5+ROW()-26&gt;$K$6,"",IF(INDEX('Raw Pressure Data'!$A:$ZZ,$K$5+ROW()-26+$H$10,MATCH($F$10,'Raw Pressure Data'!$1:$1,0))=-999,"",INDEX('Raw Pressure Data'!$A:$ZZ,$K$5+ROW()-26+$H$10,MATCH($F$10,'Raw Pressure Data'!$1:$1,0))+$G$10))),"")</f>
        <v/>
      </c>
      <c r="T214" s="24">
        <f>IFERROR(IF($F$11="","",IF($K$5+ROW()-26&gt;$K$6,"",IF(INDEX('Raw Pressure Data'!$A:$ZZ,$K$5+ROW()-26+$H$11,MATCH($F$11,'Raw Pressure Data'!$1:$1,0))=-999,"",INDEX('Raw Pressure Data'!$A:$ZZ,$K$5+ROW()-26+$H$11,MATCH($F$11,'Raw Pressure Data'!$1:$1,0))+$G$11))),"")</f>
        <v/>
      </c>
      <c r="U214" s="24">
        <f>IFERROR(IF($F$12="","",IF($K$5+ROW()-26&gt;$K$6,"",IF(INDEX('Raw Pressure Data'!$A:$ZZ,$K$5+ROW()-26+$H$12,MATCH($F$12,'Raw Pressure Data'!$1:$1,0))=-999,"",INDEX('Raw Pressure Data'!$A:$ZZ,$K$5+ROW()-26+$H$12,MATCH($F$12,'Raw Pressure Data'!$1:$1,0))+$G$12))),"")</f>
        <v/>
      </c>
      <c r="V214" s="24">
        <f>IFERROR(IF($F$13="","",IF($K$5+ROW()-26&gt;$K$6,"",IF(INDEX('Raw Pressure Data'!$A:$ZZ,$K$5+ROW()-26+$H$13,MATCH($F$13,'Raw Pressure Data'!$1:$1,0))=-999,"",INDEX('Raw Pressure Data'!$A:$ZZ,$K$5+ROW()-26+$H$13,MATCH($F$13,'Raw Pressure Data'!$1:$1,0))+$G$13))),"")</f>
        <v/>
      </c>
      <c r="W214" s="24">
        <f>IFERROR(IF($F$14="","",IF($K$5+ROW()-26&gt;$K$6,"",IF(INDEX('Raw Pressure Data'!$A:$ZZ,$K$5+ROW()-26+$H$14,MATCH($F$14,'Raw Pressure Data'!$1:$1,0))=-999,"",INDEX('Raw Pressure Data'!$A:$ZZ,$K$5+ROW()-26+$H$14,MATCH($F$14,'Raw Pressure Data'!$1:$1,0))+$G$14))),"")</f>
        <v/>
      </c>
      <c r="X214" s="24">
        <f>IFERROR(IF($F$15="","",IF($K$5+ROW()-26&gt;$K$6,"",IF(INDEX('Raw Pressure Data'!$A:$ZZ,$K$5+ROW()-26+$H$15,MATCH($F$15,'Raw Pressure Data'!$1:$1,0))=-999,"",INDEX('Raw Pressure Data'!$A:$ZZ,$K$5+ROW()-26+$H$15,MATCH($F$15,'Raw Pressure Data'!$1:$1,0))+$G$15))),"")</f>
        <v/>
      </c>
      <c r="Y214" s="24">
        <f>IFERROR(IF($F$16="","",IF($K$5+ROW()-26&gt;$K$6,"",IF(INDEX('Raw Pressure Data'!$A:$ZZ,$K$5+ROW()-26+$H$16,MATCH($F$16,'Raw Pressure Data'!$1:$1,0))=-999,"",INDEX('Raw Pressure Data'!$A:$ZZ,$K$5+ROW()-26+$H$16,MATCH($F$16,'Raw Pressure Data'!$1:$1,0))+$G$16))),"")</f>
        <v/>
      </c>
      <c r="Z214" s="24">
        <f>IFERROR(IF($F$17="","",IF($K$5+ROW()-26&gt;$K$6,"",IF(INDEX('Raw Pressure Data'!$A:$ZZ,$K$5+ROW()-26+$H$17,MATCH($F$17,'Raw Pressure Data'!$1:$1,0))=-999,"",INDEX('Raw Pressure Data'!$A:$ZZ,$K$5+ROW()-26+$H$17,MATCH($F$17,'Raw Pressure Data'!$1:$1,0))+$G$17))),"")</f>
        <v/>
      </c>
      <c r="AA214" s="24">
        <f>IFERROR(IF($F$18="","",IF($K$5+ROW()-26&gt;$K$6,"",IF(INDEX('Raw Pressure Data'!$A:$ZZ,$K$5+ROW()-26+$H$18,MATCH($F$18,'Raw Pressure Data'!$1:$1,0))=-999,"",INDEX('Raw Pressure Data'!$A:$ZZ,$K$5+ROW()-26+$H$18,MATCH($F$18,'Raw Pressure Data'!$1:$1,0))+$G$18))),"")</f>
        <v/>
      </c>
      <c r="AB214" s="24">
        <f>IFERROR(IF($F$19="","",IF($K$5+ROW()-26&gt;$K$6,"",IF(INDEX('Raw Pressure Data'!$A:$ZZ,$K$5+ROW()-26+$H$19,MATCH($F$19,'Raw Pressure Data'!$1:$1,0))=-999,"",INDEX('Raw Pressure Data'!$A:$ZZ,$K$5+ROW()-26+$H$19,MATCH($F$19,'Raw Pressure Data'!$1:$1,0))+$G$19))),"")</f>
        <v/>
      </c>
      <c r="AC214" s="24">
        <f>IFERROR(IF($F$20="","",IF($K$5+ROW()-26&gt;$K$6,"",IF(INDEX('Raw Pressure Data'!$A:$ZZ,$K$5+ROW()-26+$H$20,MATCH($F$20,'Raw Pressure Data'!$1:$1,0))=-999,"",INDEX('Raw Pressure Data'!$A:$ZZ,$K$5+ROW()-26+$H$20,MATCH($F$20,'Raw Pressure Data'!$1:$1,0))+$G$20))),"")</f>
        <v/>
      </c>
      <c r="AD214" s="24">
        <f>IFERROR(IF($F$21="","",IF($K$5+ROW()-26&gt;$K$6,"",IF(INDEX('Raw Pressure Data'!$A:$ZZ,$K$5+ROW()-26+$H$21,MATCH($F$21,'Raw Pressure Data'!$1:$1,0))=-999,"",INDEX('Raw Pressure Data'!$A:$ZZ,$K$5+ROW()-26+$H$21,MATCH($F$21,'Raw Pressure Data'!$1:$1,0))+$G$21))),"")</f>
        <v/>
      </c>
      <c r="AE214" s="24">
        <f>IFERROR(IF($F$22="","",IF($K$5+ROW()-26&gt;$K$6,"",IF(INDEX('Raw Pressure Data'!$A:$ZZ,$K$5+ROW()-26+$H$22,MATCH($F$22,'Raw Pressure Data'!$1:$1,0))=-999,"",INDEX('Raw Pressure Data'!$A:$ZZ,$K$5+ROW()-26+$H$22,MATCH($F$22,'Raw Pressure Data'!$1:$1,0))+$G$22))),"")</f>
        <v/>
      </c>
    </row>
    <row r="215" ht="15" customHeight="1">
      <c r="A215" s="25">
        <f>IFERROR(IF($K$5+ROW()-26&gt;$K$6,"",IF(INDEX('Raw Flow Data'!$A:$A,$K$5+ROW()-26)="","",INDEX('Raw Flow Data'!$A:$A,$K$5+ROW()-26))),"")</f>
        <v/>
      </c>
      <c r="B215" s="26">
        <f>IFERROR(IF($B$3="","",IF($K$5+ROW()-26&gt;$K$6,"",IF(INDEX('Raw Flow Data'!$A:$ZZ,$K$5+ROW()-26+$D$3,MATCH($B$3,'Raw Flow Data'!$1:$1,0))=-999,"",INDEX('Raw Flow Data'!$A:$ZZ,$K$5+ROW()-26+$D$3,MATCH($B$3,'Raw Flow Data'!$1:$1,0))*$C$3))),"")</f>
        <v/>
      </c>
      <c r="C215" s="26">
        <f>IFERROR(IF($B$4="","",IF($K$5+ROW()-26&gt;$K$6,"",IF(INDEX('Raw Flow Data'!$A:$ZZ,$K$5+ROW()-26+$D$4,MATCH($B$4,'Raw Flow Data'!$1:$1,0))=-999,"",INDEX('Raw Flow Data'!$A:$ZZ,$K$5+ROW()-26+$D$4,MATCH($B$4,'Raw Flow Data'!$1:$1,0))*$C$4))),"")</f>
        <v/>
      </c>
      <c r="D215" s="26">
        <f>IFERROR(IF($B$5="","",IF($K$5+ROW()-26&gt;$K$6,"",IF(INDEX('Raw Flow Data'!$A:$ZZ,$K$5+ROW()-26+$D$5,MATCH($B$5,'Raw Flow Data'!$1:$1,0))=-999,"",INDEX('Raw Flow Data'!$A:$ZZ,$K$5+ROW()-26+$D$5,MATCH($B$5,'Raw Flow Data'!$1:$1,0))*$C$5))),"")</f>
        <v/>
      </c>
      <c r="E215" s="26">
        <f>IFERROR(IF($B$6="","",IF($K$5+ROW()-26&gt;$K$6,"",IF(INDEX('Raw Flow Data'!$A:$ZZ,$K$5+ROW()-26+$D$6,MATCH($B$6,'Raw Flow Data'!$1:$1,0))=-999,"",INDEX('Raw Flow Data'!$A:$ZZ,$K$5+ROW()-26+$D$6,MATCH($B$6,'Raw Flow Data'!$1:$1,0))*$C$6))),"")</f>
        <v/>
      </c>
      <c r="F215" s="26">
        <f>IFERROR(IF($B$7="","",IF($K$5+ROW()-26&gt;$K$6,"",IF(INDEX('Raw Flow Data'!$A:$ZZ,$K$5+ROW()-26+$D$7,MATCH($B$7,'Raw Flow Data'!$1:$1,0))=-999,"",INDEX('Raw Flow Data'!$A:$ZZ,$K$5+ROW()-26+$D$7,MATCH($B$7,'Raw Flow Data'!$1:$1,0))*$C$7))),"")</f>
        <v/>
      </c>
      <c r="G215" s="26">
        <f>IFERROR(IF($B$8="","",IF($K$5+ROW()-26&gt;$K$6,"",IF(INDEX('Raw Flow Data'!$A:$ZZ,$K$5+ROW()-26+$D$8,MATCH($B$8,'Raw Flow Data'!$1:$1,0))=-999,"",INDEX('Raw Flow Data'!$A:$ZZ,$K$5+ROW()-26+$D$8,MATCH($B$8,'Raw Flow Data'!$1:$1,0))*$C$8))),"")</f>
        <v/>
      </c>
      <c r="H215" s="26">
        <f>IFERROR(IF($B$9="","",IF($K$5+ROW()-26&gt;$K$6,"",IF(INDEX('Raw Flow Data'!$A:$ZZ,$K$5+ROW()-26+$D$9,MATCH($B$9,'Raw Flow Data'!$1:$1,0))=-999,"",INDEX('Raw Flow Data'!$A:$ZZ,$K$5+ROW()-26+$D$9,MATCH($B$9,'Raw Flow Data'!$1:$1,0))*$C$9))),"")</f>
        <v/>
      </c>
      <c r="I215" s="26">
        <f>IFERROR(IF($B$10="","",IF($K$5+ROW()-26&gt;$K$6,"",IF(INDEX('Raw Flow Data'!$A:$ZZ,$K$5+ROW()-26+$D$10,MATCH($B$10,'Raw Flow Data'!$1:$1,0))=-999,"",INDEX('Raw Flow Data'!$A:$ZZ,$K$5+ROW()-26+$D$10,MATCH($B$10,'Raw Flow Data'!$1:$1,0))*$C$10))),"")</f>
        <v/>
      </c>
      <c r="J215" s="26">
        <f>IFERROR(IF($B$11="","",IF($K$5+ROW()-26&gt;$K$6,"",IF(INDEX('Raw Flow Data'!$A:$ZZ,$K$5+ROW()-26+$D$11,MATCH($B$11,'Raw Flow Data'!$1:$1,0))=-999,"",INDEX('Raw Flow Data'!$A:$ZZ,$K$5+ROW()-26+$D$11,MATCH($B$11,'Raw Flow Data'!$1:$1,0))*$C$11))),"")</f>
        <v/>
      </c>
      <c r="K215" s="26">
        <f>IFERROR(IF($B$12="","",IF($K$5+ROW()-26&gt;$K$6,"",IF(INDEX('Raw Flow Data'!$A:$ZZ,$K$5+ROW()-26+$D$12,MATCH($B$12,'Raw Flow Data'!$1:$1,0))=-999,"",INDEX('Raw Flow Data'!$A:$ZZ,$K$5+ROW()-26+$D$12,MATCH($B$12,'Raw Flow Data'!$1:$1,0))*$C$12))),"")</f>
        <v/>
      </c>
      <c r="L215" s="26">
        <f>IFERROR(IF($F$3="","",IF($K$5+ROW()-26&gt;$K$6,"",IF(INDEX('Raw Pressure Data'!$A:$ZZ,$K$5+ROW()-26+$H$3,MATCH($F$3,'Raw Pressure Data'!$1:$1,0))=-999,"",INDEX('Raw Pressure Data'!$A:$ZZ,$K$5+ROW()-26+$H$3,MATCH($F$3,'Raw Pressure Data'!$1:$1,0))+$G$3))),"")</f>
        <v/>
      </c>
      <c r="M215" s="26">
        <f>IFERROR(IF($F$4="","",IF($K$5+ROW()-26&gt;$K$6,"",IF(INDEX('Raw Pressure Data'!$A:$ZZ,$K$5+ROW()-26+$H$4,MATCH($F$4,'Raw Pressure Data'!$1:$1,0))=-999,"",INDEX('Raw Pressure Data'!$A:$ZZ,$K$5+ROW()-26+$H$4,MATCH($F$4,'Raw Pressure Data'!$1:$1,0))+$G$4))),"")</f>
        <v/>
      </c>
      <c r="N215" s="26">
        <f>IFERROR(IF($F$5="","",IF($K$5+ROW()-26&gt;$K$6,"",IF(INDEX('Raw Pressure Data'!$A:$ZZ,$K$5+ROW()-26+$H$5,MATCH($F$5,'Raw Pressure Data'!$1:$1,0))=-999,"",INDEX('Raw Pressure Data'!$A:$ZZ,$K$5+ROW()-26+$H$5,MATCH($F$5,'Raw Pressure Data'!$1:$1,0))+$G$5))),"")</f>
        <v/>
      </c>
      <c r="O215" s="26">
        <f>IFERROR(IF($F$6="","",IF($K$5+ROW()-26&gt;$K$6,"",IF(INDEX('Raw Pressure Data'!$A:$ZZ,$K$5+ROW()-26+$H$6,MATCH($F$6,'Raw Pressure Data'!$1:$1,0))=-999,"",INDEX('Raw Pressure Data'!$A:$ZZ,$K$5+ROW()-26+$H$6,MATCH($F$6,'Raw Pressure Data'!$1:$1,0))+$G$6))),"")</f>
        <v/>
      </c>
      <c r="P215" s="26">
        <f>IFERROR(IF($F$7="","",IF($K$5+ROW()-26&gt;$K$6,"",IF(INDEX('Raw Pressure Data'!$A:$ZZ,$K$5+ROW()-26+$H$7,MATCH($F$7,'Raw Pressure Data'!$1:$1,0))=-999,"",INDEX('Raw Pressure Data'!$A:$ZZ,$K$5+ROW()-26+$H$7,MATCH($F$7,'Raw Pressure Data'!$1:$1,0))+$G$7))),"")</f>
        <v/>
      </c>
      <c r="Q215" s="26">
        <f>IFERROR(IF($F$8="","",IF($K$5+ROW()-26&gt;$K$6,"",IF(INDEX('Raw Pressure Data'!$A:$ZZ,$K$5+ROW()-26+$H$8,MATCH($F$8,'Raw Pressure Data'!$1:$1,0))=-999,"",INDEX('Raw Pressure Data'!$A:$ZZ,$K$5+ROW()-26+$H$8,MATCH($F$8,'Raw Pressure Data'!$1:$1,0))+$G$8))),"")</f>
        <v/>
      </c>
      <c r="R215" s="26">
        <f>IFERROR(IF($F$9="","",IF($K$5+ROW()-26&gt;$K$6,"",IF(INDEX('Raw Pressure Data'!$A:$ZZ,$K$5+ROW()-26+$H$9,MATCH($F$9,'Raw Pressure Data'!$1:$1,0))=-999,"",INDEX('Raw Pressure Data'!$A:$ZZ,$K$5+ROW()-26+$H$9,MATCH($F$9,'Raw Pressure Data'!$1:$1,0))+$G$9))),"")</f>
        <v/>
      </c>
      <c r="S215" s="26">
        <f>IFERROR(IF($F$10="","",IF($K$5+ROW()-26&gt;$K$6,"",IF(INDEX('Raw Pressure Data'!$A:$ZZ,$K$5+ROW()-26+$H$10,MATCH($F$10,'Raw Pressure Data'!$1:$1,0))=-999,"",INDEX('Raw Pressure Data'!$A:$ZZ,$K$5+ROW()-26+$H$10,MATCH($F$10,'Raw Pressure Data'!$1:$1,0))+$G$10))),"")</f>
        <v/>
      </c>
      <c r="T215" s="26">
        <f>IFERROR(IF($F$11="","",IF($K$5+ROW()-26&gt;$K$6,"",IF(INDEX('Raw Pressure Data'!$A:$ZZ,$K$5+ROW()-26+$H$11,MATCH($F$11,'Raw Pressure Data'!$1:$1,0))=-999,"",INDEX('Raw Pressure Data'!$A:$ZZ,$K$5+ROW()-26+$H$11,MATCH($F$11,'Raw Pressure Data'!$1:$1,0))+$G$11))),"")</f>
        <v/>
      </c>
      <c r="U215" s="26">
        <f>IFERROR(IF($F$12="","",IF($K$5+ROW()-26&gt;$K$6,"",IF(INDEX('Raw Pressure Data'!$A:$ZZ,$K$5+ROW()-26+$H$12,MATCH($F$12,'Raw Pressure Data'!$1:$1,0))=-999,"",INDEX('Raw Pressure Data'!$A:$ZZ,$K$5+ROW()-26+$H$12,MATCH($F$12,'Raw Pressure Data'!$1:$1,0))+$G$12))),"")</f>
        <v/>
      </c>
      <c r="V215" s="26">
        <f>IFERROR(IF($F$13="","",IF($K$5+ROW()-26&gt;$K$6,"",IF(INDEX('Raw Pressure Data'!$A:$ZZ,$K$5+ROW()-26+$H$13,MATCH($F$13,'Raw Pressure Data'!$1:$1,0))=-999,"",INDEX('Raw Pressure Data'!$A:$ZZ,$K$5+ROW()-26+$H$13,MATCH($F$13,'Raw Pressure Data'!$1:$1,0))+$G$13))),"")</f>
        <v/>
      </c>
      <c r="W215" s="26">
        <f>IFERROR(IF($F$14="","",IF($K$5+ROW()-26&gt;$K$6,"",IF(INDEX('Raw Pressure Data'!$A:$ZZ,$K$5+ROW()-26+$H$14,MATCH($F$14,'Raw Pressure Data'!$1:$1,0))=-999,"",INDEX('Raw Pressure Data'!$A:$ZZ,$K$5+ROW()-26+$H$14,MATCH($F$14,'Raw Pressure Data'!$1:$1,0))+$G$14))),"")</f>
        <v/>
      </c>
      <c r="X215" s="26">
        <f>IFERROR(IF($F$15="","",IF($K$5+ROW()-26&gt;$K$6,"",IF(INDEX('Raw Pressure Data'!$A:$ZZ,$K$5+ROW()-26+$H$15,MATCH($F$15,'Raw Pressure Data'!$1:$1,0))=-999,"",INDEX('Raw Pressure Data'!$A:$ZZ,$K$5+ROW()-26+$H$15,MATCH($F$15,'Raw Pressure Data'!$1:$1,0))+$G$15))),"")</f>
        <v/>
      </c>
      <c r="Y215" s="26">
        <f>IFERROR(IF($F$16="","",IF($K$5+ROW()-26&gt;$K$6,"",IF(INDEX('Raw Pressure Data'!$A:$ZZ,$K$5+ROW()-26+$H$16,MATCH($F$16,'Raw Pressure Data'!$1:$1,0))=-999,"",INDEX('Raw Pressure Data'!$A:$ZZ,$K$5+ROW()-26+$H$16,MATCH($F$16,'Raw Pressure Data'!$1:$1,0))+$G$16))),"")</f>
        <v/>
      </c>
      <c r="Z215" s="26">
        <f>IFERROR(IF($F$17="","",IF($K$5+ROW()-26&gt;$K$6,"",IF(INDEX('Raw Pressure Data'!$A:$ZZ,$K$5+ROW()-26+$H$17,MATCH($F$17,'Raw Pressure Data'!$1:$1,0))=-999,"",INDEX('Raw Pressure Data'!$A:$ZZ,$K$5+ROW()-26+$H$17,MATCH($F$17,'Raw Pressure Data'!$1:$1,0))+$G$17))),"")</f>
        <v/>
      </c>
      <c r="AA215" s="26">
        <f>IFERROR(IF($F$18="","",IF($K$5+ROW()-26&gt;$K$6,"",IF(INDEX('Raw Pressure Data'!$A:$ZZ,$K$5+ROW()-26+$H$18,MATCH($F$18,'Raw Pressure Data'!$1:$1,0))=-999,"",INDEX('Raw Pressure Data'!$A:$ZZ,$K$5+ROW()-26+$H$18,MATCH($F$18,'Raw Pressure Data'!$1:$1,0))+$G$18))),"")</f>
        <v/>
      </c>
      <c r="AB215" s="26">
        <f>IFERROR(IF($F$19="","",IF($K$5+ROW()-26&gt;$K$6,"",IF(INDEX('Raw Pressure Data'!$A:$ZZ,$K$5+ROW()-26+$H$19,MATCH($F$19,'Raw Pressure Data'!$1:$1,0))=-999,"",INDEX('Raw Pressure Data'!$A:$ZZ,$K$5+ROW()-26+$H$19,MATCH($F$19,'Raw Pressure Data'!$1:$1,0))+$G$19))),"")</f>
        <v/>
      </c>
      <c r="AC215" s="26">
        <f>IFERROR(IF($F$20="","",IF($K$5+ROW()-26&gt;$K$6,"",IF(INDEX('Raw Pressure Data'!$A:$ZZ,$K$5+ROW()-26+$H$20,MATCH($F$20,'Raw Pressure Data'!$1:$1,0))=-999,"",INDEX('Raw Pressure Data'!$A:$ZZ,$K$5+ROW()-26+$H$20,MATCH($F$20,'Raw Pressure Data'!$1:$1,0))+$G$20))),"")</f>
        <v/>
      </c>
      <c r="AD215" s="26">
        <f>IFERROR(IF($F$21="","",IF($K$5+ROW()-26&gt;$K$6,"",IF(INDEX('Raw Pressure Data'!$A:$ZZ,$K$5+ROW()-26+$H$21,MATCH($F$21,'Raw Pressure Data'!$1:$1,0))=-999,"",INDEX('Raw Pressure Data'!$A:$ZZ,$K$5+ROW()-26+$H$21,MATCH($F$21,'Raw Pressure Data'!$1:$1,0))+$G$21))),"")</f>
        <v/>
      </c>
      <c r="AE215" s="26">
        <f>IFERROR(IF($F$22="","",IF($K$5+ROW()-26&gt;$K$6,"",IF(INDEX('Raw Pressure Data'!$A:$ZZ,$K$5+ROW()-26+$H$22,MATCH($F$22,'Raw Pressure Data'!$1:$1,0))=-999,"",INDEX('Raw Pressure Data'!$A:$ZZ,$K$5+ROW()-26+$H$22,MATCH($F$22,'Raw Pressure Data'!$1:$1,0))+$G$22))),"")</f>
        <v/>
      </c>
    </row>
    <row r="216" ht="15" customHeight="1">
      <c r="A216" s="23">
        <f>IFERROR(IF($K$5+ROW()-26&gt;$K$6,"",IF(INDEX('Raw Flow Data'!$A:$A,$K$5+ROW()-26)="","",INDEX('Raw Flow Data'!$A:$A,$K$5+ROW()-26))),"")</f>
        <v/>
      </c>
      <c r="B216" s="24">
        <f>IFERROR(IF($B$3="","",IF($K$5+ROW()-26&gt;$K$6,"",IF(INDEX('Raw Flow Data'!$A:$ZZ,$K$5+ROW()-26+$D$3,MATCH($B$3,'Raw Flow Data'!$1:$1,0))=-999,"",INDEX('Raw Flow Data'!$A:$ZZ,$K$5+ROW()-26+$D$3,MATCH($B$3,'Raw Flow Data'!$1:$1,0))*$C$3))),"")</f>
        <v/>
      </c>
      <c r="C216" s="24">
        <f>IFERROR(IF($B$4="","",IF($K$5+ROW()-26&gt;$K$6,"",IF(INDEX('Raw Flow Data'!$A:$ZZ,$K$5+ROW()-26+$D$4,MATCH($B$4,'Raw Flow Data'!$1:$1,0))=-999,"",INDEX('Raw Flow Data'!$A:$ZZ,$K$5+ROW()-26+$D$4,MATCH($B$4,'Raw Flow Data'!$1:$1,0))*$C$4))),"")</f>
        <v/>
      </c>
      <c r="D216" s="24">
        <f>IFERROR(IF($B$5="","",IF($K$5+ROW()-26&gt;$K$6,"",IF(INDEX('Raw Flow Data'!$A:$ZZ,$K$5+ROW()-26+$D$5,MATCH($B$5,'Raw Flow Data'!$1:$1,0))=-999,"",INDEX('Raw Flow Data'!$A:$ZZ,$K$5+ROW()-26+$D$5,MATCH($B$5,'Raw Flow Data'!$1:$1,0))*$C$5))),"")</f>
        <v/>
      </c>
      <c r="E216" s="24">
        <f>IFERROR(IF($B$6="","",IF($K$5+ROW()-26&gt;$K$6,"",IF(INDEX('Raw Flow Data'!$A:$ZZ,$K$5+ROW()-26+$D$6,MATCH($B$6,'Raw Flow Data'!$1:$1,0))=-999,"",INDEX('Raw Flow Data'!$A:$ZZ,$K$5+ROW()-26+$D$6,MATCH($B$6,'Raw Flow Data'!$1:$1,0))*$C$6))),"")</f>
        <v/>
      </c>
      <c r="F216" s="24">
        <f>IFERROR(IF($B$7="","",IF($K$5+ROW()-26&gt;$K$6,"",IF(INDEX('Raw Flow Data'!$A:$ZZ,$K$5+ROW()-26+$D$7,MATCH($B$7,'Raw Flow Data'!$1:$1,0))=-999,"",INDEX('Raw Flow Data'!$A:$ZZ,$K$5+ROW()-26+$D$7,MATCH($B$7,'Raw Flow Data'!$1:$1,0))*$C$7))),"")</f>
        <v/>
      </c>
      <c r="G216" s="24">
        <f>IFERROR(IF($B$8="","",IF($K$5+ROW()-26&gt;$K$6,"",IF(INDEX('Raw Flow Data'!$A:$ZZ,$K$5+ROW()-26+$D$8,MATCH($B$8,'Raw Flow Data'!$1:$1,0))=-999,"",INDEX('Raw Flow Data'!$A:$ZZ,$K$5+ROW()-26+$D$8,MATCH($B$8,'Raw Flow Data'!$1:$1,0))*$C$8))),"")</f>
        <v/>
      </c>
      <c r="H216" s="24">
        <f>IFERROR(IF($B$9="","",IF($K$5+ROW()-26&gt;$K$6,"",IF(INDEX('Raw Flow Data'!$A:$ZZ,$K$5+ROW()-26+$D$9,MATCH($B$9,'Raw Flow Data'!$1:$1,0))=-999,"",INDEX('Raw Flow Data'!$A:$ZZ,$K$5+ROW()-26+$D$9,MATCH($B$9,'Raw Flow Data'!$1:$1,0))*$C$9))),"")</f>
        <v/>
      </c>
      <c r="I216" s="24">
        <f>IFERROR(IF($B$10="","",IF($K$5+ROW()-26&gt;$K$6,"",IF(INDEX('Raw Flow Data'!$A:$ZZ,$K$5+ROW()-26+$D$10,MATCH($B$10,'Raw Flow Data'!$1:$1,0))=-999,"",INDEX('Raw Flow Data'!$A:$ZZ,$K$5+ROW()-26+$D$10,MATCH($B$10,'Raw Flow Data'!$1:$1,0))*$C$10))),"")</f>
        <v/>
      </c>
      <c r="J216" s="24">
        <f>IFERROR(IF($B$11="","",IF($K$5+ROW()-26&gt;$K$6,"",IF(INDEX('Raw Flow Data'!$A:$ZZ,$K$5+ROW()-26+$D$11,MATCH($B$11,'Raw Flow Data'!$1:$1,0))=-999,"",INDEX('Raw Flow Data'!$A:$ZZ,$K$5+ROW()-26+$D$11,MATCH($B$11,'Raw Flow Data'!$1:$1,0))*$C$11))),"")</f>
        <v/>
      </c>
      <c r="K216" s="24">
        <f>IFERROR(IF($B$12="","",IF($K$5+ROW()-26&gt;$K$6,"",IF(INDEX('Raw Flow Data'!$A:$ZZ,$K$5+ROW()-26+$D$12,MATCH($B$12,'Raw Flow Data'!$1:$1,0))=-999,"",INDEX('Raw Flow Data'!$A:$ZZ,$K$5+ROW()-26+$D$12,MATCH($B$12,'Raw Flow Data'!$1:$1,0))*$C$12))),"")</f>
        <v/>
      </c>
      <c r="L216" s="24">
        <f>IFERROR(IF($F$3="","",IF($K$5+ROW()-26&gt;$K$6,"",IF(INDEX('Raw Pressure Data'!$A:$ZZ,$K$5+ROW()-26+$H$3,MATCH($F$3,'Raw Pressure Data'!$1:$1,0))=-999,"",INDEX('Raw Pressure Data'!$A:$ZZ,$K$5+ROW()-26+$H$3,MATCH($F$3,'Raw Pressure Data'!$1:$1,0))+$G$3))),"")</f>
        <v/>
      </c>
      <c r="M216" s="24">
        <f>IFERROR(IF($F$4="","",IF($K$5+ROW()-26&gt;$K$6,"",IF(INDEX('Raw Pressure Data'!$A:$ZZ,$K$5+ROW()-26+$H$4,MATCH($F$4,'Raw Pressure Data'!$1:$1,0))=-999,"",INDEX('Raw Pressure Data'!$A:$ZZ,$K$5+ROW()-26+$H$4,MATCH($F$4,'Raw Pressure Data'!$1:$1,0))+$G$4))),"")</f>
        <v/>
      </c>
      <c r="N216" s="24">
        <f>IFERROR(IF($F$5="","",IF($K$5+ROW()-26&gt;$K$6,"",IF(INDEX('Raw Pressure Data'!$A:$ZZ,$K$5+ROW()-26+$H$5,MATCH($F$5,'Raw Pressure Data'!$1:$1,0))=-999,"",INDEX('Raw Pressure Data'!$A:$ZZ,$K$5+ROW()-26+$H$5,MATCH($F$5,'Raw Pressure Data'!$1:$1,0))+$G$5))),"")</f>
        <v/>
      </c>
      <c r="O216" s="24">
        <f>IFERROR(IF($F$6="","",IF($K$5+ROW()-26&gt;$K$6,"",IF(INDEX('Raw Pressure Data'!$A:$ZZ,$K$5+ROW()-26+$H$6,MATCH($F$6,'Raw Pressure Data'!$1:$1,0))=-999,"",INDEX('Raw Pressure Data'!$A:$ZZ,$K$5+ROW()-26+$H$6,MATCH($F$6,'Raw Pressure Data'!$1:$1,0))+$G$6))),"")</f>
        <v/>
      </c>
      <c r="P216" s="24">
        <f>IFERROR(IF($F$7="","",IF($K$5+ROW()-26&gt;$K$6,"",IF(INDEX('Raw Pressure Data'!$A:$ZZ,$K$5+ROW()-26+$H$7,MATCH($F$7,'Raw Pressure Data'!$1:$1,0))=-999,"",INDEX('Raw Pressure Data'!$A:$ZZ,$K$5+ROW()-26+$H$7,MATCH($F$7,'Raw Pressure Data'!$1:$1,0))+$G$7))),"")</f>
        <v/>
      </c>
      <c r="Q216" s="24">
        <f>IFERROR(IF($F$8="","",IF($K$5+ROW()-26&gt;$K$6,"",IF(INDEX('Raw Pressure Data'!$A:$ZZ,$K$5+ROW()-26+$H$8,MATCH($F$8,'Raw Pressure Data'!$1:$1,0))=-999,"",INDEX('Raw Pressure Data'!$A:$ZZ,$K$5+ROW()-26+$H$8,MATCH($F$8,'Raw Pressure Data'!$1:$1,0))+$G$8))),"")</f>
        <v/>
      </c>
      <c r="R216" s="24">
        <f>IFERROR(IF($F$9="","",IF($K$5+ROW()-26&gt;$K$6,"",IF(INDEX('Raw Pressure Data'!$A:$ZZ,$K$5+ROW()-26+$H$9,MATCH($F$9,'Raw Pressure Data'!$1:$1,0))=-999,"",INDEX('Raw Pressure Data'!$A:$ZZ,$K$5+ROW()-26+$H$9,MATCH($F$9,'Raw Pressure Data'!$1:$1,0))+$G$9))),"")</f>
        <v/>
      </c>
      <c r="S216" s="24">
        <f>IFERROR(IF($F$10="","",IF($K$5+ROW()-26&gt;$K$6,"",IF(INDEX('Raw Pressure Data'!$A:$ZZ,$K$5+ROW()-26+$H$10,MATCH($F$10,'Raw Pressure Data'!$1:$1,0))=-999,"",INDEX('Raw Pressure Data'!$A:$ZZ,$K$5+ROW()-26+$H$10,MATCH($F$10,'Raw Pressure Data'!$1:$1,0))+$G$10))),"")</f>
        <v/>
      </c>
      <c r="T216" s="24">
        <f>IFERROR(IF($F$11="","",IF($K$5+ROW()-26&gt;$K$6,"",IF(INDEX('Raw Pressure Data'!$A:$ZZ,$K$5+ROW()-26+$H$11,MATCH($F$11,'Raw Pressure Data'!$1:$1,0))=-999,"",INDEX('Raw Pressure Data'!$A:$ZZ,$K$5+ROW()-26+$H$11,MATCH($F$11,'Raw Pressure Data'!$1:$1,0))+$G$11))),"")</f>
        <v/>
      </c>
      <c r="U216" s="24">
        <f>IFERROR(IF($F$12="","",IF($K$5+ROW()-26&gt;$K$6,"",IF(INDEX('Raw Pressure Data'!$A:$ZZ,$K$5+ROW()-26+$H$12,MATCH($F$12,'Raw Pressure Data'!$1:$1,0))=-999,"",INDEX('Raw Pressure Data'!$A:$ZZ,$K$5+ROW()-26+$H$12,MATCH($F$12,'Raw Pressure Data'!$1:$1,0))+$G$12))),"")</f>
        <v/>
      </c>
      <c r="V216" s="24">
        <f>IFERROR(IF($F$13="","",IF($K$5+ROW()-26&gt;$K$6,"",IF(INDEX('Raw Pressure Data'!$A:$ZZ,$K$5+ROW()-26+$H$13,MATCH($F$13,'Raw Pressure Data'!$1:$1,0))=-999,"",INDEX('Raw Pressure Data'!$A:$ZZ,$K$5+ROW()-26+$H$13,MATCH($F$13,'Raw Pressure Data'!$1:$1,0))+$G$13))),"")</f>
        <v/>
      </c>
      <c r="W216" s="24">
        <f>IFERROR(IF($F$14="","",IF($K$5+ROW()-26&gt;$K$6,"",IF(INDEX('Raw Pressure Data'!$A:$ZZ,$K$5+ROW()-26+$H$14,MATCH($F$14,'Raw Pressure Data'!$1:$1,0))=-999,"",INDEX('Raw Pressure Data'!$A:$ZZ,$K$5+ROW()-26+$H$14,MATCH($F$14,'Raw Pressure Data'!$1:$1,0))+$G$14))),"")</f>
        <v/>
      </c>
      <c r="X216" s="24">
        <f>IFERROR(IF($F$15="","",IF($K$5+ROW()-26&gt;$K$6,"",IF(INDEX('Raw Pressure Data'!$A:$ZZ,$K$5+ROW()-26+$H$15,MATCH($F$15,'Raw Pressure Data'!$1:$1,0))=-999,"",INDEX('Raw Pressure Data'!$A:$ZZ,$K$5+ROW()-26+$H$15,MATCH($F$15,'Raw Pressure Data'!$1:$1,0))+$G$15))),"")</f>
        <v/>
      </c>
      <c r="Y216" s="24">
        <f>IFERROR(IF($F$16="","",IF($K$5+ROW()-26&gt;$K$6,"",IF(INDEX('Raw Pressure Data'!$A:$ZZ,$K$5+ROW()-26+$H$16,MATCH($F$16,'Raw Pressure Data'!$1:$1,0))=-999,"",INDEX('Raw Pressure Data'!$A:$ZZ,$K$5+ROW()-26+$H$16,MATCH($F$16,'Raw Pressure Data'!$1:$1,0))+$G$16))),"")</f>
        <v/>
      </c>
      <c r="Z216" s="24">
        <f>IFERROR(IF($F$17="","",IF($K$5+ROW()-26&gt;$K$6,"",IF(INDEX('Raw Pressure Data'!$A:$ZZ,$K$5+ROW()-26+$H$17,MATCH($F$17,'Raw Pressure Data'!$1:$1,0))=-999,"",INDEX('Raw Pressure Data'!$A:$ZZ,$K$5+ROW()-26+$H$17,MATCH($F$17,'Raw Pressure Data'!$1:$1,0))+$G$17))),"")</f>
        <v/>
      </c>
      <c r="AA216" s="24">
        <f>IFERROR(IF($F$18="","",IF($K$5+ROW()-26&gt;$K$6,"",IF(INDEX('Raw Pressure Data'!$A:$ZZ,$K$5+ROW()-26+$H$18,MATCH($F$18,'Raw Pressure Data'!$1:$1,0))=-999,"",INDEX('Raw Pressure Data'!$A:$ZZ,$K$5+ROW()-26+$H$18,MATCH($F$18,'Raw Pressure Data'!$1:$1,0))+$G$18))),"")</f>
        <v/>
      </c>
      <c r="AB216" s="24">
        <f>IFERROR(IF($F$19="","",IF($K$5+ROW()-26&gt;$K$6,"",IF(INDEX('Raw Pressure Data'!$A:$ZZ,$K$5+ROW()-26+$H$19,MATCH($F$19,'Raw Pressure Data'!$1:$1,0))=-999,"",INDEX('Raw Pressure Data'!$A:$ZZ,$K$5+ROW()-26+$H$19,MATCH($F$19,'Raw Pressure Data'!$1:$1,0))+$G$19))),"")</f>
        <v/>
      </c>
      <c r="AC216" s="24">
        <f>IFERROR(IF($F$20="","",IF($K$5+ROW()-26&gt;$K$6,"",IF(INDEX('Raw Pressure Data'!$A:$ZZ,$K$5+ROW()-26+$H$20,MATCH($F$20,'Raw Pressure Data'!$1:$1,0))=-999,"",INDEX('Raw Pressure Data'!$A:$ZZ,$K$5+ROW()-26+$H$20,MATCH($F$20,'Raw Pressure Data'!$1:$1,0))+$G$20))),"")</f>
        <v/>
      </c>
      <c r="AD216" s="24">
        <f>IFERROR(IF($F$21="","",IF($K$5+ROW()-26&gt;$K$6,"",IF(INDEX('Raw Pressure Data'!$A:$ZZ,$K$5+ROW()-26+$H$21,MATCH($F$21,'Raw Pressure Data'!$1:$1,0))=-999,"",INDEX('Raw Pressure Data'!$A:$ZZ,$K$5+ROW()-26+$H$21,MATCH($F$21,'Raw Pressure Data'!$1:$1,0))+$G$21))),"")</f>
        <v/>
      </c>
      <c r="AE216" s="24">
        <f>IFERROR(IF($F$22="","",IF($K$5+ROW()-26&gt;$K$6,"",IF(INDEX('Raw Pressure Data'!$A:$ZZ,$K$5+ROW()-26+$H$22,MATCH($F$22,'Raw Pressure Data'!$1:$1,0))=-999,"",INDEX('Raw Pressure Data'!$A:$ZZ,$K$5+ROW()-26+$H$22,MATCH($F$22,'Raw Pressure Data'!$1:$1,0))+$G$22))),"")</f>
        <v/>
      </c>
    </row>
    <row r="217" ht="15" customHeight="1">
      <c r="A217" s="25">
        <f>IFERROR(IF($K$5+ROW()-26&gt;$K$6,"",IF(INDEX('Raw Flow Data'!$A:$A,$K$5+ROW()-26)="","",INDEX('Raw Flow Data'!$A:$A,$K$5+ROW()-26))),"")</f>
        <v/>
      </c>
      <c r="B217" s="26">
        <f>IFERROR(IF($B$3="","",IF($K$5+ROW()-26&gt;$K$6,"",IF(INDEX('Raw Flow Data'!$A:$ZZ,$K$5+ROW()-26+$D$3,MATCH($B$3,'Raw Flow Data'!$1:$1,0))=-999,"",INDEX('Raw Flow Data'!$A:$ZZ,$K$5+ROW()-26+$D$3,MATCH($B$3,'Raw Flow Data'!$1:$1,0))*$C$3))),"")</f>
        <v/>
      </c>
      <c r="C217" s="26">
        <f>IFERROR(IF($B$4="","",IF($K$5+ROW()-26&gt;$K$6,"",IF(INDEX('Raw Flow Data'!$A:$ZZ,$K$5+ROW()-26+$D$4,MATCH($B$4,'Raw Flow Data'!$1:$1,0))=-999,"",INDEX('Raw Flow Data'!$A:$ZZ,$K$5+ROW()-26+$D$4,MATCH($B$4,'Raw Flow Data'!$1:$1,0))*$C$4))),"")</f>
        <v/>
      </c>
      <c r="D217" s="26">
        <f>IFERROR(IF($B$5="","",IF($K$5+ROW()-26&gt;$K$6,"",IF(INDEX('Raw Flow Data'!$A:$ZZ,$K$5+ROW()-26+$D$5,MATCH($B$5,'Raw Flow Data'!$1:$1,0))=-999,"",INDEX('Raw Flow Data'!$A:$ZZ,$K$5+ROW()-26+$D$5,MATCH($B$5,'Raw Flow Data'!$1:$1,0))*$C$5))),"")</f>
        <v/>
      </c>
      <c r="E217" s="26">
        <f>IFERROR(IF($B$6="","",IF($K$5+ROW()-26&gt;$K$6,"",IF(INDEX('Raw Flow Data'!$A:$ZZ,$K$5+ROW()-26+$D$6,MATCH($B$6,'Raw Flow Data'!$1:$1,0))=-999,"",INDEX('Raw Flow Data'!$A:$ZZ,$K$5+ROW()-26+$D$6,MATCH($B$6,'Raw Flow Data'!$1:$1,0))*$C$6))),"")</f>
        <v/>
      </c>
      <c r="F217" s="26">
        <f>IFERROR(IF($B$7="","",IF($K$5+ROW()-26&gt;$K$6,"",IF(INDEX('Raw Flow Data'!$A:$ZZ,$K$5+ROW()-26+$D$7,MATCH($B$7,'Raw Flow Data'!$1:$1,0))=-999,"",INDEX('Raw Flow Data'!$A:$ZZ,$K$5+ROW()-26+$D$7,MATCH($B$7,'Raw Flow Data'!$1:$1,0))*$C$7))),"")</f>
        <v/>
      </c>
      <c r="G217" s="26">
        <f>IFERROR(IF($B$8="","",IF($K$5+ROW()-26&gt;$K$6,"",IF(INDEX('Raw Flow Data'!$A:$ZZ,$K$5+ROW()-26+$D$8,MATCH($B$8,'Raw Flow Data'!$1:$1,0))=-999,"",INDEX('Raw Flow Data'!$A:$ZZ,$K$5+ROW()-26+$D$8,MATCH($B$8,'Raw Flow Data'!$1:$1,0))*$C$8))),"")</f>
        <v/>
      </c>
      <c r="H217" s="26">
        <f>IFERROR(IF($B$9="","",IF($K$5+ROW()-26&gt;$K$6,"",IF(INDEX('Raw Flow Data'!$A:$ZZ,$K$5+ROW()-26+$D$9,MATCH($B$9,'Raw Flow Data'!$1:$1,0))=-999,"",INDEX('Raw Flow Data'!$A:$ZZ,$K$5+ROW()-26+$D$9,MATCH($B$9,'Raw Flow Data'!$1:$1,0))*$C$9))),"")</f>
        <v/>
      </c>
      <c r="I217" s="26">
        <f>IFERROR(IF($B$10="","",IF($K$5+ROW()-26&gt;$K$6,"",IF(INDEX('Raw Flow Data'!$A:$ZZ,$K$5+ROW()-26+$D$10,MATCH($B$10,'Raw Flow Data'!$1:$1,0))=-999,"",INDEX('Raw Flow Data'!$A:$ZZ,$K$5+ROW()-26+$D$10,MATCH($B$10,'Raw Flow Data'!$1:$1,0))*$C$10))),"")</f>
        <v/>
      </c>
      <c r="J217" s="26">
        <f>IFERROR(IF($B$11="","",IF($K$5+ROW()-26&gt;$K$6,"",IF(INDEX('Raw Flow Data'!$A:$ZZ,$K$5+ROW()-26+$D$11,MATCH($B$11,'Raw Flow Data'!$1:$1,0))=-999,"",INDEX('Raw Flow Data'!$A:$ZZ,$K$5+ROW()-26+$D$11,MATCH($B$11,'Raw Flow Data'!$1:$1,0))*$C$11))),"")</f>
        <v/>
      </c>
      <c r="K217" s="26">
        <f>IFERROR(IF($B$12="","",IF($K$5+ROW()-26&gt;$K$6,"",IF(INDEX('Raw Flow Data'!$A:$ZZ,$K$5+ROW()-26+$D$12,MATCH($B$12,'Raw Flow Data'!$1:$1,0))=-999,"",INDEX('Raw Flow Data'!$A:$ZZ,$K$5+ROW()-26+$D$12,MATCH($B$12,'Raw Flow Data'!$1:$1,0))*$C$12))),"")</f>
        <v/>
      </c>
      <c r="L217" s="26">
        <f>IFERROR(IF($F$3="","",IF($K$5+ROW()-26&gt;$K$6,"",IF(INDEX('Raw Pressure Data'!$A:$ZZ,$K$5+ROW()-26+$H$3,MATCH($F$3,'Raw Pressure Data'!$1:$1,0))=-999,"",INDEX('Raw Pressure Data'!$A:$ZZ,$K$5+ROW()-26+$H$3,MATCH($F$3,'Raw Pressure Data'!$1:$1,0))+$G$3))),"")</f>
        <v/>
      </c>
      <c r="M217" s="26">
        <f>IFERROR(IF($F$4="","",IF($K$5+ROW()-26&gt;$K$6,"",IF(INDEX('Raw Pressure Data'!$A:$ZZ,$K$5+ROW()-26+$H$4,MATCH($F$4,'Raw Pressure Data'!$1:$1,0))=-999,"",INDEX('Raw Pressure Data'!$A:$ZZ,$K$5+ROW()-26+$H$4,MATCH($F$4,'Raw Pressure Data'!$1:$1,0))+$G$4))),"")</f>
        <v/>
      </c>
      <c r="N217" s="26">
        <f>IFERROR(IF($F$5="","",IF($K$5+ROW()-26&gt;$K$6,"",IF(INDEX('Raw Pressure Data'!$A:$ZZ,$K$5+ROW()-26+$H$5,MATCH($F$5,'Raw Pressure Data'!$1:$1,0))=-999,"",INDEX('Raw Pressure Data'!$A:$ZZ,$K$5+ROW()-26+$H$5,MATCH($F$5,'Raw Pressure Data'!$1:$1,0))+$G$5))),"")</f>
        <v/>
      </c>
      <c r="O217" s="26">
        <f>IFERROR(IF($F$6="","",IF($K$5+ROW()-26&gt;$K$6,"",IF(INDEX('Raw Pressure Data'!$A:$ZZ,$K$5+ROW()-26+$H$6,MATCH($F$6,'Raw Pressure Data'!$1:$1,0))=-999,"",INDEX('Raw Pressure Data'!$A:$ZZ,$K$5+ROW()-26+$H$6,MATCH($F$6,'Raw Pressure Data'!$1:$1,0))+$G$6))),"")</f>
        <v/>
      </c>
      <c r="P217" s="26">
        <f>IFERROR(IF($F$7="","",IF($K$5+ROW()-26&gt;$K$6,"",IF(INDEX('Raw Pressure Data'!$A:$ZZ,$K$5+ROW()-26+$H$7,MATCH($F$7,'Raw Pressure Data'!$1:$1,0))=-999,"",INDEX('Raw Pressure Data'!$A:$ZZ,$K$5+ROW()-26+$H$7,MATCH($F$7,'Raw Pressure Data'!$1:$1,0))+$G$7))),"")</f>
        <v/>
      </c>
      <c r="Q217" s="26">
        <f>IFERROR(IF($F$8="","",IF($K$5+ROW()-26&gt;$K$6,"",IF(INDEX('Raw Pressure Data'!$A:$ZZ,$K$5+ROW()-26+$H$8,MATCH($F$8,'Raw Pressure Data'!$1:$1,0))=-999,"",INDEX('Raw Pressure Data'!$A:$ZZ,$K$5+ROW()-26+$H$8,MATCH($F$8,'Raw Pressure Data'!$1:$1,0))+$G$8))),"")</f>
        <v/>
      </c>
      <c r="R217" s="26">
        <f>IFERROR(IF($F$9="","",IF($K$5+ROW()-26&gt;$K$6,"",IF(INDEX('Raw Pressure Data'!$A:$ZZ,$K$5+ROW()-26+$H$9,MATCH($F$9,'Raw Pressure Data'!$1:$1,0))=-999,"",INDEX('Raw Pressure Data'!$A:$ZZ,$K$5+ROW()-26+$H$9,MATCH($F$9,'Raw Pressure Data'!$1:$1,0))+$G$9))),"")</f>
        <v/>
      </c>
      <c r="S217" s="26">
        <f>IFERROR(IF($F$10="","",IF($K$5+ROW()-26&gt;$K$6,"",IF(INDEX('Raw Pressure Data'!$A:$ZZ,$K$5+ROW()-26+$H$10,MATCH($F$10,'Raw Pressure Data'!$1:$1,0))=-999,"",INDEX('Raw Pressure Data'!$A:$ZZ,$K$5+ROW()-26+$H$10,MATCH($F$10,'Raw Pressure Data'!$1:$1,0))+$G$10))),"")</f>
        <v/>
      </c>
      <c r="T217" s="26">
        <f>IFERROR(IF($F$11="","",IF($K$5+ROW()-26&gt;$K$6,"",IF(INDEX('Raw Pressure Data'!$A:$ZZ,$K$5+ROW()-26+$H$11,MATCH($F$11,'Raw Pressure Data'!$1:$1,0))=-999,"",INDEX('Raw Pressure Data'!$A:$ZZ,$K$5+ROW()-26+$H$11,MATCH($F$11,'Raw Pressure Data'!$1:$1,0))+$G$11))),"")</f>
        <v/>
      </c>
      <c r="U217" s="26">
        <f>IFERROR(IF($F$12="","",IF($K$5+ROW()-26&gt;$K$6,"",IF(INDEX('Raw Pressure Data'!$A:$ZZ,$K$5+ROW()-26+$H$12,MATCH($F$12,'Raw Pressure Data'!$1:$1,0))=-999,"",INDEX('Raw Pressure Data'!$A:$ZZ,$K$5+ROW()-26+$H$12,MATCH($F$12,'Raw Pressure Data'!$1:$1,0))+$G$12))),"")</f>
        <v/>
      </c>
      <c r="V217" s="26">
        <f>IFERROR(IF($F$13="","",IF($K$5+ROW()-26&gt;$K$6,"",IF(INDEX('Raw Pressure Data'!$A:$ZZ,$K$5+ROW()-26+$H$13,MATCH($F$13,'Raw Pressure Data'!$1:$1,0))=-999,"",INDEX('Raw Pressure Data'!$A:$ZZ,$K$5+ROW()-26+$H$13,MATCH($F$13,'Raw Pressure Data'!$1:$1,0))+$G$13))),"")</f>
        <v/>
      </c>
      <c r="W217" s="26">
        <f>IFERROR(IF($F$14="","",IF($K$5+ROW()-26&gt;$K$6,"",IF(INDEX('Raw Pressure Data'!$A:$ZZ,$K$5+ROW()-26+$H$14,MATCH($F$14,'Raw Pressure Data'!$1:$1,0))=-999,"",INDEX('Raw Pressure Data'!$A:$ZZ,$K$5+ROW()-26+$H$14,MATCH($F$14,'Raw Pressure Data'!$1:$1,0))+$G$14))),"")</f>
        <v/>
      </c>
      <c r="X217" s="26">
        <f>IFERROR(IF($F$15="","",IF($K$5+ROW()-26&gt;$K$6,"",IF(INDEX('Raw Pressure Data'!$A:$ZZ,$K$5+ROW()-26+$H$15,MATCH($F$15,'Raw Pressure Data'!$1:$1,0))=-999,"",INDEX('Raw Pressure Data'!$A:$ZZ,$K$5+ROW()-26+$H$15,MATCH($F$15,'Raw Pressure Data'!$1:$1,0))+$G$15))),"")</f>
        <v/>
      </c>
      <c r="Y217" s="26">
        <f>IFERROR(IF($F$16="","",IF($K$5+ROW()-26&gt;$K$6,"",IF(INDEX('Raw Pressure Data'!$A:$ZZ,$K$5+ROW()-26+$H$16,MATCH($F$16,'Raw Pressure Data'!$1:$1,0))=-999,"",INDEX('Raw Pressure Data'!$A:$ZZ,$K$5+ROW()-26+$H$16,MATCH($F$16,'Raw Pressure Data'!$1:$1,0))+$G$16))),"")</f>
        <v/>
      </c>
      <c r="Z217" s="26">
        <f>IFERROR(IF($F$17="","",IF($K$5+ROW()-26&gt;$K$6,"",IF(INDEX('Raw Pressure Data'!$A:$ZZ,$K$5+ROW()-26+$H$17,MATCH($F$17,'Raw Pressure Data'!$1:$1,0))=-999,"",INDEX('Raw Pressure Data'!$A:$ZZ,$K$5+ROW()-26+$H$17,MATCH($F$17,'Raw Pressure Data'!$1:$1,0))+$G$17))),"")</f>
        <v/>
      </c>
      <c r="AA217" s="26">
        <f>IFERROR(IF($F$18="","",IF($K$5+ROW()-26&gt;$K$6,"",IF(INDEX('Raw Pressure Data'!$A:$ZZ,$K$5+ROW()-26+$H$18,MATCH($F$18,'Raw Pressure Data'!$1:$1,0))=-999,"",INDEX('Raw Pressure Data'!$A:$ZZ,$K$5+ROW()-26+$H$18,MATCH($F$18,'Raw Pressure Data'!$1:$1,0))+$G$18))),"")</f>
        <v/>
      </c>
      <c r="AB217" s="26">
        <f>IFERROR(IF($F$19="","",IF($K$5+ROW()-26&gt;$K$6,"",IF(INDEX('Raw Pressure Data'!$A:$ZZ,$K$5+ROW()-26+$H$19,MATCH($F$19,'Raw Pressure Data'!$1:$1,0))=-999,"",INDEX('Raw Pressure Data'!$A:$ZZ,$K$5+ROW()-26+$H$19,MATCH($F$19,'Raw Pressure Data'!$1:$1,0))+$G$19))),"")</f>
        <v/>
      </c>
      <c r="AC217" s="26">
        <f>IFERROR(IF($F$20="","",IF($K$5+ROW()-26&gt;$K$6,"",IF(INDEX('Raw Pressure Data'!$A:$ZZ,$K$5+ROW()-26+$H$20,MATCH($F$20,'Raw Pressure Data'!$1:$1,0))=-999,"",INDEX('Raw Pressure Data'!$A:$ZZ,$K$5+ROW()-26+$H$20,MATCH($F$20,'Raw Pressure Data'!$1:$1,0))+$G$20))),"")</f>
        <v/>
      </c>
      <c r="AD217" s="26">
        <f>IFERROR(IF($F$21="","",IF($K$5+ROW()-26&gt;$K$6,"",IF(INDEX('Raw Pressure Data'!$A:$ZZ,$K$5+ROW()-26+$H$21,MATCH($F$21,'Raw Pressure Data'!$1:$1,0))=-999,"",INDEX('Raw Pressure Data'!$A:$ZZ,$K$5+ROW()-26+$H$21,MATCH($F$21,'Raw Pressure Data'!$1:$1,0))+$G$21))),"")</f>
        <v/>
      </c>
      <c r="AE217" s="26">
        <f>IFERROR(IF($F$22="","",IF($K$5+ROW()-26&gt;$K$6,"",IF(INDEX('Raw Pressure Data'!$A:$ZZ,$K$5+ROW()-26+$H$22,MATCH($F$22,'Raw Pressure Data'!$1:$1,0))=-999,"",INDEX('Raw Pressure Data'!$A:$ZZ,$K$5+ROW()-26+$H$22,MATCH($F$22,'Raw Pressure Data'!$1:$1,0))+$G$22))),"")</f>
        <v/>
      </c>
    </row>
    <row r="218" ht="15" customHeight="1">
      <c r="A218" s="23">
        <f>IFERROR(IF($K$5+ROW()-26&gt;$K$6,"",IF(INDEX('Raw Flow Data'!$A:$A,$K$5+ROW()-26)="","",INDEX('Raw Flow Data'!$A:$A,$K$5+ROW()-26))),"")</f>
        <v/>
      </c>
      <c r="B218" s="24">
        <f>IFERROR(IF($B$3="","",IF($K$5+ROW()-26&gt;$K$6,"",IF(INDEX('Raw Flow Data'!$A:$ZZ,$K$5+ROW()-26+$D$3,MATCH($B$3,'Raw Flow Data'!$1:$1,0))=-999,"",INDEX('Raw Flow Data'!$A:$ZZ,$K$5+ROW()-26+$D$3,MATCH($B$3,'Raw Flow Data'!$1:$1,0))*$C$3))),"")</f>
        <v/>
      </c>
      <c r="C218" s="24">
        <f>IFERROR(IF($B$4="","",IF($K$5+ROW()-26&gt;$K$6,"",IF(INDEX('Raw Flow Data'!$A:$ZZ,$K$5+ROW()-26+$D$4,MATCH($B$4,'Raw Flow Data'!$1:$1,0))=-999,"",INDEX('Raw Flow Data'!$A:$ZZ,$K$5+ROW()-26+$D$4,MATCH($B$4,'Raw Flow Data'!$1:$1,0))*$C$4))),"")</f>
        <v/>
      </c>
      <c r="D218" s="24">
        <f>IFERROR(IF($B$5="","",IF($K$5+ROW()-26&gt;$K$6,"",IF(INDEX('Raw Flow Data'!$A:$ZZ,$K$5+ROW()-26+$D$5,MATCH($B$5,'Raw Flow Data'!$1:$1,0))=-999,"",INDEX('Raw Flow Data'!$A:$ZZ,$K$5+ROW()-26+$D$5,MATCH($B$5,'Raw Flow Data'!$1:$1,0))*$C$5))),"")</f>
        <v/>
      </c>
      <c r="E218" s="24">
        <f>IFERROR(IF($B$6="","",IF($K$5+ROW()-26&gt;$K$6,"",IF(INDEX('Raw Flow Data'!$A:$ZZ,$K$5+ROW()-26+$D$6,MATCH($B$6,'Raw Flow Data'!$1:$1,0))=-999,"",INDEX('Raw Flow Data'!$A:$ZZ,$K$5+ROW()-26+$D$6,MATCH($B$6,'Raw Flow Data'!$1:$1,0))*$C$6))),"")</f>
        <v/>
      </c>
      <c r="F218" s="24">
        <f>IFERROR(IF($B$7="","",IF($K$5+ROW()-26&gt;$K$6,"",IF(INDEX('Raw Flow Data'!$A:$ZZ,$K$5+ROW()-26+$D$7,MATCH($B$7,'Raw Flow Data'!$1:$1,0))=-999,"",INDEX('Raw Flow Data'!$A:$ZZ,$K$5+ROW()-26+$D$7,MATCH($B$7,'Raw Flow Data'!$1:$1,0))*$C$7))),"")</f>
        <v/>
      </c>
      <c r="G218" s="24">
        <f>IFERROR(IF($B$8="","",IF($K$5+ROW()-26&gt;$K$6,"",IF(INDEX('Raw Flow Data'!$A:$ZZ,$K$5+ROW()-26+$D$8,MATCH($B$8,'Raw Flow Data'!$1:$1,0))=-999,"",INDEX('Raw Flow Data'!$A:$ZZ,$K$5+ROW()-26+$D$8,MATCH($B$8,'Raw Flow Data'!$1:$1,0))*$C$8))),"")</f>
        <v/>
      </c>
      <c r="H218" s="24">
        <f>IFERROR(IF($B$9="","",IF($K$5+ROW()-26&gt;$K$6,"",IF(INDEX('Raw Flow Data'!$A:$ZZ,$K$5+ROW()-26+$D$9,MATCH($B$9,'Raw Flow Data'!$1:$1,0))=-999,"",INDEX('Raw Flow Data'!$A:$ZZ,$K$5+ROW()-26+$D$9,MATCH($B$9,'Raw Flow Data'!$1:$1,0))*$C$9))),"")</f>
        <v/>
      </c>
      <c r="I218" s="24">
        <f>IFERROR(IF($B$10="","",IF($K$5+ROW()-26&gt;$K$6,"",IF(INDEX('Raw Flow Data'!$A:$ZZ,$K$5+ROW()-26+$D$10,MATCH($B$10,'Raw Flow Data'!$1:$1,0))=-999,"",INDEX('Raw Flow Data'!$A:$ZZ,$K$5+ROW()-26+$D$10,MATCH($B$10,'Raw Flow Data'!$1:$1,0))*$C$10))),"")</f>
        <v/>
      </c>
      <c r="J218" s="24">
        <f>IFERROR(IF($B$11="","",IF($K$5+ROW()-26&gt;$K$6,"",IF(INDEX('Raw Flow Data'!$A:$ZZ,$K$5+ROW()-26+$D$11,MATCH($B$11,'Raw Flow Data'!$1:$1,0))=-999,"",INDEX('Raw Flow Data'!$A:$ZZ,$K$5+ROW()-26+$D$11,MATCH($B$11,'Raw Flow Data'!$1:$1,0))*$C$11))),"")</f>
        <v/>
      </c>
      <c r="K218" s="24">
        <f>IFERROR(IF($B$12="","",IF($K$5+ROW()-26&gt;$K$6,"",IF(INDEX('Raw Flow Data'!$A:$ZZ,$K$5+ROW()-26+$D$12,MATCH($B$12,'Raw Flow Data'!$1:$1,0))=-999,"",INDEX('Raw Flow Data'!$A:$ZZ,$K$5+ROW()-26+$D$12,MATCH($B$12,'Raw Flow Data'!$1:$1,0))*$C$12))),"")</f>
        <v/>
      </c>
      <c r="L218" s="24">
        <f>IFERROR(IF($F$3="","",IF($K$5+ROW()-26&gt;$K$6,"",IF(INDEX('Raw Pressure Data'!$A:$ZZ,$K$5+ROW()-26+$H$3,MATCH($F$3,'Raw Pressure Data'!$1:$1,0))=-999,"",INDEX('Raw Pressure Data'!$A:$ZZ,$K$5+ROW()-26+$H$3,MATCH($F$3,'Raw Pressure Data'!$1:$1,0))+$G$3))),"")</f>
        <v/>
      </c>
      <c r="M218" s="24">
        <f>IFERROR(IF($F$4="","",IF($K$5+ROW()-26&gt;$K$6,"",IF(INDEX('Raw Pressure Data'!$A:$ZZ,$K$5+ROW()-26+$H$4,MATCH($F$4,'Raw Pressure Data'!$1:$1,0))=-999,"",INDEX('Raw Pressure Data'!$A:$ZZ,$K$5+ROW()-26+$H$4,MATCH($F$4,'Raw Pressure Data'!$1:$1,0))+$G$4))),"")</f>
        <v/>
      </c>
      <c r="N218" s="24">
        <f>IFERROR(IF($F$5="","",IF($K$5+ROW()-26&gt;$K$6,"",IF(INDEX('Raw Pressure Data'!$A:$ZZ,$K$5+ROW()-26+$H$5,MATCH($F$5,'Raw Pressure Data'!$1:$1,0))=-999,"",INDEX('Raw Pressure Data'!$A:$ZZ,$K$5+ROW()-26+$H$5,MATCH($F$5,'Raw Pressure Data'!$1:$1,0))+$G$5))),"")</f>
        <v/>
      </c>
      <c r="O218" s="24">
        <f>IFERROR(IF($F$6="","",IF($K$5+ROW()-26&gt;$K$6,"",IF(INDEX('Raw Pressure Data'!$A:$ZZ,$K$5+ROW()-26+$H$6,MATCH($F$6,'Raw Pressure Data'!$1:$1,0))=-999,"",INDEX('Raw Pressure Data'!$A:$ZZ,$K$5+ROW()-26+$H$6,MATCH($F$6,'Raw Pressure Data'!$1:$1,0))+$G$6))),"")</f>
        <v/>
      </c>
      <c r="P218" s="24">
        <f>IFERROR(IF($F$7="","",IF($K$5+ROW()-26&gt;$K$6,"",IF(INDEX('Raw Pressure Data'!$A:$ZZ,$K$5+ROW()-26+$H$7,MATCH($F$7,'Raw Pressure Data'!$1:$1,0))=-999,"",INDEX('Raw Pressure Data'!$A:$ZZ,$K$5+ROW()-26+$H$7,MATCH($F$7,'Raw Pressure Data'!$1:$1,0))+$G$7))),"")</f>
        <v/>
      </c>
      <c r="Q218" s="24">
        <f>IFERROR(IF($F$8="","",IF($K$5+ROW()-26&gt;$K$6,"",IF(INDEX('Raw Pressure Data'!$A:$ZZ,$K$5+ROW()-26+$H$8,MATCH($F$8,'Raw Pressure Data'!$1:$1,0))=-999,"",INDEX('Raw Pressure Data'!$A:$ZZ,$K$5+ROW()-26+$H$8,MATCH($F$8,'Raw Pressure Data'!$1:$1,0))+$G$8))),"")</f>
        <v/>
      </c>
      <c r="R218" s="24">
        <f>IFERROR(IF($F$9="","",IF($K$5+ROW()-26&gt;$K$6,"",IF(INDEX('Raw Pressure Data'!$A:$ZZ,$K$5+ROW()-26+$H$9,MATCH($F$9,'Raw Pressure Data'!$1:$1,0))=-999,"",INDEX('Raw Pressure Data'!$A:$ZZ,$K$5+ROW()-26+$H$9,MATCH($F$9,'Raw Pressure Data'!$1:$1,0))+$G$9))),"")</f>
        <v/>
      </c>
      <c r="S218" s="24">
        <f>IFERROR(IF($F$10="","",IF($K$5+ROW()-26&gt;$K$6,"",IF(INDEX('Raw Pressure Data'!$A:$ZZ,$K$5+ROW()-26+$H$10,MATCH($F$10,'Raw Pressure Data'!$1:$1,0))=-999,"",INDEX('Raw Pressure Data'!$A:$ZZ,$K$5+ROW()-26+$H$10,MATCH($F$10,'Raw Pressure Data'!$1:$1,0))+$G$10))),"")</f>
        <v/>
      </c>
      <c r="T218" s="24">
        <f>IFERROR(IF($F$11="","",IF($K$5+ROW()-26&gt;$K$6,"",IF(INDEX('Raw Pressure Data'!$A:$ZZ,$K$5+ROW()-26+$H$11,MATCH($F$11,'Raw Pressure Data'!$1:$1,0))=-999,"",INDEX('Raw Pressure Data'!$A:$ZZ,$K$5+ROW()-26+$H$11,MATCH($F$11,'Raw Pressure Data'!$1:$1,0))+$G$11))),"")</f>
        <v/>
      </c>
      <c r="U218" s="24">
        <f>IFERROR(IF($F$12="","",IF($K$5+ROW()-26&gt;$K$6,"",IF(INDEX('Raw Pressure Data'!$A:$ZZ,$K$5+ROW()-26+$H$12,MATCH($F$12,'Raw Pressure Data'!$1:$1,0))=-999,"",INDEX('Raw Pressure Data'!$A:$ZZ,$K$5+ROW()-26+$H$12,MATCH($F$12,'Raw Pressure Data'!$1:$1,0))+$G$12))),"")</f>
        <v/>
      </c>
      <c r="V218" s="24">
        <f>IFERROR(IF($F$13="","",IF($K$5+ROW()-26&gt;$K$6,"",IF(INDEX('Raw Pressure Data'!$A:$ZZ,$K$5+ROW()-26+$H$13,MATCH($F$13,'Raw Pressure Data'!$1:$1,0))=-999,"",INDEX('Raw Pressure Data'!$A:$ZZ,$K$5+ROW()-26+$H$13,MATCH($F$13,'Raw Pressure Data'!$1:$1,0))+$G$13))),"")</f>
        <v/>
      </c>
      <c r="W218" s="24">
        <f>IFERROR(IF($F$14="","",IF($K$5+ROW()-26&gt;$K$6,"",IF(INDEX('Raw Pressure Data'!$A:$ZZ,$K$5+ROW()-26+$H$14,MATCH($F$14,'Raw Pressure Data'!$1:$1,0))=-999,"",INDEX('Raw Pressure Data'!$A:$ZZ,$K$5+ROW()-26+$H$14,MATCH($F$14,'Raw Pressure Data'!$1:$1,0))+$G$14))),"")</f>
        <v/>
      </c>
      <c r="X218" s="24">
        <f>IFERROR(IF($F$15="","",IF($K$5+ROW()-26&gt;$K$6,"",IF(INDEX('Raw Pressure Data'!$A:$ZZ,$K$5+ROW()-26+$H$15,MATCH($F$15,'Raw Pressure Data'!$1:$1,0))=-999,"",INDEX('Raw Pressure Data'!$A:$ZZ,$K$5+ROW()-26+$H$15,MATCH($F$15,'Raw Pressure Data'!$1:$1,0))+$G$15))),"")</f>
        <v/>
      </c>
      <c r="Y218" s="24">
        <f>IFERROR(IF($F$16="","",IF($K$5+ROW()-26&gt;$K$6,"",IF(INDEX('Raw Pressure Data'!$A:$ZZ,$K$5+ROW()-26+$H$16,MATCH($F$16,'Raw Pressure Data'!$1:$1,0))=-999,"",INDEX('Raw Pressure Data'!$A:$ZZ,$K$5+ROW()-26+$H$16,MATCH($F$16,'Raw Pressure Data'!$1:$1,0))+$G$16))),"")</f>
        <v/>
      </c>
      <c r="Z218" s="24">
        <f>IFERROR(IF($F$17="","",IF($K$5+ROW()-26&gt;$K$6,"",IF(INDEX('Raw Pressure Data'!$A:$ZZ,$K$5+ROW()-26+$H$17,MATCH($F$17,'Raw Pressure Data'!$1:$1,0))=-999,"",INDEX('Raw Pressure Data'!$A:$ZZ,$K$5+ROW()-26+$H$17,MATCH($F$17,'Raw Pressure Data'!$1:$1,0))+$G$17))),"")</f>
        <v/>
      </c>
      <c r="AA218" s="24">
        <f>IFERROR(IF($F$18="","",IF($K$5+ROW()-26&gt;$K$6,"",IF(INDEX('Raw Pressure Data'!$A:$ZZ,$K$5+ROW()-26+$H$18,MATCH($F$18,'Raw Pressure Data'!$1:$1,0))=-999,"",INDEX('Raw Pressure Data'!$A:$ZZ,$K$5+ROW()-26+$H$18,MATCH($F$18,'Raw Pressure Data'!$1:$1,0))+$G$18))),"")</f>
        <v/>
      </c>
      <c r="AB218" s="24">
        <f>IFERROR(IF($F$19="","",IF($K$5+ROW()-26&gt;$K$6,"",IF(INDEX('Raw Pressure Data'!$A:$ZZ,$K$5+ROW()-26+$H$19,MATCH($F$19,'Raw Pressure Data'!$1:$1,0))=-999,"",INDEX('Raw Pressure Data'!$A:$ZZ,$K$5+ROW()-26+$H$19,MATCH($F$19,'Raw Pressure Data'!$1:$1,0))+$G$19))),"")</f>
        <v/>
      </c>
      <c r="AC218" s="24">
        <f>IFERROR(IF($F$20="","",IF($K$5+ROW()-26&gt;$K$6,"",IF(INDEX('Raw Pressure Data'!$A:$ZZ,$K$5+ROW()-26+$H$20,MATCH($F$20,'Raw Pressure Data'!$1:$1,0))=-999,"",INDEX('Raw Pressure Data'!$A:$ZZ,$K$5+ROW()-26+$H$20,MATCH($F$20,'Raw Pressure Data'!$1:$1,0))+$G$20))),"")</f>
        <v/>
      </c>
      <c r="AD218" s="24">
        <f>IFERROR(IF($F$21="","",IF($K$5+ROW()-26&gt;$K$6,"",IF(INDEX('Raw Pressure Data'!$A:$ZZ,$K$5+ROW()-26+$H$21,MATCH($F$21,'Raw Pressure Data'!$1:$1,0))=-999,"",INDEX('Raw Pressure Data'!$A:$ZZ,$K$5+ROW()-26+$H$21,MATCH($F$21,'Raw Pressure Data'!$1:$1,0))+$G$21))),"")</f>
        <v/>
      </c>
      <c r="AE218" s="24">
        <f>IFERROR(IF($F$22="","",IF($K$5+ROW()-26&gt;$K$6,"",IF(INDEX('Raw Pressure Data'!$A:$ZZ,$K$5+ROW()-26+$H$22,MATCH($F$22,'Raw Pressure Data'!$1:$1,0))=-999,"",INDEX('Raw Pressure Data'!$A:$ZZ,$K$5+ROW()-26+$H$22,MATCH($F$22,'Raw Pressure Data'!$1:$1,0))+$G$22))),"")</f>
        <v/>
      </c>
    </row>
    <row r="219" ht="15" customHeight="1">
      <c r="A219" s="25">
        <f>IFERROR(IF($K$5+ROW()-26&gt;$K$6,"",IF(INDEX('Raw Flow Data'!$A:$A,$K$5+ROW()-26)="","",INDEX('Raw Flow Data'!$A:$A,$K$5+ROW()-26))),"")</f>
        <v/>
      </c>
      <c r="B219" s="26">
        <f>IFERROR(IF($B$3="","",IF($K$5+ROW()-26&gt;$K$6,"",IF(INDEX('Raw Flow Data'!$A:$ZZ,$K$5+ROW()-26+$D$3,MATCH($B$3,'Raw Flow Data'!$1:$1,0))=-999,"",INDEX('Raw Flow Data'!$A:$ZZ,$K$5+ROW()-26+$D$3,MATCH($B$3,'Raw Flow Data'!$1:$1,0))*$C$3))),"")</f>
        <v/>
      </c>
      <c r="C219" s="26">
        <f>IFERROR(IF($B$4="","",IF($K$5+ROW()-26&gt;$K$6,"",IF(INDEX('Raw Flow Data'!$A:$ZZ,$K$5+ROW()-26+$D$4,MATCH($B$4,'Raw Flow Data'!$1:$1,0))=-999,"",INDEX('Raw Flow Data'!$A:$ZZ,$K$5+ROW()-26+$D$4,MATCH($B$4,'Raw Flow Data'!$1:$1,0))*$C$4))),"")</f>
        <v/>
      </c>
      <c r="D219" s="26">
        <f>IFERROR(IF($B$5="","",IF($K$5+ROW()-26&gt;$K$6,"",IF(INDEX('Raw Flow Data'!$A:$ZZ,$K$5+ROW()-26+$D$5,MATCH($B$5,'Raw Flow Data'!$1:$1,0))=-999,"",INDEX('Raw Flow Data'!$A:$ZZ,$K$5+ROW()-26+$D$5,MATCH($B$5,'Raw Flow Data'!$1:$1,0))*$C$5))),"")</f>
        <v/>
      </c>
      <c r="E219" s="26">
        <f>IFERROR(IF($B$6="","",IF($K$5+ROW()-26&gt;$K$6,"",IF(INDEX('Raw Flow Data'!$A:$ZZ,$K$5+ROW()-26+$D$6,MATCH($B$6,'Raw Flow Data'!$1:$1,0))=-999,"",INDEX('Raw Flow Data'!$A:$ZZ,$K$5+ROW()-26+$D$6,MATCH($B$6,'Raw Flow Data'!$1:$1,0))*$C$6))),"")</f>
        <v/>
      </c>
      <c r="F219" s="26">
        <f>IFERROR(IF($B$7="","",IF($K$5+ROW()-26&gt;$K$6,"",IF(INDEX('Raw Flow Data'!$A:$ZZ,$K$5+ROW()-26+$D$7,MATCH($B$7,'Raw Flow Data'!$1:$1,0))=-999,"",INDEX('Raw Flow Data'!$A:$ZZ,$K$5+ROW()-26+$D$7,MATCH($B$7,'Raw Flow Data'!$1:$1,0))*$C$7))),"")</f>
        <v/>
      </c>
      <c r="G219" s="26">
        <f>IFERROR(IF($B$8="","",IF($K$5+ROW()-26&gt;$K$6,"",IF(INDEX('Raw Flow Data'!$A:$ZZ,$K$5+ROW()-26+$D$8,MATCH($B$8,'Raw Flow Data'!$1:$1,0))=-999,"",INDEX('Raw Flow Data'!$A:$ZZ,$K$5+ROW()-26+$D$8,MATCH($B$8,'Raw Flow Data'!$1:$1,0))*$C$8))),"")</f>
        <v/>
      </c>
      <c r="H219" s="26">
        <f>IFERROR(IF($B$9="","",IF($K$5+ROW()-26&gt;$K$6,"",IF(INDEX('Raw Flow Data'!$A:$ZZ,$K$5+ROW()-26+$D$9,MATCH($B$9,'Raw Flow Data'!$1:$1,0))=-999,"",INDEX('Raw Flow Data'!$A:$ZZ,$K$5+ROW()-26+$D$9,MATCH($B$9,'Raw Flow Data'!$1:$1,0))*$C$9))),"")</f>
        <v/>
      </c>
      <c r="I219" s="26">
        <f>IFERROR(IF($B$10="","",IF($K$5+ROW()-26&gt;$K$6,"",IF(INDEX('Raw Flow Data'!$A:$ZZ,$K$5+ROW()-26+$D$10,MATCH($B$10,'Raw Flow Data'!$1:$1,0))=-999,"",INDEX('Raw Flow Data'!$A:$ZZ,$K$5+ROW()-26+$D$10,MATCH($B$10,'Raw Flow Data'!$1:$1,0))*$C$10))),"")</f>
        <v/>
      </c>
      <c r="J219" s="26">
        <f>IFERROR(IF($B$11="","",IF($K$5+ROW()-26&gt;$K$6,"",IF(INDEX('Raw Flow Data'!$A:$ZZ,$K$5+ROW()-26+$D$11,MATCH($B$11,'Raw Flow Data'!$1:$1,0))=-999,"",INDEX('Raw Flow Data'!$A:$ZZ,$K$5+ROW()-26+$D$11,MATCH($B$11,'Raw Flow Data'!$1:$1,0))*$C$11))),"")</f>
        <v/>
      </c>
      <c r="K219" s="26">
        <f>IFERROR(IF($B$12="","",IF($K$5+ROW()-26&gt;$K$6,"",IF(INDEX('Raw Flow Data'!$A:$ZZ,$K$5+ROW()-26+$D$12,MATCH($B$12,'Raw Flow Data'!$1:$1,0))=-999,"",INDEX('Raw Flow Data'!$A:$ZZ,$K$5+ROW()-26+$D$12,MATCH($B$12,'Raw Flow Data'!$1:$1,0))*$C$12))),"")</f>
        <v/>
      </c>
      <c r="L219" s="26">
        <f>IFERROR(IF($F$3="","",IF($K$5+ROW()-26&gt;$K$6,"",IF(INDEX('Raw Pressure Data'!$A:$ZZ,$K$5+ROW()-26+$H$3,MATCH($F$3,'Raw Pressure Data'!$1:$1,0))=-999,"",INDEX('Raw Pressure Data'!$A:$ZZ,$K$5+ROW()-26+$H$3,MATCH($F$3,'Raw Pressure Data'!$1:$1,0))+$G$3))),"")</f>
        <v/>
      </c>
      <c r="M219" s="26">
        <f>IFERROR(IF($F$4="","",IF($K$5+ROW()-26&gt;$K$6,"",IF(INDEX('Raw Pressure Data'!$A:$ZZ,$K$5+ROW()-26+$H$4,MATCH($F$4,'Raw Pressure Data'!$1:$1,0))=-999,"",INDEX('Raw Pressure Data'!$A:$ZZ,$K$5+ROW()-26+$H$4,MATCH($F$4,'Raw Pressure Data'!$1:$1,0))+$G$4))),"")</f>
        <v/>
      </c>
      <c r="N219" s="26">
        <f>IFERROR(IF($F$5="","",IF($K$5+ROW()-26&gt;$K$6,"",IF(INDEX('Raw Pressure Data'!$A:$ZZ,$K$5+ROW()-26+$H$5,MATCH($F$5,'Raw Pressure Data'!$1:$1,0))=-999,"",INDEX('Raw Pressure Data'!$A:$ZZ,$K$5+ROW()-26+$H$5,MATCH($F$5,'Raw Pressure Data'!$1:$1,0))+$G$5))),"")</f>
        <v/>
      </c>
      <c r="O219" s="26">
        <f>IFERROR(IF($F$6="","",IF($K$5+ROW()-26&gt;$K$6,"",IF(INDEX('Raw Pressure Data'!$A:$ZZ,$K$5+ROW()-26+$H$6,MATCH($F$6,'Raw Pressure Data'!$1:$1,0))=-999,"",INDEX('Raw Pressure Data'!$A:$ZZ,$K$5+ROW()-26+$H$6,MATCH($F$6,'Raw Pressure Data'!$1:$1,0))+$G$6))),"")</f>
        <v/>
      </c>
      <c r="P219" s="26">
        <f>IFERROR(IF($F$7="","",IF($K$5+ROW()-26&gt;$K$6,"",IF(INDEX('Raw Pressure Data'!$A:$ZZ,$K$5+ROW()-26+$H$7,MATCH($F$7,'Raw Pressure Data'!$1:$1,0))=-999,"",INDEX('Raw Pressure Data'!$A:$ZZ,$K$5+ROW()-26+$H$7,MATCH($F$7,'Raw Pressure Data'!$1:$1,0))+$G$7))),"")</f>
        <v/>
      </c>
      <c r="Q219" s="26">
        <f>IFERROR(IF($F$8="","",IF($K$5+ROW()-26&gt;$K$6,"",IF(INDEX('Raw Pressure Data'!$A:$ZZ,$K$5+ROW()-26+$H$8,MATCH($F$8,'Raw Pressure Data'!$1:$1,0))=-999,"",INDEX('Raw Pressure Data'!$A:$ZZ,$K$5+ROW()-26+$H$8,MATCH($F$8,'Raw Pressure Data'!$1:$1,0))+$G$8))),"")</f>
        <v/>
      </c>
      <c r="R219" s="26">
        <f>IFERROR(IF($F$9="","",IF($K$5+ROW()-26&gt;$K$6,"",IF(INDEX('Raw Pressure Data'!$A:$ZZ,$K$5+ROW()-26+$H$9,MATCH($F$9,'Raw Pressure Data'!$1:$1,0))=-999,"",INDEX('Raw Pressure Data'!$A:$ZZ,$K$5+ROW()-26+$H$9,MATCH($F$9,'Raw Pressure Data'!$1:$1,0))+$G$9))),"")</f>
        <v/>
      </c>
      <c r="S219" s="26">
        <f>IFERROR(IF($F$10="","",IF($K$5+ROW()-26&gt;$K$6,"",IF(INDEX('Raw Pressure Data'!$A:$ZZ,$K$5+ROW()-26+$H$10,MATCH($F$10,'Raw Pressure Data'!$1:$1,0))=-999,"",INDEX('Raw Pressure Data'!$A:$ZZ,$K$5+ROW()-26+$H$10,MATCH($F$10,'Raw Pressure Data'!$1:$1,0))+$G$10))),"")</f>
        <v/>
      </c>
      <c r="T219" s="26">
        <f>IFERROR(IF($F$11="","",IF($K$5+ROW()-26&gt;$K$6,"",IF(INDEX('Raw Pressure Data'!$A:$ZZ,$K$5+ROW()-26+$H$11,MATCH($F$11,'Raw Pressure Data'!$1:$1,0))=-999,"",INDEX('Raw Pressure Data'!$A:$ZZ,$K$5+ROW()-26+$H$11,MATCH($F$11,'Raw Pressure Data'!$1:$1,0))+$G$11))),"")</f>
        <v/>
      </c>
      <c r="U219" s="26">
        <f>IFERROR(IF($F$12="","",IF($K$5+ROW()-26&gt;$K$6,"",IF(INDEX('Raw Pressure Data'!$A:$ZZ,$K$5+ROW()-26+$H$12,MATCH($F$12,'Raw Pressure Data'!$1:$1,0))=-999,"",INDEX('Raw Pressure Data'!$A:$ZZ,$K$5+ROW()-26+$H$12,MATCH($F$12,'Raw Pressure Data'!$1:$1,0))+$G$12))),"")</f>
        <v/>
      </c>
      <c r="V219" s="26">
        <f>IFERROR(IF($F$13="","",IF($K$5+ROW()-26&gt;$K$6,"",IF(INDEX('Raw Pressure Data'!$A:$ZZ,$K$5+ROW()-26+$H$13,MATCH($F$13,'Raw Pressure Data'!$1:$1,0))=-999,"",INDEX('Raw Pressure Data'!$A:$ZZ,$K$5+ROW()-26+$H$13,MATCH($F$13,'Raw Pressure Data'!$1:$1,0))+$G$13))),"")</f>
        <v/>
      </c>
      <c r="W219" s="26">
        <f>IFERROR(IF($F$14="","",IF($K$5+ROW()-26&gt;$K$6,"",IF(INDEX('Raw Pressure Data'!$A:$ZZ,$K$5+ROW()-26+$H$14,MATCH($F$14,'Raw Pressure Data'!$1:$1,0))=-999,"",INDEX('Raw Pressure Data'!$A:$ZZ,$K$5+ROW()-26+$H$14,MATCH($F$14,'Raw Pressure Data'!$1:$1,0))+$G$14))),"")</f>
        <v/>
      </c>
      <c r="X219" s="26">
        <f>IFERROR(IF($F$15="","",IF($K$5+ROW()-26&gt;$K$6,"",IF(INDEX('Raw Pressure Data'!$A:$ZZ,$K$5+ROW()-26+$H$15,MATCH($F$15,'Raw Pressure Data'!$1:$1,0))=-999,"",INDEX('Raw Pressure Data'!$A:$ZZ,$K$5+ROW()-26+$H$15,MATCH($F$15,'Raw Pressure Data'!$1:$1,0))+$G$15))),"")</f>
        <v/>
      </c>
      <c r="Y219" s="26">
        <f>IFERROR(IF($F$16="","",IF($K$5+ROW()-26&gt;$K$6,"",IF(INDEX('Raw Pressure Data'!$A:$ZZ,$K$5+ROW()-26+$H$16,MATCH($F$16,'Raw Pressure Data'!$1:$1,0))=-999,"",INDEX('Raw Pressure Data'!$A:$ZZ,$K$5+ROW()-26+$H$16,MATCH($F$16,'Raw Pressure Data'!$1:$1,0))+$G$16))),"")</f>
        <v/>
      </c>
      <c r="Z219" s="26">
        <f>IFERROR(IF($F$17="","",IF($K$5+ROW()-26&gt;$K$6,"",IF(INDEX('Raw Pressure Data'!$A:$ZZ,$K$5+ROW()-26+$H$17,MATCH($F$17,'Raw Pressure Data'!$1:$1,0))=-999,"",INDEX('Raw Pressure Data'!$A:$ZZ,$K$5+ROW()-26+$H$17,MATCH($F$17,'Raw Pressure Data'!$1:$1,0))+$G$17))),"")</f>
        <v/>
      </c>
      <c r="AA219" s="26">
        <f>IFERROR(IF($F$18="","",IF($K$5+ROW()-26&gt;$K$6,"",IF(INDEX('Raw Pressure Data'!$A:$ZZ,$K$5+ROW()-26+$H$18,MATCH($F$18,'Raw Pressure Data'!$1:$1,0))=-999,"",INDEX('Raw Pressure Data'!$A:$ZZ,$K$5+ROW()-26+$H$18,MATCH($F$18,'Raw Pressure Data'!$1:$1,0))+$G$18))),"")</f>
        <v/>
      </c>
      <c r="AB219" s="26">
        <f>IFERROR(IF($F$19="","",IF($K$5+ROW()-26&gt;$K$6,"",IF(INDEX('Raw Pressure Data'!$A:$ZZ,$K$5+ROW()-26+$H$19,MATCH($F$19,'Raw Pressure Data'!$1:$1,0))=-999,"",INDEX('Raw Pressure Data'!$A:$ZZ,$K$5+ROW()-26+$H$19,MATCH($F$19,'Raw Pressure Data'!$1:$1,0))+$G$19))),"")</f>
        <v/>
      </c>
      <c r="AC219" s="26">
        <f>IFERROR(IF($F$20="","",IF($K$5+ROW()-26&gt;$K$6,"",IF(INDEX('Raw Pressure Data'!$A:$ZZ,$K$5+ROW()-26+$H$20,MATCH($F$20,'Raw Pressure Data'!$1:$1,0))=-999,"",INDEX('Raw Pressure Data'!$A:$ZZ,$K$5+ROW()-26+$H$20,MATCH($F$20,'Raw Pressure Data'!$1:$1,0))+$G$20))),"")</f>
        <v/>
      </c>
      <c r="AD219" s="26">
        <f>IFERROR(IF($F$21="","",IF($K$5+ROW()-26&gt;$K$6,"",IF(INDEX('Raw Pressure Data'!$A:$ZZ,$K$5+ROW()-26+$H$21,MATCH($F$21,'Raw Pressure Data'!$1:$1,0))=-999,"",INDEX('Raw Pressure Data'!$A:$ZZ,$K$5+ROW()-26+$H$21,MATCH($F$21,'Raw Pressure Data'!$1:$1,0))+$G$21))),"")</f>
        <v/>
      </c>
      <c r="AE219" s="26">
        <f>IFERROR(IF($F$22="","",IF($K$5+ROW()-26&gt;$K$6,"",IF(INDEX('Raw Pressure Data'!$A:$ZZ,$K$5+ROW()-26+$H$22,MATCH($F$22,'Raw Pressure Data'!$1:$1,0))=-999,"",INDEX('Raw Pressure Data'!$A:$ZZ,$K$5+ROW()-26+$H$22,MATCH($F$22,'Raw Pressure Data'!$1:$1,0))+$G$22))),"")</f>
        <v/>
      </c>
    </row>
    <row r="220" ht="15" customHeight="1">
      <c r="A220" s="23">
        <f>IFERROR(IF($K$5+ROW()-26&gt;$K$6,"",IF(INDEX('Raw Flow Data'!$A:$A,$K$5+ROW()-26)="","",INDEX('Raw Flow Data'!$A:$A,$K$5+ROW()-26))),"")</f>
        <v/>
      </c>
      <c r="B220" s="24">
        <f>IFERROR(IF($B$3="","",IF($K$5+ROW()-26&gt;$K$6,"",IF(INDEX('Raw Flow Data'!$A:$ZZ,$K$5+ROW()-26+$D$3,MATCH($B$3,'Raw Flow Data'!$1:$1,0))=-999,"",INDEX('Raw Flow Data'!$A:$ZZ,$K$5+ROW()-26+$D$3,MATCH($B$3,'Raw Flow Data'!$1:$1,0))*$C$3))),"")</f>
        <v/>
      </c>
      <c r="C220" s="24">
        <f>IFERROR(IF($B$4="","",IF($K$5+ROW()-26&gt;$K$6,"",IF(INDEX('Raw Flow Data'!$A:$ZZ,$K$5+ROW()-26+$D$4,MATCH($B$4,'Raw Flow Data'!$1:$1,0))=-999,"",INDEX('Raw Flow Data'!$A:$ZZ,$K$5+ROW()-26+$D$4,MATCH($B$4,'Raw Flow Data'!$1:$1,0))*$C$4))),"")</f>
        <v/>
      </c>
      <c r="D220" s="24">
        <f>IFERROR(IF($B$5="","",IF($K$5+ROW()-26&gt;$K$6,"",IF(INDEX('Raw Flow Data'!$A:$ZZ,$K$5+ROW()-26+$D$5,MATCH($B$5,'Raw Flow Data'!$1:$1,0))=-999,"",INDEX('Raw Flow Data'!$A:$ZZ,$K$5+ROW()-26+$D$5,MATCH($B$5,'Raw Flow Data'!$1:$1,0))*$C$5))),"")</f>
        <v/>
      </c>
      <c r="E220" s="24">
        <f>IFERROR(IF($B$6="","",IF($K$5+ROW()-26&gt;$K$6,"",IF(INDEX('Raw Flow Data'!$A:$ZZ,$K$5+ROW()-26+$D$6,MATCH($B$6,'Raw Flow Data'!$1:$1,0))=-999,"",INDEX('Raw Flow Data'!$A:$ZZ,$K$5+ROW()-26+$D$6,MATCH($B$6,'Raw Flow Data'!$1:$1,0))*$C$6))),"")</f>
        <v/>
      </c>
      <c r="F220" s="24">
        <f>IFERROR(IF($B$7="","",IF($K$5+ROW()-26&gt;$K$6,"",IF(INDEX('Raw Flow Data'!$A:$ZZ,$K$5+ROW()-26+$D$7,MATCH($B$7,'Raw Flow Data'!$1:$1,0))=-999,"",INDEX('Raw Flow Data'!$A:$ZZ,$K$5+ROW()-26+$D$7,MATCH($B$7,'Raw Flow Data'!$1:$1,0))*$C$7))),"")</f>
        <v/>
      </c>
      <c r="G220" s="24">
        <f>IFERROR(IF($B$8="","",IF($K$5+ROW()-26&gt;$K$6,"",IF(INDEX('Raw Flow Data'!$A:$ZZ,$K$5+ROW()-26+$D$8,MATCH($B$8,'Raw Flow Data'!$1:$1,0))=-999,"",INDEX('Raw Flow Data'!$A:$ZZ,$K$5+ROW()-26+$D$8,MATCH($B$8,'Raw Flow Data'!$1:$1,0))*$C$8))),"")</f>
        <v/>
      </c>
      <c r="H220" s="24">
        <f>IFERROR(IF($B$9="","",IF($K$5+ROW()-26&gt;$K$6,"",IF(INDEX('Raw Flow Data'!$A:$ZZ,$K$5+ROW()-26+$D$9,MATCH($B$9,'Raw Flow Data'!$1:$1,0))=-999,"",INDEX('Raw Flow Data'!$A:$ZZ,$K$5+ROW()-26+$D$9,MATCH($B$9,'Raw Flow Data'!$1:$1,0))*$C$9))),"")</f>
        <v/>
      </c>
      <c r="I220" s="24">
        <f>IFERROR(IF($B$10="","",IF($K$5+ROW()-26&gt;$K$6,"",IF(INDEX('Raw Flow Data'!$A:$ZZ,$K$5+ROW()-26+$D$10,MATCH($B$10,'Raw Flow Data'!$1:$1,0))=-999,"",INDEX('Raw Flow Data'!$A:$ZZ,$K$5+ROW()-26+$D$10,MATCH($B$10,'Raw Flow Data'!$1:$1,0))*$C$10))),"")</f>
        <v/>
      </c>
      <c r="J220" s="24">
        <f>IFERROR(IF($B$11="","",IF($K$5+ROW()-26&gt;$K$6,"",IF(INDEX('Raw Flow Data'!$A:$ZZ,$K$5+ROW()-26+$D$11,MATCH($B$11,'Raw Flow Data'!$1:$1,0))=-999,"",INDEX('Raw Flow Data'!$A:$ZZ,$K$5+ROW()-26+$D$11,MATCH($B$11,'Raw Flow Data'!$1:$1,0))*$C$11))),"")</f>
        <v/>
      </c>
      <c r="K220" s="24">
        <f>IFERROR(IF($B$12="","",IF($K$5+ROW()-26&gt;$K$6,"",IF(INDEX('Raw Flow Data'!$A:$ZZ,$K$5+ROW()-26+$D$12,MATCH($B$12,'Raw Flow Data'!$1:$1,0))=-999,"",INDEX('Raw Flow Data'!$A:$ZZ,$K$5+ROW()-26+$D$12,MATCH($B$12,'Raw Flow Data'!$1:$1,0))*$C$12))),"")</f>
        <v/>
      </c>
      <c r="L220" s="24">
        <f>IFERROR(IF($F$3="","",IF($K$5+ROW()-26&gt;$K$6,"",IF(INDEX('Raw Pressure Data'!$A:$ZZ,$K$5+ROW()-26+$H$3,MATCH($F$3,'Raw Pressure Data'!$1:$1,0))=-999,"",INDEX('Raw Pressure Data'!$A:$ZZ,$K$5+ROW()-26+$H$3,MATCH($F$3,'Raw Pressure Data'!$1:$1,0))+$G$3))),"")</f>
        <v/>
      </c>
      <c r="M220" s="24">
        <f>IFERROR(IF($F$4="","",IF($K$5+ROW()-26&gt;$K$6,"",IF(INDEX('Raw Pressure Data'!$A:$ZZ,$K$5+ROW()-26+$H$4,MATCH($F$4,'Raw Pressure Data'!$1:$1,0))=-999,"",INDEX('Raw Pressure Data'!$A:$ZZ,$K$5+ROW()-26+$H$4,MATCH($F$4,'Raw Pressure Data'!$1:$1,0))+$G$4))),"")</f>
        <v/>
      </c>
      <c r="N220" s="24">
        <f>IFERROR(IF($F$5="","",IF($K$5+ROW()-26&gt;$K$6,"",IF(INDEX('Raw Pressure Data'!$A:$ZZ,$K$5+ROW()-26+$H$5,MATCH($F$5,'Raw Pressure Data'!$1:$1,0))=-999,"",INDEX('Raw Pressure Data'!$A:$ZZ,$K$5+ROW()-26+$H$5,MATCH($F$5,'Raw Pressure Data'!$1:$1,0))+$G$5))),"")</f>
        <v/>
      </c>
      <c r="O220" s="24">
        <f>IFERROR(IF($F$6="","",IF($K$5+ROW()-26&gt;$K$6,"",IF(INDEX('Raw Pressure Data'!$A:$ZZ,$K$5+ROW()-26+$H$6,MATCH($F$6,'Raw Pressure Data'!$1:$1,0))=-999,"",INDEX('Raw Pressure Data'!$A:$ZZ,$K$5+ROW()-26+$H$6,MATCH($F$6,'Raw Pressure Data'!$1:$1,0))+$G$6))),"")</f>
        <v/>
      </c>
      <c r="P220" s="24">
        <f>IFERROR(IF($F$7="","",IF($K$5+ROW()-26&gt;$K$6,"",IF(INDEX('Raw Pressure Data'!$A:$ZZ,$K$5+ROW()-26+$H$7,MATCH($F$7,'Raw Pressure Data'!$1:$1,0))=-999,"",INDEX('Raw Pressure Data'!$A:$ZZ,$K$5+ROW()-26+$H$7,MATCH($F$7,'Raw Pressure Data'!$1:$1,0))+$G$7))),"")</f>
        <v/>
      </c>
      <c r="Q220" s="24">
        <f>IFERROR(IF($F$8="","",IF($K$5+ROW()-26&gt;$K$6,"",IF(INDEX('Raw Pressure Data'!$A:$ZZ,$K$5+ROW()-26+$H$8,MATCH($F$8,'Raw Pressure Data'!$1:$1,0))=-999,"",INDEX('Raw Pressure Data'!$A:$ZZ,$K$5+ROW()-26+$H$8,MATCH($F$8,'Raw Pressure Data'!$1:$1,0))+$G$8))),"")</f>
        <v/>
      </c>
      <c r="R220" s="24">
        <f>IFERROR(IF($F$9="","",IF($K$5+ROW()-26&gt;$K$6,"",IF(INDEX('Raw Pressure Data'!$A:$ZZ,$K$5+ROW()-26+$H$9,MATCH($F$9,'Raw Pressure Data'!$1:$1,0))=-999,"",INDEX('Raw Pressure Data'!$A:$ZZ,$K$5+ROW()-26+$H$9,MATCH($F$9,'Raw Pressure Data'!$1:$1,0))+$G$9))),"")</f>
        <v/>
      </c>
      <c r="S220" s="24">
        <f>IFERROR(IF($F$10="","",IF($K$5+ROW()-26&gt;$K$6,"",IF(INDEX('Raw Pressure Data'!$A:$ZZ,$K$5+ROW()-26+$H$10,MATCH($F$10,'Raw Pressure Data'!$1:$1,0))=-999,"",INDEX('Raw Pressure Data'!$A:$ZZ,$K$5+ROW()-26+$H$10,MATCH($F$10,'Raw Pressure Data'!$1:$1,0))+$G$10))),"")</f>
        <v/>
      </c>
      <c r="T220" s="24">
        <f>IFERROR(IF($F$11="","",IF($K$5+ROW()-26&gt;$K$6,"",IF(INDEX('Raw Pressure Data'!$A:$ZZ,$K$5+ROW()-26+$H$11,MATCH($F$11,'Raw Pressure Data'!$1:$1,0))=-999,"",INDEX('Raw Pressure Data'!$A:$ZZ,$K$5+ROW()-26+$H$11,MATCH($F$11,'Raw Pressure Data'!$1:$1,0))+$G$11))),"")</f>
        <v/>
      </c>
      <c r="U220" s="24">
        <f>IFERROR(IF($F$12="","",IF($K$5+ROW()-26&gt;$K$6,"",IF(INDEX('Raw Pressure Data'!$A:$ZZ,$K$5+ROW()-26+$H$12,MATCH($F$12,'Raw Pressure Data'!$1:$1,0))=-999,"",INDEX('Raw Pressure Data'!$A:$ZZ,$K$5+ROW()-26+$H$12,MATCH($F$12,'Raw Pressure Data'!$1:$1,0))+$G$12))),"")</f>
        <v/>
      </c>
      <c r="V220" s="24">
        <f>IFERROR(IF($F$13="","",IF($K$5+ROW()-26&gt;$K$6,"",IF(INDEX('Raw Pressure Data'!$A:$ZZ,$K$5+ROW()-26+$H$13,MATCH($F$13,'Raw Pressure Data'!$1:$1,0))=-999,"",INDEX('Raw Pressure Data'!$A:$ZZ,$K$5+ROW()-26+$H$13,MATCH($F$13,'Raw Pressure Data'!$1:$1,0))+$G$13))),"")</f>
        <v/>
      </c>
      <c r="W220" s="24">
        <f>IFERROR(IF($F$14="","",IF($K$5+ROW()-26&gt;$K$6,"",IF(INDEX('Raw Pressure Data'!$A:$ZZ,$K$5+ROW()-26+$H$14,MATCH($F$14,'Raw Pressure Data'!$1:$1,0))=-999,"",INDEX('Raw Pressure Data'!$A:$ZZ,$K$5+ROW()-26+$H$14,MATCH($F$14,'Raw Pressure Data'!$1:$1,0))+$G$14))),"")</f>
        <v/>
      </c>
      <c r="X220" s="24">
        <f>IFERROR(IF($F$15="","",IF($K$5+ROW()-26&gt;$K$6,"",IF(INDEX('Raw Pressure Data'!$A:$ZZ,$K$5+ROW()-26+$H$15,MATCH($F$15,'Raw Pressure Data'!$1:$1,0))=-999,"",INDEX('Raw Pressure Data'!$A:$ZZ,$K$5+ROW()-26+$H$15,MATCH($F$15,'Raw Pressure Data'!$1:$1,0))+$G$15))),"")</f>
        <v/>
      </c>
      <c r="Y220" s="24">
        <f>IFERROR(IF($F$16="","",IF($K$5+ROW()-26&gt;$K$6,"",IF(INDEX('Raw Pressure Data'!$A:$ZZ,$K$5+ROW()-26+$H$16,MATCH($F$16,'Raw Pressure Data'!$1:$1,0))=-999,"",INDEX('Raw Pressure Data'!$A:$ZZ,$K$5+ROW()-26+$H$16,MATCH($F$16,'Raw Pressure Data'!$1:$1,0))+$G$16))),"")</f>
        <v/>
      </c>
      <c r="Z220" s="24">
        <f>IFERROR(IF($F$17="","",IF($K$5+ROW()-26&gt;$K$6,"",IF(INDEX('Raw Pressure Data'!$A:$ZZ,$K$5+ROW()-26+$H$17,MATCH($F$17,'Raw Pressure Data'!$1:$1,0))=-999,"",INDEX('Raw Pressure Data'!$A:$ZZ,$K$5+ROW()-26+$H$17,MATCH($F$17,'Raw Pressure Data'!$1:$1,0))+$G$17))),"")</f>
        <v/>
      </c>
      <c r="AA220" s="24">
        <f>IFERROR(IF($F$18="","",IF($K$5+ROW()-26&gt;$K$6,"",IF(INDEX('Raw Pressure Data'!$A:$ZZ,$K$5+ROW()-26+$H$18,MATCH($F$18,'Raw Pressure Data'!$1:$1,0))=-999,"",INDEX('Raw Pressure Data'!$A:$ZZ,$K$5+ROW()-26+$H$18,MATCH($F$18,'Raw Pressure Data'!$1:$1,0))+$G$18))),"")</f>
        <v/>
      </c>
      <c r="AB220" s="24">
        <f>IFERROR(IF($F$19="","",IF($K$5+ROW()-26&gt;$K$6,"",IF(INDEX('Raw Pressure Data'!$A:$ZZ,$K$5+ROW()-26+$H$19,MATCH($F$19,'Raw Pressure Data'!$1:$1,0))=-999,"",INDEX('Raw Pressure Data'!$A:$ZZ,$K$5+ROW()-26+$H$19,MATCH($F$19,'Raw Pressure Data'!$1:$1,0))+$G$19))),"")</f>
        <v/>
      </c>
      <c r="AC220" s="24">
        <f>IFERROR(IF($F$20="","",IF($K$5+ROW()-26&gt;$K$6,"",IF(INDEX('Raw Pressure Data'!$A:$ZZ,$K$5+ROW()-26+$H$20,MATCH($F$20,'Raw Pressure Data'!$1:$1,0))=-999,"",INDEX('Raw Pressure Data'!$A:$ZZ,$K$5+ROW()-26+$H$20,MATCH($F$20,'Raw Pressure Data'!$1:$1,0))+$G$20))),"")</f>
        <v/>
      </c>
      <c r="AD220" s="24">
        <f>IFERROR(IF($F$21="","",IF($K$5+ROW()-26&gt;$K$6,"",IF(INDEX('Raw Pressure Data'!$A:$ZZ,$K$5+ROW()-26+$H$21,MATCH($F$21,'Raw Pressure Data'!$1:$1,0))=-999,"",INDEX('Raw Pressure Data'!$A:$ZZ,$K$5+ROW()-26+$H$21,MATCH($F$21,'Raw Pressure Data'!$1:$1,0))+$G$21))),"")</f>
        <v/>
      </c>
      <c r="AE220" s="24">
        <f>IFERROR(IF($F$22="","",IF($K$5+ROW()-26&gt;$K$6,"",IF(INDEX('Raw Pressure Data'!$A:$ZZ,$K$5+ROW()-26+$H$22,MATCH($F$22,'Raw Pressure Data'!$1:$1,0))=-999,"",INDEX('Raw Pressure Data'!$A:$ZZ,$K$5+ROW()-26+$H$22,MATCH($F$22,'Raw Pressure Data'!$1:$1,0))+$G$22))),"")</f>
        <v/>
      </c>
    </row>
    <row r="221" ht="15" customHeight="1">
      <c r="A221" s="25">
        <f>IFERROR(IF($K$5+ROW()-26&gt;$K$6,"",IF(INDEX('Raw Flow Data'!$A:$A,$K$5+ROW()-26)="","",INDEX('Raw Flow Data'!$A:$A,$K$5+ROW()-26))),"")</f>
        <v/>
      </c>
      <c r="B221" s="26">
        <f>IFERROR(IF($B$3="","",IF($K$5+ROW()-26&gt;$K$6,"",IF(INDEX('Raw Flow Data'!$A:$ZZ,$K$5+ROW()-26+$D$3,MATCH($B$3,'Raw Flow Data'!$1:$1,0))=-999,"",INDEX('Raw Flow Data'!$A:$ZZ,$K$5+ROW()-26+$D$3,MATCH($B$3,'Raw Flow Data'!$1:$1,0))*$C$3))),"")</f>
        <v/>
      </c>
      <c r="C221" s="26">
        <f>IFERROR(IF($B$4="","",IF($K$5+ROW()-26&gt;$K$6,"",IF(INDEX('Raw Flow Data'!$A:$ZZ,$K$5+ROW()-26+$D$4,MATCH($B$4,'Raw Flow Data'!$1:$1,0))=-999,"",INDEX('Raw Flow Data'!$A:$ZZ,$K$5+ROW()-26+$D$4,MATCH($B$4,'Raw Flow Data'!$1:$1,0))*$C$4))),"")</f>
        <v/>
      </c>
      <c r="D221" s="26">
        <f>IFERROR(IF($B$5="","",IF($K$5+ROW()-26&gt;$K$6,"",IF(INDEX('Raw Flow Data'!$A:$ZZ,$K$5+ROW()-26+$D$5,MATCH($B$5,'Raw Flow Data'!$1:$1,0))=-999,"",INDEX('Raw Flow Data'!$A:$ZZ,$K$5+ROW()-26+$D$5,MATCH($B$5,'Raw Flow Data'!$1:$1,0))*$C$5))),"")</f>
        <v/>
      </c>
      <c r="E221" s="26">
        <f>IFERROR(IF($B$6="","",IF($K$5+ROW()-26&gt;$K$6,"",IF(INDEX('Raw Flow Data'!$A:$ZZ,$K$5+ROW()-26+$D$6,MATCH($B$6,'Raw Flow Data'!$1:$1,0))=-999,"",INDEX('Raw Flow Data'!$A:$ZZ,$K$5+ROW()-26+$D$6,MATCH($B$6,'Raw Flow Data'!$1:$1,0))*$C$6))),"")</f>
        <v/>
      </c>
      <c r="F221" s="26">
        <f>IFERROR(IF($B$7="","",IF($K$5+ROW()-26&gt;$K$6,"",IF(INDEX('Raw Flow Data'!$A:$ZZ,$K$5+ROW()-26+$D$7,MATCH($B$7,'Raw Flow Data'!$1:$1,0))=-999,"",INDEX('Raw Flow Data'!$A:$ZZ,$K$5+ROW()-26+$D$7,MATCH($B$7,'Raw Flow Data'!$1:$1,0))*$C$7))),"")</f>
        <v/>
      </c>
      <c r="G221" s="26">
        <f>IFERROR(IF($B$8="","",IF($K$5+ROW()-26&gt;$K$6,"",IF(INDEX('Raw Flow Data'!$A:$ZZ,$K$5+ROW()-26+$D$8,MATCH($B$8,'Raw Flow Data'!$1:$1,0))=-999,"",INDEX('Raw Flow Data'!$A:$ZZ,$K$5+ROW()-26+$D$8,MATCH($B$8,'Raw Flow Data'!$1:$1,0))*$C$8))),"")</f>
        <v/>
      </c>
      <c r="H221" s="26">
        <f>IFERROR(IF($B$9="","",IF($K$5+ROW()-26&gt;$K$6,"",IF(INDEX('Raw Flow Data'!$A:$ZZ,$K$5+ROW()-26+$D$9,MATCH($B$9,'Raw Flow Data'!$1:$1,0))=-999,"",INDEX('Raw Flow Data'!$A:$ZZ,$K$5+ROW()-26+$D$9,MATCH($B$9,'Raw Flow Data'!$1:$1,0))*$C$9))),"")</f>
        <v/>
      </c>
      <c r="I221" s="26">
        <f>IFERROR(IF($B$10="","",IF($K$5+ROW()-26&gt;$K$6,"",IF(INDEX('Raw Flow Data'!$A:$ZZ,$K$5+ROW()-26+$D$10,MATCH($B$10,'Raw Flow Data'!$1:$1,0))=-999,"",INDEX('Raw Flow Data'!$A:$ZZ,$K$5+ROW()-26+$D$10,MATCH($B$10,'Raw Flow Data'!$1:$1,0))*$C$10))),"")</f>
        <v/>
      </c>
      <c r="J221" s="26">
        <f>IFERROR(IF($B$11="","",IF($K$5+ROW()-26&gt;$K$6,"",IF(INDEX('Raw Flow Data'!$A:$ZZ,$K$5+ROW()-26+$D$11,MATCH($B$11,'Raw Flow Data'!$1:$1,0))=-999,"",INDEX('Raw Flow Data'!$A:$ZZ,$K$5+ROW()-26+$D$11,MATCH($B$11,'Raw Flow Data'!$1:$1,0))*$C$11))),"")</f>
        <v/>
      </c>
      <c r="K221" s="26">
        <f>IFERROR(IF($B$12="","",IF($K$5+ROW()-26&gt;$K$6,"",IF(INDEX('Raw Flow Data'!$A:$ZZ,$K$5+ROW()-26+$D$12,MATCH($B$12,'Raw Flow Data'!$1:$1,0))=-999,"",INDEX('Raw Flow Data'!$A:$ZZ,$K$5+ROW()-26+$D$12,MATCH($B$12,'Raw Flow Data'!$1:$1,0))*$C$12))),"")</f>
        <v/>
      </c>
      <c r="L221" s="26">
        <f>IFERROR(IF($F$3="","",IF($K$5+ROW()-26&gt;$K$6,"",IF(INDEX('Raw Pressure Data'!$A:$ZZ,$K$5+ROW()-26+$H$3,MATCH($F$3,'Raw Pressure Data'!$1:$1,0))=-999,"",INDEX('Raw Pressure Data'!$A:$ZZ,$K$5+ROW()-26+$H$3,MATCH($F$3,'Raw Pressure Data'!$1:$1,0))+$G$3))),"")</f>
        <v/>
      </c>
      <c r="M221" s="26">
        <f>IFERROR(IF($F$4="","",IF($K$5+ROW()-26&gt;$K$6,"",IF(INDEX('Raw Pressure Data'!$A:$ZZ,$K$5+ROW()-26+$H$4,MATCH($F$4,'Raw Pressure Data'!$1:$1,0))=-999,"",INDEX('Raw Pressure Data'!$A:$ZZ,$K$5+ROW()-26+$H$4,MATCH($F$4,'Raw Pressure Data'!$1:$1,0))+$G$4))),"")</f>
        <v/>
      </c>
      <c r="N221" s="26">
        <f>IFERROR(IF($F$5="","",IF($K$5+ROW()-26&gt;$K$6,"",IF(INDEX('Raw Pressure Data'!$A:$ZZ,$K$5+ROW()-26+$H$5,MATCH($F$5,'Raw Pressure Data'!$1:$1,0))=-999,"",INDEX('Raw Pressure Data'!$A:$ZZ,$K$5+ROW()-26+$H$5,MATCH($F$5,'Raw Pressure Data'!$1:$1,0))+$G$5))),"")</f>
        <v/>
      </c>
      <c r="O221" s="26">
        <f>IFERROR(IF($F$6="","",IF($K$5+ROW()-26&gt;$K$6,"",IF(INDEX('Raw Pressure Data'!$A:$ZZ,$K$5+ROW()-26+$H$6,MATCH($F$6,'Raw Pressure Data'!$1:$1,0))=-999,"",INDEX('Raw Pressure Data'!$A:$ZZ,$K$5+ROW()-26+$H$6,MATCH($F$6,'Raw Pressure Data'!$1:$1,0))+$G$6))),"")</f>
        <v/>
      </c>
      <c r="P221" s="26">
        <f>IFERROR(IF($F$7="","",IF($K$5+ROW()-26&gt;$K$6,"",IF(INDEX('Raw Pressure Data'!$A:$ZZ,$K$5+ROW()-26+$H$7,MATCH($F$7,'Raw Pressure Data'!$1:$1,0))=-999,"",INDEX('Raw Pressure Data'!$A:$ZZ,$K$5+ROW()-26+$H$7,MATCH($F$7,'Raw Pressure Data'!$1:$1,0))+$G$7))),"")</f>
        <v/>
      </c>
      <c r="Q221" s="26">
        <f>IFERROR(IF($F$8="","",IF($K$5+ROW()-26&gt;$K$6,"",IF(INDEX('Raw Pressure Data'!$A:$ZZ,$K$5+ROW()-26+$H$8,MATCH($F$8,'Raw Pressure Data'!$1:$1,0))=-999,"",INDEX('Raw Pressure Data'!$A:$ZZ,$K$5+ROW()-26+$H$8,MATCH($F$8,'Raw Pressure Data'!$1:$1,0))+$G$8))),"")</f>
        <v/>
      </c>
      <c r="R221" s="26">
        <f>IFERROR(IF($F$9="","",IF($K$5+ROW()-26&gt;$K$6,"",IF(INDEX('Raw Pressure Data'!$A:$ZZ,$K$5+ROW()-26+$H$9,MATCH($F$9,'Raw Pressure Data'!$1:$1,0))=-999,"",INDEX('Raw Pressure Data'!$A:$ZZ,$K$5+ROW()-26+$H$9,MATCH($F$9,'Raw Pressure Data'!$1:$1,0))+$G$9))),"")</f>
        <v/>
      </c>
      <c r="S221" s="26">
        <f>IFERROR(IF($F$10="","",IF($K$5+ROW()-26&gt;$K$6,"",IF(INDEX('Raw Pressure Data'!$A:$ZZ,$K$5+ROW()-26+$H$10,MATCH($F$10,'Raw Pressure Data'!$1:$1,0))=-999,"",INDEX('Raw Pressure Data'!$A:$ZZ,$K$5+ROW()-26+$H$10,MATCH($F$10,'Raw Pressure Data'!$1:$1,0))+$G$10))),"")</f>
        <v/>
      </c>
      <c r="T221" s="26">
        <f>IFERROR(IF($F$11="","",IF($K$5+ROW()-26&gt;$K$6,"",IF(INDEX('Raw Pressure Data'!$A:$ZZ,$K$5+ROW()-26+$H$11,MATCH($F$11,'Raw Pressure Data'!$1:$1,0))=-999,"",INDEX('Raw Pressure Data'!$A:$ZZ,$K$5+ROW()-26+$H$11,MATCH($F$11,'Raw Pressure Data'!$1:$1,0))+$G$11))),"")</f>
        <v/>
      </c>
      <c r="U221" s="26">
        <f>IFERROR(IF($F$12="","",IF($K$5+ROW()-26&gt;$K$6,"",IF(INDEX('Raw Pressure Data'!$A:$ZZ,$K$5+ROW()-26+$H$12,MATCH($F$12,'Raw Pressure Data'!$1:$1,0))=-999,"",INDEX('Raw Pressure Data'!$A:$ZZ,$K$5+ROW()-26+$H$12,MATCH($F$12,'Raw Pressure Data'!$1:$1,0))+$G$12))),"")</f>
        <v/>
      </c>
      <c r="V221" s="26">
        <f>IFERROR(IF($F$13="","",IF($K$5+ROW()-26&gt;$K$6,"",IF(INDEX('Raw Pressure Data'!$A:$ZZ,$K$5+ROW()-26+$H$13,MATCH($F$13,'Raw Pressure Data'!$1:$1,0))=-999,"",INDEX('Raw Pressure Data'!$A:$ZZ,$K$5+ROW()-26+$H$13,MATCH($F$13,'Raw Pressure Data'!$1:$1,0))+$G$13))),"")</f>
        <v/>
      </c>
      <c r="W221" s="26">
        <f>IFERROR(IF($F$14="","",IF($K$5+ROW()-26&gt;$K$6,"",IF(INDEX('Raw Pressure Data'!$A:$ZZ,$K$5+ROW()-26+$H$14,MATCH($F$14,'Raw Pressure Data'!$1:$1,0))=-999,"",INDEX('Raw Pressure Data'!$A:$ZZ,$K$5+ROW()-26+$H$14,MATCH($F$14,'Raw Pressure Data'!$1:$1,0))+$G$14))),"")</f>
        <v/>
      </c>
      <c r="X221" s="26">
        <f>IFERROR(IF($F$15="","",IF($K$5+ROW()-26&gt;$K$6,"",IF(INDEX('Raw Pressure Data'!$A:$ZZ,$K$5+ROW()-26+$H$15,MATCH($F$15,'Raw Pressure Data'!$1:$1,0))=-999,"",INDEX('Raw Pressure Data'!$A:$ZZ,$K$5+ROW()-26+$H$15,MATCH($F$15,'Raw Pressure Data'!$1:$1,0))+$G$15))),"")</f>
        <v/>
      </c>
      <c r="Y221" s="26">
        <f>IFERROR(IF($F$16="","",IF($K$5+ROW()-26&gt;$K$6,"",IF(INDEX('Raw Pressure Data'!$A:$ZZ,$K$5+ROW()-26+$H$16,MATCH($F$16,'Raw Pressure Data'!$1:$1,0))=-999,"",INDEX('Raw Pressure Data'!$A:$ZZ,$K$5+ROW()-26+$H$16,MATCH($F$16,'Raw Pressure Data'!$1:$1,0))+$G$16))),"")</f>
        <v/>
      </c>
      <c r="Z221" s="26">
        <f>IFERROR(IF($F$17="","",IF($K$5+ROW()-26&gt;$K$6,"",IF(INDEX('Raw Pressure Data'!$A:$ZZ,$K$5+ROW()-26+$H$17,MATCH($F$17,'Raw Pressure Data'!$1:$1,0))=-999,"",INDEX('Raw Pressure Data'!$A:$ZZ,$K$5+ROW()-26+$H$17,MATCH($F$17,'Raw Pressure Data'!$1:$1,0))+$G$17))),"")</f>
        <v/>
      </c>
      <c r="AA221" s="26">
        <f>IFERROR(IF($F$18="","",IF($K$5+ROW()-26&gt;$K$6,"",IF(INDEX('Raw Pressure Data'!$A:$ZZ,$K$5+ROW()-26+$H$18,MATCH($F$18,'Raw Pressure Data'!$1:$1,0))=-999,"",INDEX('Raw Pressure Data'!$A:$ZZ,$K$5+ROW()-26+$H$18,MATCH($F$18,'Raw Pressure Data'!$1:$1,0))+$G$18))),"")</f>
        <v/>
      </c>
      <c r="AB221" s="26">
        <f>IFERROR(IF($F$19="","",IF($K$5+ROW()-26&gt;$K$6,"",IF(INDEX('Raw Pressure Data'!$A:$ZZ,$K$5+ROW()-26+$H$19,MATCH($F$19,'Raw Pressure Data'!$1:$1,0))=-999,"",INDEX('Raw Pressure Data'!$A:$ZZ,$K$5+ROW()-26+$H$19,MATCH($F$19,'Raw Pressure Data'!$1:$1,0))+$G$19))),"")</f>
        <v/>
      </c>
      <c r="AC221" s="26">
        <f>IFERROR(IF($F$20="","",IF($K$5+ROW()-26&gt;$K$6,"",IF(INDEX('Raw Pressure Data'!$A:$ZZ,$K$5+ROW()-26+$H$20,MATCH($F$20,'Raw Pressure Data'!$1:$1,0))=-999,"",INDEX('Raw Pressure Data'!$A:$ZZ,$K$5+ROW()-26+$H$20,MATCH($F$20,'Raw Pressure Data'!$1:$1,0))+$G$20))),"")</f>
        <v/>
      </c>
      <c r="AD221" s="26">
        <f>IFERROR(IF($F$21="","",IF($K$5+ROW()-26&gt;$K$6,"",IF(INDEX('Raw Pressure Data'!$A:$ZZ,$K$5+ROW()-26+$H$21,MATCH($F$21,'Raw Pressure Data'!$1:$1,0))=-999,"",INDEX('Raw Pressure Data'!$A:$ZZ,$K$5+ROW()-26+$H$21,MATCH($F$21,'Raw Pressure Data'!$1:$1,0))+$G$21))),"")</f>
        <v/>
      </c>
      <c r="AE221" s="26">
        <f>IFERROR(IF($F$22="","",IF($K$5+ROW()-26&gt;$K$6,"",IF(INDEX('Raw Pressure Data'!$A:$ZZ,$K$5+ROW()-26+$H$22,MATCH($F$22,'Raw Pressure Data'!$1:$1,0))=-999,"",INDEX('Raw Pressure Data'!$A:$ZZ,$K$5+ROW()-26+$H$22,MATCH($F$22,'Raw Pressure Data'!$1:$1,0))+$G$22))),"")</f>
        <v/>
      </c>
    </row>
    <row r="222" ht="15" customHeight="1">
      <c r="A222" s="23">
        <f>IFERROR(IF($K$5+ROW()-26&gt;$K$6,"",IF(INDEX('Raw Flow Data'!$A:$A,$K$5+ROW()-26)="","",INDEX('Raw Flow Data'!$A:$A,$K$5+ROW()-26))),"")</f>
        <v/>
      </c>
      <c r="B222" s="24">
        <f>IFERROR(IF($B$3="","",IF($K$5+ROW()-26&gt;$K$6,"",IF(INDEX('Raw Flow Data'!$A:$ZZ,$K$5+ROW()-26+$D$3,MATCH($B$3,'Raw Flow Data'!$1:$1,0))=-999,"",INDEX('Raw Flow Data'!$A:$ZZ,$K$5+ROW()-26+$D$3,MATCH($B$3,'Raw Flow Data'!$1:$1,0))*$C$3))),"")</f>
        <v/>
      </c>
      <c r="C222" s="24">
        <f>IFERROR(IF($B$4="","",IF($K$5+ROW()-26&gt;$K$6,"",IF(INDEX('Raw Flow Data'!$A:$ZZ,$K$5+ROW()-26+$D$4,MATCH($B$4,'Raw Flow Data'!$1:$1,0))=-999,"",INDEX('Raw Flow Data'!$A:$ZZ,$K$5+ROW()-26+$D$4,MATCH($B$4,'Raw Flow Data'!$1:$1,0))*$C$4))),"")</f>
        <v/>
      </c>
      <c r="D222" s="24">
        <f>IFERROR(IF($B$5="","",IF($K$5+ROW()-26&gt;$K$6,"",IF(INDEX('Raw Flow Data'!$A:$ZZ,$K$5+ROW()-26+$D$5,MATCH($B$5,'Raw Flow Data'!$1:$1,0))=-999,"",INDEX('Raw Flow Data'!$A:$ZZ,$K$5+ROW()-26+$D$5,MATCH($B$5,'Raw Flow Data'!$1:$1,0))*$C$5))),"")</f>
        <v/>
      </c>
      <c r="E222" s="24">
        <f>IFERROR(IF($B$6="","",IF($K$5+ROW()-26&gt;$K$6,"",IF(INDEX('Raw Flow Data'!$A:$ZZ,$K$5+ROW()-26+$D$6,MATCH($B$6,'Raw Flow Data'!$1:$1,0))=-999,"",INDEX('Raw Flow Data'!$A:$ZZ,$K$5+ROW()-26+$D$6,MATCH($B$6,'Raw Flow Data'!$1:$1,0))*$C$6))),"")</f>
        <v/>
      </c>
      <c r="F222" s="24">
        <f>IFERROR(IF($B$7="","",IF($K$5+ROW()-26&gt;$K$6,"",IF(INDEX('Raw Flow Data'!$A:$ZZ,$K$5+ROW()-26+$D$7,MATCH($B$7,'Raw Flow Data'!$1:$1,0))=-999,"",INDEX('Raw Flow Data'!$A:$ZZ,$K$5+ROW()-26+$D$7,MATCH($B$7,'Raw Flow Data'!$1:$1,0))*$C$7))),"")</f>
        <v/>
      </c>
      <c r="G222" s="24">
        <f>IFERROR(IF($B$8="","",IF($K$5+ROW()-26&gt;$K$6,"",IF(INDEX('Raw Flow Data'!$A:$ZZ,$K$5+ROW()-26+$D$8,MATCH($B$8,'Raw Flow Data'!$1:$1,0))=-999,"",INDEX('Raw Flow Data'!$A:$ZZ,$K$5+ROW()-26+$D$8,MATCH($B$8,'Raw Flow Data'!$1:$1,0))*$C$8))),"")</f>
        <v/>
      </c>
      <c r="H222" s="24">
        <f>IFERROR(IF($B$9="","",IF($K$5+ROW()-26&gt;$K$6,"",IF(INDEX('Raw Flow Data'!$A:$ZZ,$K$5+ROW()-26+$D$9,MATCH($B$9,'Raw Flow Data'!$1:$1,0))=-999,"",INDEX('Raw Flow Data'!$A:$ZZ,$K$5+ROW()-26+$D$9,MATCH($B$9,'Raw Flow Data'!$1:$1,0))*$C$9))),"")</f>
        <v/>
      </c>
      <c r="I222" s="24">
        <f>IFERROR(IF($B$10="","",IF($K$5+ROW()-26&gt;$K$6,"",IF(INDEX('Raw Flow Data'!$A:$ZZ,$K$5+ROW()-26+$D$10,MATCH($B$10,'Raw Flow Data'!$1:$1,0))=-999,"",INDEX('Raw Flow Data'!$A:$ZZ,$K$5+ROW()-26+$D$10,MATCH($B$10,'Raw Flow Data'!$1:$1,0))*$C$10))),"")</f>
        <v/>
      </c>
      <c r="J222" s="24">
        <f>IFERROR(IF($B$11="","",IF($K$5+ROW()-26&gt;$K$6,"",IF(INDEX('Raw Flow Data'!$A:$ZZ,$K$5+ROW()-26+$D$11,MATCH($B$11,'Raw Flow Data'!$1:$1,0))=-999,"",INDEX('Raw Flow Data'!$A:$ZZ,$K$5+ROW()-26+$D$11,MATCH($B$11,'Raw Flow Data'!$1:$1,0))*$C$11))),"")</f>
        <v/>
      </c>
      <c r="K222" s="24">
        <f>IFERROR(IF($B$12="","",IF($K$5+ROW()-26&gt;$K$6,"",IF(INDEX('Raw Flow Data'!$A:$ZZ,$K$5+ROW()-26+$D$12,MATCH($B$12,'Raw Flow Data'!$1:$1,0))=-999,"",INDEX('Raw Flow Data'!$A:$ZZ,$K$5+ROW()-26+$D$12,MATCH($B$12,'Raw Flow Data'!$1:$1,0))*$C$12))),"")</f>
        <v/>
      </c>
      <c r="L222" s="24">
        <f>IFERROR(IF($F$3="","",IF($K$5+ROW()-26&gt;$K$6,"",IF(INDEX('Raw Pressure Data'!$A:$ZZ,$K$5+ROW()-26+$H$3,MATCH($F$3,'Raw Pressure Data'!$1:$1,0))=-999,"",INDEX('Raw Pressure Data'!$A:$ZZ,$K$5+ROW()-26+$H$3,MATCH($F$3,'Raw Pressure Data'!$1:$1,0))+$G$3))),"")</f>
        <v/>
      </c>
      <c r="M222" s="24">
        <f>IFERROR(IF($F$4="","",IF($K$5+ROW()-26&gt;$K$6,"",IF(INDEX('Raw Pressure Data'!$A:$ZZ,$K$5+ROW()-26+$H$4,MATCH($F$4,'Raw Pressure Data'!$1:$1,0))=-999,"",INDEX('Raw Pressure Data'!$A:$ZZ,$K$5+ROW()-26+$H$4,MATCH($F$4,'Raw Pressure Data'!$1:$1,0))+$G$4))),"")</f>
        <v/>
      </c>
      <c r="N222" s="24">
        <f>IFERROR(IF($F$5="","",IF($K$5+ROW()-26&gt;$K$6,"",IF(INDEX('Raw Pressure Data'!$A:$ZZ,$K$5+ROW()-26+$H$5,MATCH($F$5,'Raw Pressure Data'!$1:$1,0))=-999,"",INDEX('Raw Pressure Data'!$A:$ZZ,$K$5+ROW()-26+$H$5,MATCH($F$5,'Raw Pressure Data'!$1:$1,0))+$G$5))),"")</f>
        <v/>
      </c>
      <c r="O222" s="24">
        <f>IFERROR(IF($F$6="","",IF($K$5+ROW()-26&gt;$K$6,"",IF(INDEX('Raw Pressure Data'!$A:$ZZ,$K$5+ROW()-26+$H$6,MATCH($F$6,'Raw Pressure Data'!$1:$1,0))=-999,"",INDEX('Raw Pressure Data'!$A:$ZZ,$K$5+ROW()-26+$H$6,MATCH($F$6,'Raw Pressure Data'!$1:$1,0))+$G$6))),"")</f>
        <v/>
      </c>
      <c r="P222" s="24">
        <f>IFERROR(IF($F$7="","",IF($K$5+ROW()-26&gt;$K$6,"",IF(INDEX('Raw Pressure Data'!$A:$ZZ,$K$5+ROW()-26+$H$7,MATCH($F$7,'Raw Pressure Data'!$1:$1,0))=-999,"",INDEX('Raw Pressure Data'!$A:$ZZ,$K$5+ROW()-26+$H$7,MATCH($F$7,'Raw Pressure Data'!$1:$1,0))+$G$7))),"")</f>
        <v/>
      </c>
      <c r="Q222" s="24">
        <f>IFERROR(IF($F$8="","",IF($K$5+ROW()-26&gt;$K$6,"",IF(INDEX('Raw Pressure Data'!$A:$ZZ,$K$5+ROW()-26+$H$8,MATCH($F$8,'Raw Pressure Data'!$1:$1,0))=-999,"",INDEX('Raw Pressure Data'!$A:$ZZ,$K$5+ROW()-26+$H$8,MATCH($F$8,'Raw Pressure Data'!$1:$1,0))+$G$8))),"")</f>
        <v/>
      </c>
      <c r="R222" s="24">
        <f>IFERROR(IF($F$9="","",IF($K$5+ROW()-26&gt;$K$6,"",IF(INDEX('Raw Pressure Data'!$A:$ZZ,$K$5+ROW()-26+$H$9,MATCH($F$9,'Raw Pressure Data'!$1:$1,0))=-999,"",INDEX('Raw Pressure Data'!$A:$ZZ,$K$5+ROW()-26+$H$9,MATCH($F$9,'Raw Pressure Data'!$1:$1,0))+$G$9))),"")</f>
        <v/>
      </c>
      <c r="S222" s="24">
        <f>IFERROR(IF($F$10="","",IF($K$5+ROW()-26&gt;$K$6,"",IF(INDEX('Raw Pressure Data'!$A:$ZZ,$K$5+ROW()-26+$H$10,MATCH($F$10,'Raw Pressure Data'!$1:$1,0))=-999,"",INDEX('Raw Pressure Data'!$A:$ZZ,$K$5+ROW()-26+$H$10,MATCH($F$10,'Raw Pressure Data'!$1:$1,0))+$G$10))),"")</f>
        <v/>
      </c>
      <c r="T222" s="24">
        <f>IFERROR(IF($F$11="","",IF($K$5+ROW()-26&gt;$K$6,"",IF(INDEX('Raw Pressure Data'!$A:$ZZ,$K$5+ROW()-26+$H$11,MATCH($F$11,'Raw Pressure Data'!$1:$1,0))=-999,"",INDEX('Raw Pressure Data'!$A:$ZZ,$K$5+ROW()-26+$H$11,MATCH($F$11,'Raw Pressure Data'!$1:$1,0))+$G$11))),"")</f>
        <v/>
      </c>
      <c r="U222" s="24">
        <f>IFERROR(IF($F$12="","",IF($K$5+ROW()-26&gt;$K$6,"",IF(INDEX('Raw Pressure Data'!$A:$ZZ,$K$5+ROW()-26+$H$12,MATCH($F$12,'Raw Pressure Data'!$1:$1,0))=-999,"",INDEX('Raw Pressure Data'!$A:$ZZ,$K$5+ROW()-26+$H$12,MATCH($F$12,'Raw Pressure Data'!$1:$1,0))+$G$12))),"")</f>
        <v/>
      </c>
      <c r="V222" s="24">
        <f>IFERROR(IF($F$13="","",IF($K$5+ROW()-26&gt;$K$6,"",IF(INDEX('Raw Pressure Data'!$A:$ZZ,$K$5+ROW()-26+$H$13,MATCH($F$13,'Raw Pressure Data'!$1:$1,0))=-999,"",INDEX('Raw Pressure Data'!$A:$ZZ,$K$5+ROW()-26+$H$13,MATCH($F$13,'Raw Pressure Data'!$1:$1,0))+$G$13))),"")</f>
        <v/>
      </c>
      <c r="W222" s="24">
        <f>IFERROR(IF($F$14="","",IF($K$5+ROW()-26&gt;$K$6,"",IF(INDEX('Raw Pressure Data'!$A:$ZZ,$K$5+ROW()-26+$H$14,MATCH($F$14,'Raw Pressure Data'!$1:$1,0))=-999,"",INDEX('Raw Pressure Data'!$A:$ZZ,$K$5+ROW()-26+$H$14,MATCH($F$14,'Raw Pressure Data'!$1:$1,0))+$G$14))),"")</f>
        <v/>
      </c>
      <c r="X222" s="24">
        <f>IFERROR(IF($F$15="","",IF($K$5+ROW()-26&gt;$K$6,"",IF(INDEX('Raw Pressure Data'!$A:$ZZ,$K$5+ROW()-26+$H$15,MATCH($F$15,'Raw Pressure Data'!$1:$1,0))=-999,"",INDEX('Raw Pressure Data'!$A:$ZZ,$K$5+ROW()-26+$H$15,MATCH($F$15,'Raw Pressure Data'!$1:$1,0))+$G$15))),"")</f>
        <v/>
      </c>
      <c r="Y222" s="24">
        <f>IFERROR(IF($F$16="","",IF($K$5+ROW()-26&gt;$K$6,"",IF(INDEX('Raw Pressure Data'!$A:$ZZ,$K$5+ROW()-26+$H$16,MATCH($F$16,'Raw Pressure Data'!$1:$1,0))=-999,"",INDEX('Raw Pressure Data'!$A:$ZZ,$K$5+ROW()-26+$H$16,MATCH($F$16,'Raw Pressure Data'!$1:$1,0))+$G$16))),"")</f>
        <v/>
      </c>
      <c r="Z222" s="24">
        <f>IFERROR(IF($F$17="","",IF($K$5+ROW()-26&gt;$K$6,"",IF(INDEX('Raw Pressure Data'!$A:$ZZ,$K$5+ROW()-26+$H$17,MATCH($F$17,'Raw Pressure Data'!$1:$1,0))=-999,"",INDEX('Raw Pressure Data'!$A:$ZZ,$K$5+ROW()-26+$H$17,MATCH($F$17,'Raw Pressure Data'!$1:$1,0))+$G$17))),"")</f>
        <v/>
      </c>
      <c r="AA222" s="24">
        <f>IFERROR(IF($F$18="","",IF($K$5+ROW()-26&gt;$K$6,"",IF(INDEX('Raw Pressure Data'!$A:$ZZ,$K$5+ROW()-26+$H$18,MATCH($F$18,'Raw Pressure Data'!$1:$1,0))=-999,"",INDEX('Raw Pressure Data'!$A:$ZZ,$K$5+ROW()-26+$H$18,MATCH($F$18,'Raw Pressure Data'!$1:$1,0))+$G$18))),"")</f>
        <v/>
      </c>
      <c r="AB222" s="24">
        <f>IFERROR(IF($F$19="","",IF($K$5+ROW()-26&gt;$K$6,"",IF(INDEX('Raw Pressure Data'!$A:$ZZ,$K$5+ROW()-26+$H$19,MATCH($F$19,'Raw Pressure Data'!$1:$1,0))=-999,"",INDEX('Raw Pressure Data'!$A:$ZZ,$K$5+ROW()-26+$H$19,MATCH($F$19,'Raw Pressure Data'!$1:$1,0))+$G$19))),"")</f>
        <v/>
      </c>
      <c r="AC222" s="24">
        <f>IFERROR(IF($F$20="","",IF($K$5+ROW()-26&gt;$K$6,"",IF(INDEX('Raw Pressure Data'!$A:$ZZ,$K$5+ROW()-26+$H$20,MATCH($F$20,'Raw Pressure Data'!$1:$1,0))=-999,"",INDEX('Raw Pressure Data'!$A:$ZZ,$K$5+ROW()-26+$H$20,MATCH($F$20,'Raw Pressure Data'!$1:$1,0))+$G$20))),"")</f>
        <v/>
      </c>
      <c r="AD222" s="24">
        <f>IFERROR(IF($F$21="","",IF($K$5+ROW()-26&gt;$K$6,"",IF(INDEX('Raw Pressure Data'!$A:$ZZ,$K$5+ROW()-26+$H$21,MATCH($F$21,'Raw Pressure Data'!$1:$1,0))=-999,"",INDEX('Raw Pressure Data'!$A:$ZZ,$K$5+ROW()-26+$H$21,MATCH($F$21,'Raw Pressure Data'!$1:$1,0))+$G$21))),"")</f>
        <v/>
      </c>
      <c r="AE222" s="24">
        <f>IFERROR(IF($F$22="","",IF($K$5+ROW()-26&gt;$K$6,"",IF(INDEX('Raw Pressure Data'!$A:$ZZ,$K$5+ROW()-26+$H$22,MATCH($F$22,'Raw Pressure Data'!$1:$1,0))=-999,"",INDEX('Raw Pressure Data'!$A:$ZZ,$K$5+ROW()-26+$H$22,MATCH($F$22,'Raw Pressure Data'!$1:$1,0))+$G$22))),"")</f>
        <v/>
      </c>
    </row>
    <row r="223" ht="15" customHeight="1">
      <c r="A223" s="25">
        <f>IFERROR(IF($K$5+ROW()-26&gt;$K$6,"",IF(INDEX('Raw Flow Data'!$A:$A,$K$5+ROW()-26)="","",INDEX('Raw Flow Data'!$A:$A,$K$5+ROW()-26))),"")</f>
        <v/>
      </c>
      <c r="B223" s="26">
        <f>IFERROR(IF($B$3="","",IF($K$5+ROW()-26&gt;$K$6,"",IF(INDEX('Raw Flow Data'!$A:$ZZ,$K$5+ROW()-26+$D$3,MATCH($B$3,'Raw Flow Data'!$1:$1,0))=-999,"",INDEX('Raw Flow Data'!$A:$ZZ,$K$5+ROW()-26+$D$3,MATCH($B$3,'Raw Flow Data'!$1:$1,0))*$C$3))),"")</f>
        <v/>
      </c>
      <c r="C223" s="26">
        <f>IFERROR(IF($B$4="","",IF($K$5+ROW()-26&gt;$K$6,"",IF(INDEX('Raw Flow Data'!$A:$ZZ,$K$5+ROW()-26+$D$4,MATCH($B$4,'Raw Flow Data'!$1:$1,0))=-999,"",INDEX('Raw Flow Data'!$A:$ZZ,$K$5+ROW()-26+$D$4,MATCH($B$4,'Raw Flow Data'!$1:$1,0))*$C$4))),"")</f>
        <v/>
      </c>
      <c r="D223" s="26">
        <f>IFERROR(IF($B$5="","",IF($K$5+ROW()-26&gt;$K$6,"",IF(INDEX('Raw Flow Data'!$A:$ZZ,$K$5+ROW()-26+$D$5,MATCH($B$5,'Raw Flow Data'!$1:$1,0))=-999,"",INDEX('Raw Flow Data'!$A:$ZZ,$K$5+ROW()-26+$D$5,MATCH($B$5,'Raw Flow Data'!$1:$1,0))*$C$5))),"")</f>
        <v/>
      </c>
      <c r="E223" s="26">
        <f>IFERROR(IF($B$6="","",IF($K$5+ROW()-26&gt;$K$6,"",IF(INDEX('Raw Flow Data'!$A:$ZZ,$K$5+ROW()-26+$D$6,MATCH($B$6,'Raw Flow Data'!$1:$1,0))=-999,"",INDEX('Raw Flow Data'!$A:$ZZ,$K$5+ROW()-26+$D$6,MATCH($B$6,'Raw Flow Data'!$1:$1,0))*$C$6))),"")</f>
        <v/>
      </c>
      <c r="F223" s="26">
        <f>IFERROR(IF($B$7="","",IF($K$5+ROW()-26&gt;$K$6,"",IF(INDEX('Raw Flow Data'!$A:$ZZ,$K$5+ROW()-26+$D$7,MATCH($B$7,'Raw Flow Data'!$1:$1,0))=-999,"",INDEX('Raw Flow Data'!$A:$ZZ,$K$5+ROW()-26+$D$7,MATCH($B$7,'Raw Flow Data'!$1:$1,0))*$C$7))),"")</f>
        <v/>
      </c>
      <c r="G223" s="26">
        <f>IFERROR(IF($B$8="","",IF($K$5+ROW()-26&gt;$K$6,"",IF(INDEX('Raw Flow Data'!$A:$ZZ,$K$5+ROW()-26+$D$8,MATCH($B$8,'Raw Flow Data'!$1:$1,0))=-999,"",INDEX('Raw Flow Data'!$A:$ZZ,$K$5+ROW()-26+$D$8,MATCH($B$8,'Raw Flow Data'!$1:$1,0))*$C$8))),"")</f>
        <v/>
      </c>
      <c r="H223" s="26">
        <f>IFERROR(IF($B$9="","",IF($K$5+ROW()-26&gt;$K$6,"",IF(INDEX('Raw Flow Data'!$A:$ZZ,$K$5+ROW()-26+$D$9,MATCH($B$9,'Raw Flow Data'!$1:$1,0))=-999,"",INDEX('Raw Flow Data'!$A:$ZZ,$K$5+ROW()-26+$D$9,MATCH($B$9,'Raw Flow Data'!$1:$1,0))*$C$9))),"")</f>
        <v/>
      </c>
      <c r="I223" s="26">
        <f>IFERROR(IF($B$10="","",IF($K$5+ROW()-26&gt;$K$6,"",IF(INDEX('Raw Flow Data'!$A:$ZZ,$K$5+ROW()-26+$D$10,MATCH($B$10,'Raw Flow Data'!$1:$1,0))=-999,"",INDEX('Raw Flow Data'!$A:$ZZ,$K$5+ROW()-26+$D$10,MATCH($B$10,'Raw Flow Data'!$1:$1,0))*$C$10))),"")</f>
        <v/>
      </c>
      <c r="J223" s="26">
        <f>IFERROR(IF($B$11="","",IF($K$5+ROW()-26&gt;$K$6,"",IF(INDEX('Raw Flow Data'!$A:$ZZ,$K$5+ROW()-26+$D$11,MATCH($B$11,'Raw Flow Data'!$1:$1,0))=-999,"",INDEX('Raw Flow Data'!$A:$ZZ,$K$5+ROW()-26+$D$11,MATCH($B$11,'Raw Flow Data'!$1:$1,0))*$C$11))),"")</f>
        <v/>
      </c>
      <c r="K223" s="26">
        <f>IFERROR(IF($B$12="","",IF($K$5+ROW()-26&gt;$K$6,"",IF(INDEX('Raw Flow Data'!$A:$ZZ,$K$5+ROW()-26+$D$12,MATCH($B$12,'Raw Flow Data'!$1:$1,0))=-999,"",INDEX('Raw Flow Data'!$A:$ZZ,$K$5+ROW()-26+$D$12,MATCH($B$12,'Raw Flow Data'!$1:$1,0))*$C$12))),"")</f>
        <v/>
      </c>
      <c r="L223" s="26">
        <f>IFERROR(IF($F$3="","",IF($K$5+ROW()-26&gt;$K$6,"",IF(INDEX('Raw Pressure Data'!$A:$ZZ,$K$5+ROW()-26+$H$3,MATCH($F$3,'Raw Pressure Data'!$1:$1,0))=-999,"",INDEX('Raw Pressure Data'!$A:$ZZ,$K$5+ROW()-26+$H$3,MATCH($F$3,'Raw Pressure Data'!$1:$1,0))+$G$3))),"")</f>
        <v/>
      </c>
      <c r="M223" s="26">
        <f>IFERROR(IF($F$4="","",IF($K$5+ROW()-26&gt;$K$6,"",IF(INDEX('Raw Pressure Data'!$A:$ZZ,$K$5+ROW()-26+$H$4,MATCH($F$4,'Raw Pressure Data'!$1:$1,0))=-999,"",INDEX('Raw Pressure Data'!$A:$ZZ,$K$5+ROW()-26+$H$4,MATCH($F$4,'Raw Pressure Data'!$1:$1,0))+$G$4))),"")</f>
        <v/>
      </c>
      <c r="N223" s="26">
        <f>IFERROR(IF($F$5="","",IF($K$5+ROW()-26&gt;$K$6,"",IF(INDEX('Raw Pressure Data'!$A:$ZZ,$K$5+ROW()-26+$H$5,MATCH($F$5,'Raw Pressure Data'!$1:$1,0))=-999,"",INDEX('Raw Pressure Data'!$A:$ZZ,$K$5+ROW()-26+$H$5,MATCH($F$5,'Raw Pressure Data'!$1:$1,0))+$G$5))),"")</f>
        <v/>
      </c>
      <c r="O223" s="26">
        <f>IFERROR(IF($F$6="","",IF($K$5+ROW()-26&gt;$K$6,"",IF(INDEX('Raw Pressure Data'!$A:$ZZ,$K$5+ROW()-26+$H$6,MATCH($F$6,'Raw Pressure Data'!$1:$1,0))=-999,"",INDEX('Raw Pressure Data'!$A:$ZZ,$K$5+ROW()-26+$H$6,MATCH($F$6,'Raw Pressure Data'!$1:$1,0))+$G$6))),"")</f>
        <v/>
      </c>
      <c r="P223" s="26">
        <f>IFERROR(IF($F$7="","",IF($K$5+ROW()-26&gt;$K$6,"",IF(INDEX('Raw Pressure Data'!$A:$ZZ,$K$5+ROW()-26+$H$7,MATCH($F$7,'Raw Pressure Data'!$1:$1,0))=-999,"",INDEX('Raw Pressure Data'!$A:$ZZ,$K$5+ROW()-26+$H$7,MATCH($F$7,'Raw Pressure Data'!$1:$1,0))+$G$7))),"")</f>
        <v/>
      </c>
      <c r="Q223" s="26">
        <f>IFERROR(IF($F$8="","",IF($K$5+ROW()-26&gt;$K$6,"",IF(INDEX('Raw Pressure Data'!$A:$ZZ,$K$5+ROW()-26+$H$8,MATCH($F$8,'Raw Pressure Data'!$1:$1,0))=-999,"",INDEX('Raw Pressure Data'!$A:$ZZ,$K$5+ROW()-26+$H$8,MATCH($F$8,'Raw Pressure Data'!$1:$1,0))+$G$8))),"")</f>
        <v/>
      </c>
      <c r="R223" s="26">
        <f>IFERROR(IF($F$9="","",IF($K$5+ROW()-26&gt;$K$6,"",IF(INDEX('Raw Pressure Data'!$A:$ZZ,$K$5+ROW()-26+$H$9,MATCH($F$9,'Raw Pressure Data'!$1:$1,0))=-999,"",INDEX('Raw Pressure Data'!$A:$ZZ,$K$5+ROW()-26+$H$9,MATCH($F$9,'Raw Pressure Data'!$1:$1,0))+$G$9))),"")</f>
        <v/>
      </c>
      <c r="S223" s="26">
        <f>IFERROR(IF($F$10="","",IF($K$5+ROW()-26&gt;$K$6,"",IF(INDEX('Raw Pressure Data'!$A:$ZZ,$K$5+ROW()-26+$H$10,MATCH($F$10,'Raw Pressure Data'!$1:$1,0))=-999,"",INDEX('Raw Pressure Data'!$A:$ZZ,$K$5+ROW()-26+$H$10,MATCH($F$10,'Raw Pressure Data'!$1:$1,0))+$G$10))),"")</f>
        <v/>
      </c>
      <c r="T223" s="26">
        <f>IFERROR(IF($F$11="","",IF($K$5+ROW()-26&gt;$K$6,"",IF(INDEX('Raw Pressure Data'!$A:$ZZ,$K$5+ROW()-26+$H$11,MATCH($F$11,'Raw Pressure Data'!$1:$1,0))=-999,"",INDEX('Raw Pressure Data'!$A:$ZZ,$K$5+ROW()-26+$H$11,MATCH($F$11,'Raw Pressure Data'!$1:$1,0))+$G$11))),"")</f>
        <v/>
      </c>
      <c r="U223" s="26">
        <f>IFERROR(IF($F$12="","",IF($K$5+ROW()-26&gt;$K$6,"",IF(INDEX('Raw Pressure Data'!$A:$ZZ,$K$5+ROW()-26+$H$12,MATCH($F$12,'Raw Pressure Data'!$1:$1,0))=-999,"",INDEX('Raw Pressure Data'!$A:$ZZ,$K$5+ROW()-26+$H$12,MATCH($F$12,'Raw Pressure Data'!$1:$1,0))+$G$12))),"")</f>
        <v/>
      </c>
      <c r="V223" s="26">
        <f>IFERROR(IF($F$13="","",IF($K$5+ROW()-26&gt;$K$6,"",IF(INDEX('Raw Pressure Data'!$A:$ZZ,$K$5+ROW()-26+$H$13,MATCH($F$13,'Raw Pressure Data'!$1:$1,0))=-999,"",INDEX('Raw Pressure Data'!$A:$ZZ,$K$5+ROW()-26+$H$13,MATCH($F$13,'Raw Pressure Data'!$1:$1,0))+$G$13))),"")</f>
        <v/>
      </c>
      <c r="W223" s="26">
        <f>IFERROR(IF($F$14="","",IF($K$5+ROW()-26&gt;$K$6,"",IF(INDEX('Raw Pressure Data'!$A:$ZZ,$K$5+ROW()-26+$H$14,MATCH($F$14,'Raw Pressure Data'!$1:$1,0))=-999,"",INDEX('Raw Pressure Data'!$A:$ZZ,$K$5+ROW()-26+$H$14,MATCH($F$14,'Raw Pressure Data'!$1:$1,0))+$G$14))),"")</f>
        <v/>
      </c>
      <c r="X223" s="26">
        <f>IFERROR(IF($F$15="","",IF($K$5+ROW()-26&gt;$K$6,"",IF(INDEX('Raw Pressure Data'!$A:$ZZ,$K$5+ROW()-26+$H$15,MATCH($F$15,'Raw Pressure Data'!$1:$1,0))=-999,"",INDEX('Raw Pressure Data'!$A:$ZZ,$K$5+ROW()-26+$H$15,MATCH($F$15,'Raw Pressure Data'!$1:$1,0))+$G$15))),"")</f>
        <v/>
      </c>
      <c r="Y223" s="26">
        <f>IFERROR(IF($F$16="","",IF($K$5+ROW()-26&gt;$K$6,"",IF(INDEX('Raw Pressure Data'!$A:$ZZ,$K$5+ROW()-26+$H$16,MATCH($F$16,'Raw Pressure Data'!$1:$1,0))=-999,"",INDEX('Raw Pressure Data'!$A:$ZZ,$K$5+ROW()-26+$H$16,MATCH($F$16,'Raw Pressure Data'!$1:$1,0))+$G$16))),"")</f>
        <v/>
      </c>
      <c r="Z223" s="26">
        <f>IFERROR(IF($F$17="","",IF($K$5+ROW()-26&gt;$K$6,"",IF(INDEX('Raw Pressure Data'!$A:$ZZ,$K$5+ROW()-26+$H$17,MATCH($F$17,'Raw Pressure Data'!$1:$1,0))=-999,"",INDEX('Raw Pressure Data'!$A:$ZZ,$K$5+ROW()-26+$H$17,MATCH($F$17,'Raw Pressure Data'!$1:$1,0))+$G$17))),"")</f>
        <v/>
      </c>
      <c r="AA223" s="26">
        <f>IFERROR(IF($F$18="","",IF($K$5+ROW()-26&gt;$K$6,"",IF(INDEX('Raw Pressure Data'!$A:$ZZ,$K$5+ROW()-26+$H$18,MATCH($F$18,'Raw Pressure Data'!$1:$1,0))=-999,"",INDEX('Raw Pressure Data'!$A:$ZZ,$K$5+ROW()-26+$H$18,MATCH($F$18,'Raw Pressure Data'!$1:$1,0))+$G$18))),"")</f>
        <v/>
      </c>
      <c r="AB223" s="26">
        <f>IFERROR(IF($F$19="","",IF($K$5+ROW()-26&gt;$K$6,"",IF(INDEX('Raw Pressure Data'!$A:$ZZ,$K$5+ROW()-26+$H$19,MATCH($F$19,'Raw Pressure Data'!$1:$1,0))=-999,"",INDEX('Raw Pressure Data'!$A:$ZZ,$K$5+ROW()-26+$H$19,MATCH($F$19,'Raw Pressure Data'!$1:$1,0))+$G$19))),"")</f>
        <v/>
      </c>
      <c r="AC223" s="26">
        <f>IFERROR(IF($F$20="","",IF($K$5+ROW()-26&gt;$K$6,"",IF(INDEX('Raw Pressure Data'!$A:$ZZ,$K$5+ROW()-26+$H$20,MATCH($F$20,'Raw Pressure Data'!$1:$1,0))=-999,"",INDEX('Raw Pressure Data'!$A:$ZZ,$K$5+ROW()-26+$H$20,MATCH($F$20,'Raw Pressure Data'!$1:$1,0))+$G$20))),"")</f>
        <v/>
      </c>
      <c r="AD223" s="26">
        <f>IFERROR(IF($F$21="","",IF($K$5+ROW()-26&gt;$K$6,"",IF(INDEX('Raw Pressure Data'!$A:$ZZ,$K$5+ROW()-26+$H$21,MATCH($F$21,'Raw Pressure Data'!$1:$1,0))=-999,"",INDEX('Raw Pressure Data'!$A:$ZZ,$K$5+ROW()-26+$H$21,MATCH($F$21,'Raw Pressure Data'!$1:$1,0))+$G$21))),"")</f>
        <v/>
      </c>
      <c r="AE223" s="26">
        <f>IFERROR(IF($F$22="","",IF($K$5+ROW()-26&gt;$K$6,"",IF(INDEX('Raw Pressure Data'!$A:$ZZ,$K$5+ROW()-26+$H$22,MATCH($F$22,'Raw Pressure Data'!$1:$1,0))=-999,"",INDEX('Raw Pressure Data'!$A:$ZZ,$K$5+ROW()-26+$H$22,MATCH($F$22,'Raw Pressure Data'!$1:$1,0))+$G$22))),"")</f>
        <v/>
      </c>
    </row>
    <row r="224" ht="15" customHeight="1">
      <c r="A224" s="23">
        <f>IFERROR(IF($K$5+ROW()-26&gt;$K$6,"",IF(INDEX('Raw Flow Data'!$A:$A,$K$5+ROW()-26)="","",INDEX('Raw Flow Data'!$A:$A,$K$5+ROW()-26))),"")</f>
        <v/>
      </c>
      <c r="B224" s="24">
        <f>IFERROR(IF($B$3="","",IF($K$5+ROW()-26&gt;$K$6,"",IF(INDEX('Raw Flow Data'!$A:$ZZ,$K$5+ROW()-26+$D$3,MATCH($B$3,'Raw Flow Data'!$1:$1,0))=-999,"",INDEX('Raw Flow Data'!$A:$ZZ,$K$5+ROW()-26+$D$3,MATCH($B$3,'Raw Flow Data'!$1:$1,0))*$C$3))),"")</f>
        <v/>
      </c>
      <c r="C224" s="24">
        <f>IFERROR(IF($B$4="","",IF($K$5+ROW()-26&gt;$K$6,"",IF(INDEX('Raw Flow Data'!$A:$ZZ,$K$5+ROW()-26+$D$4,MATCH($B$4,'Raw Flow Data'!$1:$1,0))=-999,"",INDEX('Raw Flow Data'!$A:$ZZ,$K$5+ROW()-26+$D$4,MATCH($B$4,'Raw Flow Data'!$1:$1,0))*$C$4))),"")</f>
        <v/>
      </c>
      <c r="D224" s="24">
        <f>IFERROR(IF($B$5="","",IF($K$5+ROW()-26&gt;$K$6,"",IF(INDEX('Raw Flow Data'!$A:$ZZ,$K$5+ROW()-26+$D$5,MATCH($B$5,'Raw Flow Data'!$1:$1,0))=-999,"",INDEX('Raw Flow Data'!$A:$ZZ,$K$5+ROW()-26+$D$5,MATCH($B$5,'Raw Flow Data'!$1:$1,0))*$C$5))),"")</f>
        <v/>
      </c>
      <c r="E224" s="24">
        <f>IFERROR(IF($B$6="","",IF($K$5+ROW()-26&gt;$K$6,"",IF(INDEX('Raw Flow Data'!$A:$ZZ,$K$5+ROW()-26+$D$6,MATCH($B$6,'Raw Flow Data'!$1:$1,0))=-999,"",INDEX('Raw Flow Data'!$A:$ZZ,$K$5+ROW()-26+$D$6,MATCH($B$6,'Raw Flow Data'!$1:$1,0))*$C$6))),"")</f>
        <v/>
      </c>
      <c r="F224" s="24">
        <f>IFERROR(IF($B$7="","",IF($K$5+ROW()-26&gt;$K$6,"",IF(INDEX('Raw Flow Data'!$A:$ZZ,$K$5+ROW()-26+$D$7,MATCH($B$7,'Raw Flow Data'!$1:$1,0))=-999,"",INDEX('Raw Flow Data'!$A:$ZZ,$K$5+ROW()-26+$D$7,MATCH($B$7,'Raw Flow Data'!$1:$1,0))*$C$7))),"")</f>
        <v/>
      </c>
      <c r="G224" s="24">
        <f>IFERROR(IF($B$8="","",IF($K$5+ROW()-26&gt;$K$6,"",IF(INDEX('Raw Flow Data'!$A:$ZZ,$K$5+ROW()-26+$D$8,MATCH($B$8,'Raw Flow Data'!$1:$1,0))=-999,"",INDEX('Raw Flow Data'!$A:$ZZ,$K$5+ROW()-26+$D$8,MATCH($B$8,'Raw Flow Data'!$1:$1,0))*$C$8))),"")</f>
        <v/>
      </c>
      <c r="H224" s="24">
        <f>IFERROR(IF($B$9="","",IF($K$5+ROW()-26&gt;$K$6,"",IF(INDEX('Raw Flow Data'!$A:$ZZ,$K$5+ROW()-26+$D$9,MATCH($B$9,'Raw Flow Data'!$1:$1,0))=-999,"",INDEX('Raw Flow Data'!$A:$ZZ,$K$5+ROW()-26+$D$9,MATCH($B$9,'Raw Flow Data'!$1:$1,0))*$C$9))),"")</f>
        <v/>
      </c>
      <c r="I224" s="24">
        <f>IFERROR(IF($B$10="","",IF($K$5+ROW()-26&gt;$K$6,"",IF(INDEX('Raw Flow Data'!$A:$ZZ,$K$5+ROW()-26+$D$10,MATCH($B$10,'Raw Flow Data'!$1:$1,0))=-999,"",INDEX('Raw Flow Data'!$A:$ZZ,$K$5+ROW()-26+$D$10,MATCH($B$10,'Raw Flow Data'!$1:$1,0))*$C$10))),"")</f>
        <v/>
      </c>
      <c r="J224" s="24">
        <f>IFERROR(IF($B$11="","",IF($K$5+ROW()-26&gt;$K$6,"",IF(INDEX('Raw Flow Data'!$A:$ZZ,$K$5+ROW()-26+$D$11,MATCH($B$11,'Raw Flow Data'!$1:$1,0))=-999,"",INDEX('Raw Flow Data'!$A:$ZZ,$K$5+ROW()-26+$D$11,MATCH($B$11,'Raw Flow Data'!$1:$1,0))*$C$11))),"")</f>
        <v/>
      </c>
      <c r="K224" s="24">
        <f>IFERROR(IF($B$12="","",IF($K$5+ROW()-26&gt;$K$6,"",IF(INDEX('Raw Flow Data'!$A:$ZZ,$K$5+ROW()-26+$D$12,MATCH($B$12,'Raw Flow Data'!$1:$1,0))=-999,"",INDEX('Raw Flow Data'!$A:$ZZ,$K$5+ROW()-26+$D$12,MATCH($B$12,'Raw Flow Data'!$1:$1,0))*$C$12))),"")</f>
        <v/>
      </c>
      <c r="L224" s="24">
        <f>IFERROR(IF($F$3="","",IF($K$5+ROW()-26&gt;$K$6,"",IF(INDEX('Raw Pressure Data'!$A:$ZZ,$K$5+ROW()-26+$H$3,MATCH($F$3,'Raw Pressure Data'!$1:$1,0))=-999,"",INDEX('Raw Pressure Data'!$A:$ZZ,$K$5+ROW()-26+$H$3,MATCH($F$3,'Raw Pressure Data'!$1:$1,0))+$G$3))),"")</f>
        <v/>
      </c>
      <c r="M224" s="24">
        <f>IFERROR(IF($F$4="","",IF($K$5+ROW()-26&gt;$K$6,"",IF(INDEX('Raw Pressure Data'!$A:$ZZ,$K$5+ROW()-26+$H$4,MATCH($F$4,'Raw Pressure Data'!$1:$1,0))=-999,"",INDEX('Raw Pressure Data'!$A:$ZZ,$K$5+ROW()-26+$H$4,MATCH($F$4,'Raw Pressure Data'!$1:$1,0))+$G$4))),"")</f>
        <v/>
      </c>
      <c r="N224" s="24">
        <f>IFERROR(IF($F$5="","",IF($K$5+ROW()-26&gt;$K$6,"",IF(INDEX('Raw Pressure Data'!$A:$ZZ,$K$5+ROW()-26+$H$5,MATCH($F$5,'Raw Pressure Data'!$1:$1,0))=-999,"",INDEX('Raw Pressure Data'!$A:$ZZ,$K$5+ROW()-26+$H$5,MATCH($F$5,'Raw Pressure Data'!$1:$1,0))+$G$5))),"")</f>
        <v/>
      </c>
      <c r="O224" s="24">
        <f>IFERROR(IF($F$6="","",IF($K$5+ROW()-26&gt;$K$6,"",IF(INDEX('Raw Pressure Data'!$A:$ZZ,$K$5+ROW()-26+$H$6,MATCH($F$6,'Raw Pressure Data'!$1:$1,0))=-999,"",INDEX('Raw Pressure Data'!$A:$ZZ,$K$5+ROW()-26+$H$6,MATCH($F$6,'Raw Pressure Data'!$1:$1,0))+$G$6))),"")</f>
        <v/>
      </c>
      <c r="P224" s="24">
        <f>IFERROR(IF($F$7="","",IF($K$5+ROW()-26&gt;$K$6,"",IF(INDEX('Raw Pressure Data'!$A:$ZZ,$K$5+ROW()-26+$H$7,MATCH($F$7,'Raw Pressure Data'!$1:$1,0))=-999,"",INDEX('Raw Pressure Data'!$A:$ZZ,$K$5+ROW()-26+$H$7,MATCH($F$7,'Raw Pressure Data'!$1:$1,0))+$G$7))),"")</f>
        <v/>
      </c>
      <c r="Q224" s="24">
        <f>IFERROR(IF($F$8="","",IF($K$5+ROW()-26&gt;$K$6,"",IF(INDEX('Raw Pressure Data'!$A:$ZZ,$K$5+ROW()-26+$H$8,MATCH($F$8,'Raw Pressure Data'!$1:$1,0))=-999,"",INDEX('Raw Pressure Data'!$A:$ZZ,$K$5+ROW()-26+$H$8,MATCH($F$8,'Raw Pressure Data'!$1:$1,0))+$G$8))),"")</f>
        <v/>
      </c>
      <c r="R224" s="24">
        <f>IFERROR(IF($F$9="","",IF($K$5+ROW()-26&gt;$K$6,"",IF(INDEX('Raw Pressure Data'!$A:$ZZ,$K$5+ROW()-26+$H$9,MATCH($F$9,'Raw Pressure Data'!$1:$1,0))=-999,"",INDEX('Raw Pressure Data'!$A:$ZZ,$K$5+ROW()-26+$H$9,MATCH($F$9,'Raw Pressure Data'!$1:$1,0))+$G$9))),"")</f>
        <v/>
      </c>
      <c r="S224" s="24">
        <f>IFERROR(IF($F$10="","",IF($K$5+ROW()-26&gt;$K$6,"",IF(INDEX('Raw Pressure Data'!$A:$ZZ,$K$5+ROW()-26+$H$10,MATCH($F$10,'Raw Pressure Data'!$1:$1,0))=-999,"",INDEX('Raw Pressure Data'!$A:$ZZ,$K$5+ROW()-26+$H$10,MATCH($F$10,'Raw Pressure Data'!$1:$1,0))+$G$10))),"")</f>
        <v/>
      </c>
      <c r="T224" s="24">
        <f>IFERROR(IF($F$11="","",IF($K$5+ROW()-26&gt;$K$6,"",IF(INDEX('Raw Pressure Data'!$A:$ZZ,$K$5+ROW()-26+$H$11,MATCH($F$11,'Raw Pressure Data'!$1:$1,0))=-999,"",INDEX('Raw Pressure Data'!$A:$ZZ,$K$5+ROW()-26+$H$11,MATCH($F$11,'Raw Pressure Data'!$1:$1,0))+$G$11))),"")</f>
        <v/>
      </c>
      <c r="U224" s="24">
        <f>IFERROR(IF($F$12="","",IF($K$5+ROW()-26&gt;$K$6,"",IF(INDEX('Raw Pressure Data'!$A:$ZZ,$K$5+ROW()-26+$H$12,MATCH($F$12,'Raw Pressure Data'!$1:$1,0))=-999,"",INDEX('Raw Pressure Data'!$A:$ZZ,$K$5+ROW()-26+$H$12,MATCH($F$12,'Raw Pressure Data'!$1:$1,0))+$G$12))),"")</f>
        <v/>
      </c>
      <c r="V224" s="24">
        <f>IFERROR(IF($F$13="","",IF($K$5+ROW()-26&gt;$K$6,"",IF(INDEX('Raw Pressure Data'!$A:$ZZ,$K$5+ROW()-26+$H$13,MATCH($F$13,'Raw Pressure Data'!$1:$1,0))=-999,"",INDEX('Raw Pressure Data'!$A:$ZZ,$K$5+ROW()-26+$H$13,MATCH($F$13,'Raw Pressure Data'!$1:$1,0))+$G$13))),"")</f>
        <v/>
      </c>
      <c r="W224" s="24">
        <f>IFERROR(IF($F$14="","",IF($K$5+ROW()-26&gt;$K$6,"",IF(INDEX('Raw Pressure Data'!$A:$ZZ,$K$5+ROW()-26+$H$14,MATCH($F$14,'Raw Pressure Data'!$1:$1,0))=-999,"",INDEX('Raw Pressure Data'!$A:$ZZ,$K$5+ROW()-26+$H$14,MATCH($F$14,'Raw Pressure Data'!$1:$1,0))+$G$14))),"")</f>
        <v/>
      </c>
      <c r="X224" s="24">
        <f>IFERROR(IF($F$15="","",IF($K$5+ROW()-26&gt;$K$6,"",IF(INDEX('Raw Pressure Data'!$A:$ZZ,$K$5+ROW()-26+$H$15,MATCH($F$15,'Raw Pressure Data'!$1:$1,0))=-999,"",INDEX('Raw Pressure Data'!$A:$ZZ,$K$5+ROW()-26+$H$15,MATCH($F$15,'Raw Pressure Data'!$1:$1,0))+$G$15))),"")</f>
        <v/>
      </c>
      <c r="Y224" s="24">
        <f>IFERROR(IF($F$16="","",IF($K$5+ROW()-26&gt;$K$6,"",IF(INDEX('Raw Pressure Data'!$A:$ZZ,$K$5+ROW()-26+$H$16,MATCH($F$16,'Raw Pressure Data'!$1:$1,0))=-999,"",INDEX('Raw Pressure Data'!$A:$ZZ,$K$5+ROW()-26+$H$16,MATCH($F$16,'Raw Pressure Data'!$1:$1,0))+$G$16))),"")</f>
        <v/>
      </c>
      <c r="Z224" s="24">
        <f>IFERROR(IF($F$17="","",IF($K$5+ROW()-26&gt;$K$6,"",IF(INDEX('Raw Pressure Data'!$A:$ZZ,$K$5+ROW()-26+$H$17,MATCH($F$17,'Raw Pressure Data'!$1:$1,0))=-999,"",INDEX('Raw Pressure Data'!$A:$ZZ,$K$5+ROW()-26+$H$17,MATCH($F$17,'Raw Pressure Data'!$1:$1,0))+$G$17))),"")</f>
        <v/>
      </c>
      <c r="AA224" s="24">
        <f>IFERROR(IF($F$18="","",IF($K$5+ROW()-26&gt;$K$6,"",IF(INDEX('Raw Pressure Data'!$A:$ZZ,$K$5+ROW()-26+$H$18,MATCH($F$18,'Raw Pressure Data'!$1:$1,0))=-999,"",INDEX('Raw Pressure Data'!$A:$ZZ,$K$5+ROW()-26+$H$18,MATCH($F$18,'Raw Pressure Data'!$1:$1,0))+$G$18))),"")</f>
        <v/>
      </c>
      <c r="AB224" s="24">
        <f>IFERROR(IF($F$19="","",IF($K$5+ROW()-26&gt;$K$6,"",IF(INDEX('Raw Pressure Data'!$A:$ZZ,$K$5+ROW()-26+$H$19,MATCH($F$19,'Raw Pressure Data'!$1:$1,0))=-999,"",INDEX('Raw Pressure Data'!$A:$ZZ,$K$5+ROW()-26+$H$19,MATCH($F$19,'Raw Pressure Data'!$1:$1,0))+$G$19))),"")</f>
        <v/>
      </c>
      <c r="AC224" s="24">
        <f>IFERROR(IF($F$20="","",IF($K$5+ROW()-26&gt;$K$6,"",IF(INDEX('Raw Pressure Data'!$A:$ZZ,$K$5+ROW()-26+$H$20,MATCH($F$20,'Raw Pressure Data'!$1:$1,0))=-999,"",INDEX('Raw Pressure Data'!$A:$ZZ,$K$5+ROW()-26+$H$20,MATCH($F$20,'Raw Pressure Data'!$1:$1,0))+$G$20))),"")</f>
        <v/>
      </c>
      <c r="AD224" s="24">
        <f>IFERROR(IF($F$21="","",IF($K$5+ROW()-26&gt;$K$6,"",IF(INDEX('Raw Pressure Data'!$A:$ZZ,$K$5+ROW()-26+$H$21,MATCH($F$21,'Raw Pressure Data'!$1:$1,0))=-999,"",INDEX('Raw Pressure Data'!$A:$ZZ,$K$5+ROW()-26+$H$21,MATCH($F$21,'Raw Pressure Data'!$1:$1,0))+$G$21))),"")</f>
        <v/>
      </c>
      <c r="AE224" s="24">
        <f>IFERROR(IF($F$22="","",IF($K$5+ROW()-26&gt;$K$6,"",IF(INDEX('Raw Pressure Data'!$A:$ZZ,$K$5+ROW()-26+$H$22,MATCH($F$22,'Raw Pressure Data'!$1:$1,0))=-999,"",INDEX('Raw Pressure Data'!$A:$ZZ,$K$5+ROW()-26+$H$22,MATCH($F$22,'Raw Pressure Data'!$1:$1,0))+$G$22))),"")</f>
        <v/>
      </c>
    </row>
    <row r="225" ht="15" customHeight="1">
      <c r="A225" s="25">
        <f>IFERROR(IF($K$5+ROW()-26&gt;$K$6,"",IF(INDEX('Raw Flow Data'!$A:$A,$K$5+ROW()-26)="","",INDEX('Raw Flow Data'!$A:$A,$K$5+ROW()-26))),"")</f>
        <v/>
      </c>
      <c r="B225" s="26">
        <f>IFERROR(IF($B$3="","",IF($K$5+ROW()-26&gt;$K$6,"",IF(INDEX('Raw Flow Data'!$A:$ZZ,$K$5+ROW()-26+$D$3,MATCH($B$3,'Raw Flow Data'!$1:$1,0))=-999,"",INDEX('Raw Flow Data'!$A:$ZZ,$K$5+ROW()-26+$D$3,MATCH($B$3,'Raw Flow Data'!$1:$1,0))*$C$3))),"")</f>
        <v/>
      </c>
      <c r="C225" s="26">
        <f>IFERROR(IF($B$4="","",IF($K$5+ROW()-26&gt;$K$6,"",IF(INDEX('Raw Flow Data'!$A:$ZZ,$K$5+ROW()-26+$D$4,MATCH($B$4,'Raw Flow Data'!$1:$1,0))=-999,"",INDEX('Raw Flow Data'!$A:$ZZ,$K$5+ROW()-26+$D$4,MATCH($B$4,'Raw Flow Data'!$1:$1,0))*$C$4))),"")</f>
        <v/>
      </c>
      <c r="D225" s="26">
        <f>IFERROR(IF($B$5="","",IF($K$5+ROW()-26&gt;$K$6,"",IF(INDEX('Raw Flow Data'!$A:$ZZ,$K$5+ROW()-26+$D$5,MATCH($B$5,'Raw Flow Data'!$1:$1,0))=-999,"",INDEX('Raw Flow Data'!$A:$ZZ,$K$5+ROW()-26+$D$5,MATCH($B$5,'Raw Flow Data'!$1:$1,0))*$C$5))),"")</f>
        <v/>
      </c>
      <c r="E225" s="26">
        <f>IFERROR(IF($B$6="","",IF($K$5+ROW()-26&gt;$K$6,"",IF(INDEX('Raw Flow Data'!$A:$ZZ,$K$5+ROW()-26+$D$6,MATCH($B$6,'Raw Flow Data'!$1:$1,0))=-999,"",INDEX('Raw Flow Data'!$A:$ZZ,$K$5+ROW()-26+$D$6,MATCH($B$6,'Raw Flow Data'!$1:$1,0))*$C$6))),"")</f>
        <v/>
      </c>
      <c r="F225" s="26">
        <f>IFERROR(IF($B$7="","",IF($K$5+ROW()-26&gt;$K$6,"",IF(INDEX('Raw Flow Data'!$A:$ZZ,$K$5+ROW()-26+$D$7,MATCH($B$7,'Raw Flow Data'!$1:$1,0))=-999,"",INDEX('Raw Flow Data'!$A:$ZZ,$K$5+ROW()-26+$D$7,MATCH($B$7,'Raw Flow Data'!$1:$1,0))*$C$7))),"")</f>
        <v/>
      </c>
      <c r="G225" s="26">
        <f>IFERROR(IF($B$8="","",IF($K$5+ROW()-26&gt;$K$6,"",IF(INDEX('Raw Flow Data'!$A:$ZZ,$K$5+ROW()-26+$D$8,MATCH($B$8,'Raw Flow Data'!$1:$1,0))=-999,"",INDEX('Raw Flow Data'!$A:$ZZ,$K$5+ROW()-26+$D$8,MATCH($B$8,'Raw Flow Data'!$1:$1,0))*$C$8))),"")</f>
        <v/>
      </c>
      <c r="H225" s="26">
        <f>IFERROR(IF($B$9="","",IF($K$5+ROW()-26&gt;$K$6,"",IF(INDEX('Raw Flow Data'!$A:$ZZ,$K$5+ROW()-26+$D$9,MATCH($B$9,'Raw Flow Data'!$1:$1,0))=-999,"",INDEX('Raw Flow Data'!$A:$ZZ,$K$5+ROW()-26+$D$9,MATCH($B$9,'Raw Flow Data'!$1:$1,0))*$C$9))),"")</f>
        <v/>
      </c>
      <c r="I225" s="26">
        <f>IFERROR(IF($B$10="","",IF($K$5+ROW()-26&gt;$K$6,"",IF(INDEX('Raw Flow Data'!$A:$ZZ,$K$5+ROW()-26+$D$10,MATCH($B$10,'Raw Flow Data'!$1:$1,0))=-999,"",INDEX('Raw Flow Data'!$A:$ZZ,$K$5+ROW()-26+$D$10,MATCH($B$10,'Raw Flow Data'!$1:$1,0))*$C$10))),"")</f>
        <v/>
      </c>
      <c r="J225" s="26">
        <f>IFERROR(IF($B$11="","",IF($K$5+ROW()-26&gt;$K$6,"",IF(INDEX('Raw Flow Data'!$A:$ZZ,$K$5+ROW()-26+$D$11,MATCH($B$11,'Raw Flow Data'!$1:$1,0))=-999,"",INDEX('Raw Flow Data'!$A:$ZZ,$K$5+ROW()-26+$D$11,MATCH($B$11,'Raw Flow Data'!$1:$1,0))*$C$11))),"")</f>
        <v/>
      </c>
      <c r="K225" s="26">
        <f>IFERROR(IF($B$12="","",IF($K$5+ROW()-26&gt;$K$6,"",IF(INDEX('Raw Flow Data'!$A:$ZZ,$K$5+ROW()-26+$D$12,MATCH($B$12,'Raw Flow Data'!$1:$1,0))=-999,"",INDEX('Raw Flow Data'!$A:$ZZ,$K$5+ROW()-26+$D$12,MATCH($B$12,'Raw Flow Data'!$1:$1,0))*$C$12))),"")</f>
        <v/>
      </c>
      <c r="L225" s="26">
        <f>IFERROR(IF($F$3="","",IF($K$5+ROW()-26&gt;$K$6,"",IF(INDEX('Raw Pressure Data'!$A:$ZZ,$K$5+ROW()-26+$H$3,MATCH($F$3,'Raw Pressure Data'!$1:$1,0))=-999,"",INDEX('Raw Pressure Data'!$A:$ZZ,$K$5+ROW()-26+$H$3,MATCH($F$3,'Raw Pressure Data'!$1:$1,0))+$G$3))),"")</f>
        <v/>
      </c>
      <c r="M225" s="26">
        <f>IFERROR(IF($F$4="","",IF($K$5+ROW()-26&gt;$K$6,"",IF(INDEX('Raw Pressure Data'!$A:$ZZ,$K$5+ROW()-26+$H$4,MATCH($F$4,'Raw Pressure Data'!$1:$1,0))=-999,"",INDEX('Raw Pressure Data'!$A:$ZZ,$K$5+ROW()-26+$H$4,MATCH($F$4,'Raw Pressure Data'!$1:$1,0))+$G$4))),"")</f>
        <v/>
      </c>
      <c r="N225" s="26">
        <f>IFERROR(IF($F$5="","",IF($K$5+ROW()-26&gt;$K$6,"",IF(INDEX('Raw Pressure Data'!$A:$ZZ,$K$5+ROW()-26+$H$5,MATCH($F$5,'Raw Pressure Data'!$1:$1,0))=-999,"",INDEX('Raw Pressure Data'!$A:$ZZ,$K$5+ROW()-26+$H$5,MATCH($F$5,'Raw Pressure Data'!$1:$1,0))+$G$5))),"")</f>
        <v/>
      </c>
      <c r="O225" s="26">
        <f>IFERROR(IF($F$6="","",IF($K$5+ROW()-26&gt;$K$6,"",IF(INDEX('Raw Pressure Data'!$A:$ZZ,$K$5+ROW()-26+$H$6,MATCH($F$6,'Raw Pressure Data'!$1:$1,0))=-999,"",INDEX('Raw Pressure Data'!$A:$ZZ,$K$5+ROW()-26+$H$6,MATCH($F$6,'Raw Pressure Data'!$1:$1,0))+$G$6))),"")</f>
        <v/>
      </c>
      <c r="P225" s="26">
        <f>IFERROR(IF($F$7="","",IF($K$5+ROW()-26&gt;$K$6,"",IF(INDEX('Raw Pressure Data'!$A:$ZZ,$K$5+ROW()-26+$H$7,MATCH($F$7,'Raw Pressure Data'!$1:$1,0))=-999,"",INDEX('Raw Pressure Data'!$A:$ZZ,$K$5+ROW()-26+$H$7,MATCH($F$7,'Raw Pressure Data'!$1:$1,0))+$G$7))),"")</f>
        <v/>
      </c>
      <c r="Q225" s="26">
        <f>IFERROR(IF($F$8="","",IF($K$5+ROW()-26&gt;$K$6,"",IF(INDEX('Raw Pressure Data'!$A:$ZZ,$K$5+ROW()-26+$H$8,MATCH($F$8,'Raw Pressure Data'!$1:$1,0))=-999,"",INDEX('Raw Pressure Data'!$A:$ZZ,$K$5+ROW()-26+$H$8,MATCH($F$8,'Raw Pressure Data'!$1:$1,0))+$G$8))),"")</f>
        <v/>
      </c>
      <c r="R225" s="26">
        <f>IFERROR(IF($F$9="","",IF($K$5+ROW()-26&gt;$K$6,"",IF(INDEX('Raw Pressure Data'!$A:$ZZ,$K$5+ROW()-26+$H$9,MATCH($F$9,'Raw Pressure Data'!$1:$1,0))=-999,"",INDEX('Raw Pressure Data'!$A:$ZZ,$K$5+ROW()-26+$H$9,MATCH($F$9,'Raw Pressure Data'!$1:$1,0))+$G$9))),"")</f>
        <v/>
      </c>
      <c r="S225" s="26">
        <f>IFERROR(IF($F$10="","",IF($K$5+ROW()-26&gt;$K$6,"",IF(INDEX('Raw Pressure Data'!$A:$ZZ,$K$5+ROW()-26+$H$10,MATCH($F$10,'Raw Pressure Data'!$1:$1,0))=-999,"",INDEX('Raw Pressure Data'!$A:$ZZ,$K$5+ROW()-26+$H$10,MATCH($F$10,'Raw Pressure Data'!$1:$1,0))+$G$10))),"")</f>
        <v/>
      </c>
      <c r="T225" s="26">
        <f>IFERROR(IF($F$11="","",IF($K$5+ROW()-26&gt;$K$6,"",IF(INDEX('Raw Pressure Data'!$A:$ZZ,$K$5+ROW()-26+$H$11,MATCH($F$11,'Raw Pressure Data'!$1:$1,0))=-999,"",INDEX('Raw Pressure Data'!$A:$ZZ,$K$5+ROW()-26+$H$11,MATCH($F$11,'Raw Pressure Data'!$1:$1,0))+$G$11))),"")</f>
        <v/>
      </c>
      <c r="U225" s="26">
        <f>IFERROR(IF($F$12="","",IF($K$5+ROW()-26&gt;$K$6,"",IF(INDEX('Raw Pressure Data'!$A:$ZZ,$K$5+ROW()-26+$H$12,MATCH($F$12,'Raw Pressure Data'!$1:$1,0))=-999,"",INDEX('Raw Pressure Data'!$A:$ZZ,$K$5+ROW()-26+$H$12,MATCH($F$12,'Raw Pressure Data'!$1:$1,0))+$G$12))),"")</f>
        <v/>
      </c>
      <c r="V225" s="26">
        <f>IFERROR(IF($F$13="","",IF($K$5+ROW()-26&gt;$K$6,"",IF(INDEX('Raw Pressure Data'!$A:$ZZ,$K$5+ROW()-26+$H$13,MATCH($F$13,'Raw Pressure Data'!$1:$1,0))=-999,"",INDEX('Raw Pressure Data'!$A:$ZZ,$K$5+ROW()-26+$H$13,MATCH($F$13,'Raw Pressure Data'!$1:$1,0))+$G$13))),"")</f>
        <v/>
      </c>
      <c r="W225" s="26">
        <f>IFERROR(IF($F$14="","",IF($K$5+ROW()-26&gt;$K$6,"",IF(INDEX('Raw Pressure Data'!$A:$ZZ,$K$5+ROW()-26+$H$14,MATCH($F$14,'Raw Pressure Data'!$1:$1,0))=-999,"",INDEX('Raw Pressure Data'!$A:$ZZ,$K$5+ROW()-26+$H$14,MATCH($F$14,'Raw Pressure Data'!$1:$1,0))+$G$14))),"")</f>
        <v/>
      </c>
      <c r="X225" s="26">
        <f>IFERROR(IF($F$15="","",IF($K$5+ROW()-26&gt;$K$6,"",IF(INDEX('Raw Pressure Data'!$A:$ZZ,$K$5+ROW()-26+$H$15,MATCH($F$15,'Raw Pressure Data'!$1:$1,0))=-999,"",INDEX('Raw Pressure Data'!$A:$ZZ,$K$5+ROW()-26+$H$15,MATCH($F$15,'Raw Pressure Data'!$1:$1,0))+$G$15))),"")</f>
        <v/>
      </c>
      <c r="Y225" s="26">
        <f>IFERROR(IF($F$16="","",IF($K$5+ROW()-26&gt;$K$6,"",IF(INDEX('Raw Pressure Data'!$A:$ZZ,$K$5+ROW()-26+$H$16,MATCH($F$16,'Raw Pressure Data'!$1:$1,0))=-999,"",INDEX('Raw Pressure Data'!$A:$ZZ,$K$5+ROW()-26+$H$16,MATCH($F$16,'Raw Pressure Data'!$1:$1,0))+$G$16))),"")</f>
        <v/>
      </c>
      <c r="Z225" s="26">
        <f>IFERROR(IF($F$17="","",IF($K$5+ROW()-26&gt;$K$6,"",IF(INDEX('Raw Pressure Data'!$A:$ZZ,$K$5+ROW()-26+$H$17,MATCH($F$17,'Raw Pressure Data'!$1:$1,0))=-999,"",INDEX('Raw Pressure Data'!$A:$ZZ,$K$5+ROW()-26+$H$17,MATCH($F$17,'Raw Pressure Data'!$1:$1,0))+$G$17))),"")</f>
        <v/>
      </c>
      <c r="AA225" s="26">
        <f>IFERROR(IF($F$18="","",IF($K$5+ROW()-26&gt;$K$6,"",IF(INDEX('Raw Pressure Data'!$A:$ZZ,$K$5+ROW()-26+$H$18,MATCH($F$18,'Raw Pressure Data'!$1:$1,0))=-999,"",INDEX('Raw Pressure Data'!$A:$ZZ,$K$5+ROW()-26+$H$18,MATCH($F$18,'Raw Pressure Data'!$1:$1,0))+$G$18))),"")</f>
        <v/>
      </c>
      <c r="AB225" s="26">
        <f>IFERROR(IF($F$19="","",IF($K$5+ROW()-26&gt;$K$6,"",IF(INDEX('Raw Pressure Data'!$A:$ZZ,$K$5+ROW()-26+$H$19,MATCH($F$19,'Raw Pressure Data'!$1:$1,0))=-999,"",INDEX('Raw Pressure Data'!$A:$ZZ,$K$5+ROW()-26+$H$19,MATCH($F$19,'Raw Pressure Data'!$1:$1,0))+$G$19))),"")</f>
        <v/>
      </c>
      <c r="AC225" s="26">
        <f>IFERROR(IF($F$20="","",IF($K$5+ROW()-26&gt;$K$6,"",IF(INDEX('Raw Pressure Data'!$A:$ZZ,$K$5+ROW()-26+$H$20,MATCH($F$20,'Raw Pressure Data'!$1:$1,0))=-999,"",INDEX('Raw Pressure Data'!$A:$ZZ,$K$5+ROW()-26+$H$20,MATCH($F$20,'Raw Pressure Data'!$1:$1,0))+$G$20))),"")</f>
        <v/>
      </c>
      <c r="AD225" s="26">
        <f>IFERROR(IF($F$21="","",IF($K$5+ROW()-26&gt;$K$6,"",IF(INDEX('Raw Pressure Data'!$A:$ZZ,$K$5+ROW()-26+$H$21,MATCH($F$21,'Raw Pressure Data'!$1:$1,0))=-999,"",INDEX('Raw Pressure Data'!$A:$ZZ,$K$5+ROW()-26+$H$21,MATCH($F$21,'Raw Pressure Data'!$1:$1,0))+$G$21))),"")</f>
        <v/>
      </c>
      <c r="AE225" s="26">
        <f>IFERROR(IF($F$22="","",IF($K$5+ROW()-26&gt;$K$6,"",IF(INDEX('Raw Pressure Data'!$A:$ZZ,$K$5+ROW()-26+$H$22,MATCH($F$22,'Raw Pressure Data'!$1:$1,0))=-999,"",INDEX('Raw Pressure Data'!$A:$ZZ,$K$5+ROW()-26+$H$22,MATCH($F$22,'Raw Pressure Data'!$1:$1,0))+$G$22))),"")</f>
        <v/>
      </c>
    </row>
    <row r="226" ht="24" customHeight="1">
      <c r="A226" s="20" t="inlineStr">
        <is>
          <t>↑ Formulas cover 200 rows (row 26–225). For more data: select A26:AE225 and copy-paste downward.</t>
        </is>
      </c>
    </row>
  </sheetData>
  <mergeCells count="5">
    <mergeCell ref="A24:AE24"/>
    <mergeCell ref="A226:AE226"/>
    <mergeCell ref="J2:K2"/>
    <mergeCell ref="A1:L1"/>
    <mergeCell ref="A23:AE23"/>
  </mergeCells>
  <dataValidations count="2">
    <dataValidation sqref="B3 B4 B5 B6 B7 B8 B9 B10 B11 B12" showDropDown="0" showInputMessage="0" showErrorMessage="0" allowBlank="1" type="list">
      <formula1>'Raw Flow Data'!$B$1:$GR$1</formula1>
    </dataValidation>
    <dataValidation sqref="F3 F4 F5 F6 F7 F8 F9 F10 F11 F12 F13 F14 F15 F16 F17 F18 F19 F20 F21 F22" showDropDown="0" showInputMessage="0" showErrorMessage="0" allowBlank="1" type="list">
      <formula1>'Raw Pressure Data'!$B$1:$GR$1</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21" customWidth="1" min="1" max="1"/>
  </cols>
  <sheetData>
    <row r="1" ht="22" customHeight="1">
      <c r="A1" s="1" t="inlineStr">
        <is>
          <t>Date</t>
        </is>
      </c>
    </row>
    <row r="2" ht="18" customHeight="1">
      <c r="A2" s="20" t="inlineStr">
        <is>
          <t>Run the SaveToMOD macro to populate this sheet.  Format: Date in column A; sensor codes as column headers in row 1.</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21" customWidth="1" min="1" max="1"/>
  </cols>
  <sheetData>
    <row r="1" ht="22" customHeight="1">
      <c r="A1" s="1" t="inlineStr">
        <is>
          <t>Date</t>
        </is>
      </c>
    </row>
    <row r="2" ht="18" customHeight="1">
      <c r="A2" s="20" t="inlineStr">
        <is>
          <t>Run the SaveToMOD macro to populate this sheet.  Format: Date in column A; sensor codes as column headers in row 1.</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93"/>
  <sheetViews>
    <sheetView showGridLines="0" workbookViewId="0">
      <selection activeCell="A1" sqref="A1"/>
    </sheetView>
  </sheetViews>
  <sheetFormatPr baseColWidth="8" defaultRowHeight="15"/>
  <cols>
    <col width="115" customWidth="1" min="1" max="1"/>
  </cols>
  <sheetData>
    <row r="1" ht="32" customHeight="1">
      <c r="A1" s="5" t="inlineStr">
        <is>
          <t>Flow &amp; Pressure Dashboard — Instructions</t>
        </is>
      </c>
    </row>
    <row r="2" ht="8" customHeight="1"/>
    <row r="3" ht="26" customHeight="1">
      <c r="A3" s="27" t="inlineStr">
        <is>
          <t>1.  QUICK START  (works immediately — no setup needed)</t>
        </is>
      </c>
    </row>
    <row r="4" ht="17" customHeight="1">
      <c r="A4" s="28" t="inlineStr">
        <is>
          <t>Step 1:  Paste your flow data into 'Raw Flow Data' (delete sample rows, keep Row 1 headers).</t>
        </is>
      </c>
    </row>
    <row r="5" ht="17" customHeight="1">
      <c r="A5" s="28" t="inlineStr">
        <is>
          <t>Step 2:  Paste your pressure data into 'Raw Pressure Data' (same format).</t>
        </is>
      </c>
    </row>
    <row r="6" ht="17" customHeight="1">
      <c r="A6" s="28" t="inlineStr">
        <is>
          <t>Step 3:  Go to the Dashboard sheet.</t>
        </is>
      </c>
    </row>
    <row r="7" ht="17" customHeight="1">
      <c r="A7" s="28" t="inlineStr">
        <is>
          <t>Step 4:  Rows 3-12 (col B) are the 10 flow selectors — pick a sensor from the dropdown.</t>
        </is>
      </c>
    </row>
    <row r="8" ht="17" customHeight="1">
      <c r="A8" s="28" t="inlineStr">
        <is>
          <t xml:space="preserve">         Leave unused rows blank to hide that series.</t>
        </is>
      </c>
    </row>
    <row r="9" ht="17" customHeight="1">
      <c r="A9" s="28" t="inlineStr">
        <is>
          <t>Step 5:  Rows 3-22 (col E) are the 20 pressure selectors — same idea.</t>
        </is>
      </c>
    </row>
    <row r="10" ht="17" customHeight="1">
      <c r="A10" s="28" t="inlineStr">
        <is>
          <t>Step 6:  Adjust the Scale (col C) for each flow row and the Offset (col F) for</t>
        </is>
      </c>
    </row>
    <row r="11" ht="17" customHeight="1">
      <c r="A11" s="28" t="inlineStr">
        <is>
          <t xml:space="preserve">         each pressure row independently.  Default Scale = 1.000, Offset = 0.000.</t>
        </is>
      </c>
    </row>
    <row r="12" ht="17" customHeight="1">
      <c r="A12" s="28" t="inlineStr">
        <is>
          <t>Step 7:  The chart legend shows the sensor code you selected (e.g. 'AL012').</t>
        </is>
      </c>
    </row>
    <row r="13" ht="17" customHeight="1">
      <c r="A13" s="28" t="inlineStr">
        <is>
          <t xml:space="preserve">         If a selector is blank the legend falls back to 'Flow N Adj.' / 'Pres N Adj.'.</t>
        </is>
      </c>
    </row>
    <row r="14" ht="17" customHeight="1">
      <c r="A14" s="28" t="inlineStr">
        <is>
          <t>Step 8:  Use the Chart Controls panel (cols J-K, top right of the Dashboard):</t>
        </is>
      </c>
    </row>
    <row r="15" ht="17" customHeight="1">
      <c r="A15" s="28" t="inlineStr">
        <is>
          <t xml:space="preserve">         • Start Date / End Date  — enter dates to filter the formula table and chart.</t>
        </is>
      </c>
    </row>
    <row r="16" ht="17" customHeight="1">
      <c r="A16" s="28" t="inlineStr">
        <is>
          <t xml:space="preserve">           Leave blank to show all available data.  Dates must exist in 'Raw Flow Data'.</t>
        </is>
      </c>
    </row>
    <row r="17" ht="17" customHeight="1">
      <c r="A17" s="28" t="inlineStr">
        <is>
          <t>Step 9:  Each flow row (col D) and each pressure row (col H) has its own Δt cell.</t>
        </is>
      </c>
    </row>
    <row r="18" ht="17" customHeight="1">
      <c r="A18" s="28" t="inlineStr">
        <is>
          <t xml:space="preserve">         Enter an integer to shift that series in time:</t>
        </is>
      </c>
    </row>
    <row r="19" ht="17" customHeight="1">
      <c r="A19" s="28" t="inlineStr">
        <is>
          <t xml:space="preserve">         +2 = read from 2 timesteps later;  -3 = read from 3 timesteps earlier.</t>
        </is>
      </c>
    </row>
    <row r="20" ht="17" customHeight="1">
      <c r="A20" s="28" t="inlineStr">
        <is>
          <t xml:space="preserve">         Use this to align sensors with different transit / delay times.</t>
        </is>
      </c>
    </row>
    <row r="21" ht="17" customHeight="1">
      <c r="A21" s="28" t="inlineStr">
        <is>
          <t>Step 10: When satisfied, run the SaveToMOD macro to store the adjusted data.</t>
        </is>
      </c>
    </row>
    <row r="22" ht="17" customHeight="1">
      <c r="A22" s="28" t="inlineStr">
        <is>
          <t xml:space="preserve">         MOD Flow and MOD Pressure are cleared and rewritten each run in the same</t>
        </is>
      </c>
    </row>
    <row r="23" ht="17" customHeight="1">
      <c r="A23" s="28" t="inlineStr">
        <is>
          <t xml:space="preserve">         wide format as the raw sheets (Date | SensorCode1 | SensorCode2 | …).</t>
        </is>
      </c>
    </row>
    <row r="24" ht="17" customHeight="1">
      <c r="A24" s="28" t="inlineStr"/>
    </row>
    <row r="25" ht="17" customHeight="1">
      <c r="A25" s="28" t="inlineStr">
        <is>
          <t>NOTE:  Up to 10 flow series (left Y-axis, blue shades) and 20 pressure series</t>
        </is>
      </c>
    </row>
    <row r="26" ht="17" customHeight="1">
      <c r="A26" s="28" t="inlineStr">
        <is>
          <t xml:space="preserve">       (right Y-axis, warm shades) are shown simultaneously on the chart.</t>
        </is>
      </c>
    </row>
    <row r="27" ht="17" customHeight="1">
      <c r="A27" s="28" t="inlineStr"/>
    </row>
    <row r="28" ht="17" customHeight="1">
      <c r="A28" s="28" t="inlineStr">
        <is>
          <t>NOTE:  After pasting your own data, right-click each Name cell → Data Validation</t>
        </is>
      </c>
    </row>
    <row r="29" ht="17" customHeight="1">
      <c r="A29" s="28" t="inlineStr">
        <is>
          <t xml:space="preserve">       → update the Source to cover your column range, e.g. 'Raw Flow Data'!$B$1:$BZ$1</t>
        </is>
      </c>
    </row>
    <row r="30" ht="17" customHeight="1">
      <c r="A30" s="28" t="inlineStr"/>
    </row>
    <row r="31" ht="17" customHeight="1">
      <c r="A31" s="28" t="inlineStr">
        <is>
          <t>NOTE:  The formula table covers 200 rows. For longer datasets, select</t>
        </is>
      </c>
    </row>
    <row r="32" ht="17" customHeight="1">
      <c r="A32" s="28" t="inlineStr">
        <is>
          <t xml:space="preserve">       that range and copy-paste downward as far as needed.</t>
        </is>
      </c>
    </row>
    <row r="33" ht="17" customHeight="1">
      <c r="A33" s="28" t="inlineStr"/>
    </row>
    <row r="34" ht="17" customHeight="1">
      <c r="A34" s="28" t="inlineStr">
        <is>
          <t>NOTE:  -999 values are treated as no-data and are excluded from all calculations.</t>
        </is>
      </c>
    </row>
    <row r="35" ht="8" customHeight="1"/>
    <row r="36" ht="26" customHeight="1">
      <c r="A36" s="29" t="inlineStr">
        <is>
          <t>2.  POWER QUERY SETUP  (optional — recommended for very large datasets)</t>
        </is>
      </c>
    </row>
    <row r="37" ht="17" customHeight="1">
      <c r="A37" s="28" t="inlineStr">
        <is>
          <t>The Raw data sheets are already set up as Excel Tables (FlowData, PressureData).</t>
        </is>
      </c>
    </row>
    <row r="38" ht="17" customHeight="1">
      <c r="A38" s="28" t="inlineStr">
        <is>
          <t>Power Query can load these tables, unpivot them, and merge them for use in PivotTables.</t>
        </is>
      </c>
    </row>
    <row r="39" ht="17" customHeight="1">
      <c r="A39" s="28" t="inlineStr"/>
    </row>
    <row r="40" ht="17" customHeight="1">
      <c r="A40" s="28" t="inlineStr">
        <is>
          <t>Step 1:  Data tab → Get Data → From Table/Range → select the FlowData table.</t>
        </is>
      </c>
    </row>
    <row r="41" ht="17" customHeight="1">
      <c r="A41" s="28" t="inlineStr">
        <is>
          <t>Step 2:  In Power Query Editor: select the Date column, then Home → Unpivot Other Columns.</t>
        </is>
      </c>
    </row>
    <row r="42" ht="17" customHeight="1">
      <c r="A42" s="28" t="inlineStr">
        <is>
          <t xml:space="preserve">         Rename 'Attribute' → 'Flow Name',  'Value' → 'Flow Value'.</t>
        </is>
      </c>
    </row>
    <row r="43" ht="17" customHeight="1">
      <c r="A43" s="28" t="inlineStr">
        <is>
          <t>Step 3:  Close &amp; Load To… → Only Create Connection.  Name the query  FlowLong.</t>
        </is>
      </c>
    </row>
    <row r="44" ht="17" customHeight="1">
      <c r="A44" s="28" t="inlineStr">
        <is>
          <t>Step 4:  Repeat for PressureData.  Name the query  PressureLong.</t>
        </is>
      </c>
    </row>
    <row r="45" ht="17" customHeight="1">
      <c r="A45" s="28" t="inlineStr">
        <is>
          <t>Step 5:  Merge the two queries on Date + Name to get a combined table.</t>
        </is>
      </c>
    </row>
    <row r="46" ht="17" customHeight="1">
      <c r="A46" s="28" t="inlineStr">
        <is>
          <t>Step 6:  Add calculated columns:  Flow Adjusted = [Flow Value] × scaling_factor</t>
        </is>
      </c>
    </row>
    <row r="47" ht="17" customHeight="1">
      <c r="A47" s="28" t="inlineStr">
        <is>
          <t xml:space="preserve">                                  Pressure Adjusted = [Pressure Value] + offset</t>
        </is>
      </c>
    </row>
    <row r="48" ht="17" customHeight="1">
      <c r="A48" s="28" t="inlineStr">
        <is>
          <t>Step 7:  Load the merged query to a sheet and build a PivotTable + Slicer on top of it.</t>
        </is>
      </c>
    </row>
    <row r="49" ht="17" customHeight="1">
      <c r="A49" s="28" t="inlineStr"/>
    </row>
    <row r="50" ht="17" customHeight="1">
      <c r="A50" s="28" t="inlineStr">
        <is>
          <t>After pasting new data:  Data tab → Refresh All  (Ctrl+Alt+F5).</t>
        </is>
      </c>
    </row>
    <row r="51" ht="8" customHeight="1"/>
    <row r="52" ht="26" customHeight="1">
      <c r="A52" s="30" t="inlineStr">
        <is>
          <t>3.  PIVOTTABLE + SLICER  (optional — for interactive multi-flow comparison)</t>
        </is>
      </c>
    </row>
    <row r="53" ht="17" customHeight="1">
      <c r="A53" s="28" t="inlineStr">
        <is>
          <t>Once the Power Query merged table is loaded to a sheet:</t>
        </is>
      </c>
    </row>
    <row r="54" ht="17" customHeight="1">
      <c r="A54" s="28" t="inlineStr">
        <is>
          <t xml:space="preserve">  • Insert → PivotTable</t>
        </is>
      </c>
    </row>
    <row r="55" ht="17" customHeight="1">
      <c r="A55" s="28" t="inlineStr">
        <is>
          <t xml:space="preserve">  • Rows: Date    Values: Flow Adjusted, Pressure Adjusted</t>
        </is>
      </c>
    </row>
    <row r="56" ht="17" customHeight="1">
      <c r="A56" s="28" t="inlineStr">
        <is>
          <t xml:space="preserve">  • PivotTable Analyze → Insert Slicer → tick 'Flow Name' → OK</t>
        </is>
      </c>
    </row>
    <row r="57" ht="17" customHeight="1">
      <c r="A57" s="28" t="inlineStr">
        <is>
          <t xml:space="preserve">  • Click a flow name in the Slicer to filter instantly</t>
        </is>
      </c>
    </row>
    <row r="58" ht="17" customHeight="1">
      <c r="A58" s="28" t="inlineStr">
        <is>
          <t xml:space="preserve">  • Insert → PivotChart → Line → add Secondary Axis to the Pressure series</t>
        </is>
      </c>
    </row>
    <row r="59" ht="8" customHeight="1"/>
    <row r="60" ht="26" customHeight="1">
      <c r="A60" s="31" t="inlineStr">
        <is>
          <t>4.  VBA SAVE BUTTON  (paste this into a Module — Alt+F11 → Insert → Module)</t>
        </is>
      </c>
    </row>
    <row r="61" ht="17" customHeight="1">
      <c r="A61" s="32" t="inlineStr">
        <is>
          <t>Assign the macro to a button on the Dashboard: Developer tab → Insert → Button (Form Control).</t>
        </is>
      </c>
    </row>
    <row r="62" ht="8" customHeight="1"/>
    <row r="63" ht="17" customHeight="1">
      <c r="A63" s="33" t="inlineStr">
        <is>
          <t>' ═══════════════════════════════════════════════════════════════════════════
' SaveToMOD  —  writes adjusted data to MOD Flow and MOD Pressure in wide
'               format: Date | SensorCode1 | SensorCode2 | ...
'               Row 1 holds the headers; rows 2+ hold the data.
'               The sheet is cleared and rewritten on every run.
'
' Data table on Dashboard: row 26 onwards
'   Col A (1)        = Date
'   Cols B-K (2-11)  = Flow 1-10 Adjusted  (driven by selectors B3-B12)
'   Cols L-AE (12-31)= Pres 1-20 Adjusted  (driven by selectors F3-F22)
' ═══════════════════════════════════════════════════════════════════════════
Sub SaveToMOD()
    Const SEL_START      As Long = 3
    Const MAX_FLOW_ROWS  As Long = 10   ' selector rows 3-12
    Const MAX_PRES_ROWS  As Long = 20   ' selector rows 3-22
    Const DATA_START     As Long = 26
    Const FLOW_SEL_COL   As Long = 2    ' col B — flow name selector
    Const PRES_SEL_COL   As Long = 6    ' col F — pressure name selector (was col E)
    Const FLOW_ADJ_BASE  As Long = 2    ' col B = Flow 1 Adj
    Const PRES_ADJ_BASE  As Long = 12   ' col L = Pres 1 Adj
    Dim wsDash    As Worksheet
    Dim wsModFlow As Worksheet
    Dim wsModPres As Worksheet
    Dim i As Long, j As Long, col As Long
    Dim flowNames(0 To 9)  As String
    Dim presNames(0 To 19) As String
    Dim lastDashRow As Long
    Dim flowRow     As Long
    Dim presRow     As Long
    Dim dtVal       As Variant
    Dim adjVal      As Variant
    Dim totalSaved  As Long
    On Error Resume Next
    Set wsDash    = Worksheets("Dashboard")
    Set wsModFlow = Worksheets("MOD Flow")
    Set wsModPres = Worksheets("MOD Pressure")
    On Error GoTo 0
    If wsDash Is Nothing Or wsModFlow Is Nothing Or wsModPres Is Nothing Then
        MsgBox "Could not find Dashboard, MOD Flow, or MOD Pressure sheet.", _
               vbCritical, "Sheet Missing"
        Exit Sub
    End If
    lastDashRow = wsDash.Cells(wsDash.Rows.Count, "A").End(xlUp).Row
    If lastDashRow &lt; DATA_START Then
        MsgBox "No data found in the formula table (rows " &amp; DATA_START &amp; " onwards).", _
               vbExclamation, "No Data"
        Exit Sub
    End If
    ' ── Collect active series names ────────────────────────────────────────────
    For i = 0 To MAX_FLOW_ROWS - 1
        flowNames(i) = Trim(wsDash.Cells(SEL_START + i, FLOW_SEL_COL).Value)
    Next i
    For i = 0 To MAX_PRES_ROWS - 1
        presNames(i) = Trim(wsDash.Cells(SEL_START + i, PRES_SEL_COL).Value)
    Next i
    Application.ScreenUpdating = False
    totalSaved = 0
    ' ── MOD Flow: clear then write wide format ─────────────────────────────────
    wsModFlow.Cells.ClearContents
    wsModFlow.Cells(1, 1).Value = "Date"
    col = 2
    For i = 0 To MAX_FLOW_ROWS - 1
        If flowNames(i) &lt;&gt; "" Then
            wsModFlow.Cells(1, col).Value = flowNames(i)
            col = col + 1
        End If
    Next i
    flowRow = 2
    For j = DATA_START To lastDashRow
        dtVal = wsDash.Cells(j, 1).Value
        If dtVal &lt;&gt; "" Then
            wsModFlow.Cells(flowRow, 1).Value        = dtVal
            wsModFlow.Cells(flowRow, 1).NumberFormat = "DD/MM/YYYY HH:MM"
            col = 2
            For i = 0 To MAX_FLOW_ROWS - 1
                If flowNames(i) &lt;&gt; "" Then
                    adjVal = wsDash.Cells(j, FLOW_ADJ_BASE + i).Value
                    If adjVal &lt;&gt; "" Then
                        wsModFlow.Cells(flowRow, col).Value        = adjVal
                        wsModFlow.Cells(flowRow, col).NumberFormat = "0.000"
                        totalSaved = totalSaved + 1
                    End If
                    col = col + 1
                End If
            Next i
            flowRow = flowRow + 1
        End If
    Next j
    ' ── MOD Pressure: clear then write wide format ─────────────────────────────
    wsModPres.Cells.ClearContents
    wsModPres.Cells(1, 1).Value = "Date"
    col = 2
    For i = 0 To MAX_PRES_ROWS - 1
        If presNames(i) &lt;&gt; "" Then
            wsModPres.Cells(1, col).Value = presNames(i)
            col = col + 1
        End If
    Next i
    presRow = 2
    For j = DATA_START To lastDashRow
        dtVal = wsDash.Cells(j, 1).Value
        If dtVal &lt;&gt; "" Then
            wsModPres.Cells(presRow, 1).Value        = dtVal
            wsModPres.Cells(presRow, 1).NumberFormat = "DD/MM/YYYY HH:MM"
            col = 2
            For i = 0 To MAX_PRES_ROWS - 1
                If presNames(i) &lt;&gt; "" Then
                    adjVal = wsDash.Cells(j, PRES_ADJ_BASE + i).Value
                    If adjVal &lt;&gt; "" Then
                        wsModPres.Cells(presRow, col).Value        = adjVal
                        wsModPres.Cells(presRow, col).NumberFormat = "0.000"
                        totalSaved = totalSaved + 1
                    End If
                    col = col + 1
                End If
            Next i
            presRow = presRow + 1
        End If
    Next j
    Application.ScreenUpdating = True
    If totalSaved = 0 Then
        MsgBox "No data values were saved — check the formula table has values.", _
               vbExclamation, "Nothing Saved"
    Else
        MsgBox "Saved " &amp; totalSaved &amp; " data values across all active series.", _
               vbInformation, "Save Complete"
    End If
End Sub</t>
        </is>
      </c>
    </row>
    <row r="64" ht="8" customHeight="1"/>
    <row r="65" ht="26" customHeight="1">
      <c r="A65" s="34" t="inlineStr">
        <is>
          <t>5.  DATA FORMAT REFERENCE</t>
        </is>
      </c>
    </row>
    <row r="66" ht="17" customHeight="1">
      <c r="A66" s="28" t="inlineStr">
        <is>
          <t>Both Raw Data sheets AND MOD sheets use this wide format:</t>
        </is>
      </c>
    </row>
    <row r="67" ht="17" customHeight="1">
      <c r="A67" s="28" t="inlineStr"/>
    </row>
    <row r="68" ht="17" customHeight="1">
      <c r="A68" s="28" t="inlineStr">
        <is>
          <t xml:space="preserve">    Date               | AL012       | AL013       | AL014       | ...  </t>
        </is>
      </c>
    </row>
    <row r="69" ht="17" customHeight="1">
      <c r="A69" s="28" t="inlineStr">
        <is>
          <t xml:space="preserve">    01/12/2026 00:00   | 3.168205    | 2.204250    | 2.665153    | ...  </t>
        </is>
      </c>
    </row>
    <row r="70" ht="17" customHeight="1">
      <c r="A70" s="28" t="inlineStr">
        <is>
          <t xml:space="preserve">    01/12/2026 00:15   | 3.190769    | 2.225250    | 2.681334    | ...  </t>
        </is>
      </c>
    </row>
    <row r="71" ht="17" customHeight="1">
      <c r="A71" s="28" t="inlineStr"/>
    </row>
    <row r="72" ht="17" customHeight="1">
      <c r="A72" s="28" t="inlineStr">
        <is>
          <t xml:space="preserve">  Dates are displayed in UK format: DD/MM/YYYY HH:MM</t>
        </is>
      </c>
    </row>
    <row r="73" ht="17" customHeight="1">
      <c r="A73" s="28" t="inlineStr"/>
    </row>
    <row r="74" ht="17" customHeight="1">
      <c r="A74" s="28" t="inlineStr">
        <is>
          <t>• Column A must contain a proper Date/Time value (not text).</t>
        </is>
      </c>
    </row>
    <row r="75" ht="17" customHeight="1">
      <c r="A75" s="28" t="inlineStr">
        <is>
          <t>• Flow and pressure column names can be any mix of letters and numbers.</t>
        </is>
      </c>
    </row>
    <row r="76" ht="17" customHeight="1">
      <c r="A76" s="28" t="inlineStr">
        <is>
          <t>• The names in Raw Flow Data and Raw Pressure Data do NOT need to match</t>
        </is>
      </c>
    </row>
    <row r="77" ht="17" customHeight="1">
      <c r="A77" s="28" t="inlineStr">
        <is>
          <t xml:space="preserve">  — you select each independently on the Dashboard.</t>
        </is>
      </c>
    </row>
    <row r="78" ht="17" customHeight="1">
      <c r="A78" s="28" t="inlineStr">
        <is>
          <t>• Use -999 for missing/no-data values — they are excluded from all calculations.</t>
        </is>
      </c>
    </row>
    <row r="79" ht="17" customHeight="1">
      <c r="A79" s="28" t="inlineStr">
        <is>
          <t>• Data can be any length: months of 15-minute data = thousands of rows.</t>
        </is>
      </c>
    </row>
    <row r="80" ht="17" customHeight="1">
      <c r="A80" s="28" t="inlineStr">
        <is>
          <t>• To paste your own data into a raw sheet: delete the sample data rows</t>
        </is>
      </c>
    </row>
    <row r="81" ht="17" customHeight="1">
      <c r="A81" s="28" t="inlineStr">
        <is>
          <t xml:space="preserve">  (keep row 1 headers), then paste starting from row 2.</t>
        </is>
      </c>
    </row>
    <row r="82" ht="17" customHeight="1">
      <c r="A82" s="28" t="inlineStr"/>
    </row>
    <row r="83" ht="17" customHeight="1">
      <c r="A83" s="28" t="inlineStr">
        <is>
          <t>Dashboard data table (rows 26+):</t>
        </is>
      </c>
    </row>
    <row r="84" ht="17" customHeight="1">
      <c r="A84" s="28" t="inlineStr">
        <is>
          <t xml:space="preserve">  Col A     = Date</t>
        </is>
      </c>
    </row>
    <row r="85" ht="17" customHeight="1">
      <c r="A85" s="28" t="inlineStr">
        <is>
          <t xml:space="preserve">  Cols B-K  = Flow 1-10 Adjusted  (Name in B3-B12 × Scale in C3-C12 + Δt in D3-D12)</t>
        </is>
      </c>
    </row>
    <row r="86" ht="17" customHeight="1">
      <c r="A86" s="28" t="inlineStr">
        <is>
          <t xml:space="preserve">  Cols L-AE = Pres 1-20 Adjusted  (Name in F3-F22 + Offset in G3-G22 + Δt in H3-H22)</t>
        </is>
      </c>
    </row>
    <row r="87" ht="17" customHeight="1">
      <c r="A87" s="28" t="inlineStr"/>
    </row>
    <row r="88" ht="17" customHeight="1">
      <c r="A88" s="28" t="inlineStr">
        <is>
          <t>MOD Flow / MOD Pressure (written by SaveToMOD):</t>
        </is>
      </c>
    </row>
    <row r="89" ht="17" customHeight="1">
      <c r="A89" s="28" t="inlineStr">
        <is>
          <t xml:space="preserve">  Row 1  = Date | SensorCode1 | SensorCode2 | ...  (headers)</t>
        </is>
      </c>
    </row>
    <row r="90" ht="17" customHeight="1">
      <c r="A90" s="28" t="inlineStr">
        <is>
          <t xml:space="preserve">  Row 2+ = adjusted values in matching columns</t>
        </is>
      </c>
    </row>
    <row r="91" ht="17" customHeight="1">
      <c r="A91" s="28" t="inlineStr">
        <is>
          <t xml:space="preserve">  Note: the sheet is cleared and rewritten on every SaveToMOD run.</t>
        </is>
      </c>
    </row>
    <row r="92" ht="17" customHeight="1">
      <c r="A92" s="28" t="inlineStr"/>
    </row>
    <row r="93" ht="17" customHeight="1">
      <c r="A93" s="28" t="inlineStr">
        <is>
          <t>Leave a Name cell blank to hide that series (formula returns empty, not plotted).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2026-03-25T12:05:07Z</dcterms:created>
  <dcterms:modified xsi:type="dcterms:W3CDTF">2026-03-25T12:05:08Z</dcterms:modified>
</cp:coreProperties>
</file>